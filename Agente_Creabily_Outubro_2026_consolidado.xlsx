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resp Saúde" sheetId="1" r:id="rId4"/>
    <sheet state="visible" name="Amil Black, Amil One, Lincx" sheetId="2" r:id="rId5"/>
    <sheet state="visible" name="Care Plus" sheetId="3" r:id="rId6"/>
    <sheet state="visible" name="Medsenior" sheetId="4" r:id="rId7"/>
    <sheet state="visible" name="Omint Skill" sheetId="5" r:id="rId8"/>
    <sheet state="visible" name="Omint Premium" sheetId="6" r:id="rId9"/>
    <sheet state="visible" name="Convênio Creabily Especial" sheetId="7" r:id="rId10"/>
    <sheet state="visible" name="Creabily Particular" sheetId="8" r:id="rId11"/>
    <sheet state="visible" name="Omint Corporate" sheetId="9" r:id="rId12"/>
    <sheet state="visible" name="SEM CONVÊNIO" sheetId="10" r:id="rId13"/>
    <sheet state="visible" name="Total Pass" sheetId="11" r:id="rId14"/>
    <sheet state="visible" name="Regras do Agente" sheetId="12" r:id="rId15"/>
    <sheet state="visible" name="TOTAL OUTUBRO" sheetId="13" r:id="rId16"/>
    <sheet state="visible" name="RESUMO CONFERÊNCIA" sheetId="14" r:id="rId17"/>
    <sheet state="visible" name="BASE AUDITORIA" sheetId="15" r:id="rId18"/>
    <sheet state="visible" name="PAINEL GERENCIAL" sheetId="16" r:id="rId19"/>
    <sheet state="visible" name="AÇÕES ADMINISTRATIVAS" sheetId="17" r:id="rId20"/>
  </sheets>
  <definedNames/>
  <calcPr/>
  <extLst>
    <ext uri="GoogleSheetsCustomDataVersion2">
      <go:sheetsCustomData xmlns:go="http://customooxmlschemas.google.com/" r:id="rId21" roundtripDataChecksum="Yhl3ht8x3f/GyrEU34geN2v5vdBkVj3CL7lgBwZPgsY="/>
    </ext>
  </extLst>
</workbook>
</file>

<file path=xl/sharedStrings.xml><?xml version="1.0" encoding="utf-8"?>
<sst xmlns="http://schemas.openxmlformats.org/spreadsheetml/2006/main" count="32577" uniqueCount="1870">
  <si>
    <t>AMIL BLACK, AMIL ONE, LINCX — OUTUBRO 2026   |   🔤 A–Z   🕐 HORÁRIO   👤 PROFISSIONAL   📋 STATUS</t>
  </si>
  <si>
    <t>AFRESP SAÚDE — OUTUBRO 2026   |   🔤 A–Z   🕐 HORÁRIO   👤 PROFISSIONAL   📋 STATUS</t>
  </si>
  <si>
    <t>DATA 01/10/2026</t>
  </si>
  <si>
    <t>UNIDADE GRANJA VIANA — 1 ATENDIMENTO(S)</t>
  </si>
  <si>
    <t>Data</t>
  </si>
  <si>
    <t>UNIDADE PAULISTA — 38 ATENDIMENTO(S)</t>
  </si>
  <si>
    <t>Paciente</t>
  </si>
  <si>
    <t>Horário</t>
  </si>
  <si>
    <t>Status Ágil</t>
  </si>
  <si>
    <t>Profissional</t>
  </si>
  <si>
    <t>Especialidade</t>
  </si>
  <si>
    <t>Procedimento</t>
  </si>
  <si>
    <t>Sessão</t>
  </si>
  <si>
    <t>CPF/Carteirinha</t>
  </si>
  <si>
    <t>Guia</t>
  </si>
  <si>
    <t>Ação / Lembrete</t>
  </si>
  <si>
    <t>Situação</t>
  </si>
  <si>
    <t>Validação</t>
  </si>
  <si>
    <t>Observação</t>
  </si>
  <si>
    <t>01/10/2026</t>
  </si>
  <si>
    <t>Luciana  Rodrigues Melo de Oliveira Levy</t>
  </si>
  <si>
    <t>11:30:00</t>
  </si>
  <si>
    <t>Finalizado (4/10)</t>
  </si>
  <si>
    <t>Camila (Fisio e Osteopata)</t>
  </si>
  <si>
    <t>Fisioterapia Dupla Convênio/ Med Sênior 2* Fase</t>
  </si>
  <si>
    <t>50000160 - Fisioterapia (R$ 91,50)</t>
  </si>
  <si>
    <t>4/10</t>
  </si>
  <si>
    <t>079695682</t>
  </si>
  <si>
    <t>FINALIZADO NO ÁGIL</t>
  </si>
  <si>
    <t>FINALIZADO</t>
  </si>
  <si>
    <t>Finalizado</t>
  </si>
  <si>
    <t>UNIDADE PAULISTA — 14 ATENDIMENTO(S)</t>
  </si>
  <si>
    <t>MEDSENIOR — OUTUBRO 2026   |   🔤 A–Z   🕐 HORÁRIO   👤 PROFISSIONAL   📋 STATUS</t>
  </si>
  <si>
    <t>CARE PLUS — OUTUBRO 2026   |   🔤 A–Z   🕐 HORÁRIO   👤 PROFISSIONAL   📋 STATUS</t>
  </si>
  <si>
    <t>Ana Candido Franco Simas</t>
  </si>
  <si>
    <t>17:30:00</t>
  </si>
  <si>
    <t>Finalizado (8/10)</t>
  </si>
  <si>
    <t>Tatiana Cirillo (Fisio, Drenagem)</t>
  </si>
  <si>
    <t>8/10</t>
  </si>
  <si>
    <t>096651299</t>
  </si>
  <si>
    <t>ALERTA FINAL — últimas sessões; novo pedido se houver continuidade | FINALIZADO NO ÁGIL</t>
  </si>
  <si>
    <t>UNIDADE PAULISTA — 6 ATENDIMENTO(S)</t>
  </si>
  <si>
    <t>Akemi Honda Yamamoto</t>
  </si>
  <si>
    <t>08:30:00</t>
  </si>
  <si>
    <t>Finalizado (7/10)</t>
  </si>
  <si>
    <t>UNIDADE PAULISTA — 17 ATENDIMENTO(S)</t>
  </si>
  <si>
    <t>Maria José (Rpg e Fisio)</t>
  </si>
  <si>
    <t>Ana Cristina Limas Reynol</t>
  </si>
  <si>
    <t>50000160 - Sessão Ambulatorial Em Fisioterapia (R$ 84,00)</t>
  </si>
  <si>
    <t>7/10</t>
  </si>
  <si>
    <t>15:15:00</t>
  </si>
  <si>
    <t>006125018</t>
  </si>
  <si>
    <t>Não compareceu (3/10)</t>
  </si>
  <si>
    <t>Rubem Porfirio ( Rpg e Fisio)</t>
  </si>
  <si>
    <t>50000160 - Fisioterapia - 10/08/2026 (R$ 87,50)</t>
  </si>
  <si>
    <t>3/10</t>
  </si>
  <si>
    <t>076326595</t>
  </si>
  <si>
    <t>NÃO COMPARECEU — conferir assinatura da guia ou token antes de validar a sessão</t>
  </si>
  <si>
    <t>ALERTA NÃO COMPARECEU</t>
  </si>
  <si>
    <t>Validado</t>
  </si>
  <si>
    <t>Isabelle Baida Beccari</t>
  </si>
  <si>
    <t>09:15:00</t>
  </si>
  <si>
    <t>10:00:00</t>
  </si>
  <si>
    <t>Finalizado (5/10)</t>
  </si>
  <si>
    <t>Finalizado (9/10)</t>
  </si>
  <si>
    <t>Mariana Brecht (Fisio + Pilates)</t>
  </si>
  <si>
    <t>5/10</t>
  </si>
  <si>
    <t>S4D- Rpg - Reeducação Postural</t>
  </si>
  <si>
    <t>50000446 - Rpg (R$ 84,00)</t>
  </si>
  <si>
    <t>ALANA DE MENDONCA RAMOS</t>
  </si>
  <si>
    <t>9/10</t>
  </si>
  <si>
    <t>18:15:00</t>
  </si>
  <si>
    <t>096014220</t>
  </si>
  <si>
    <t>Elika Oliveira Alencar Santos (Fisio)</t>
  </si>
  <si>
    <t xml:space="preserve">Aprigio Pereira Lima </t>
  </si>
  <si>
    <t>50000160 - Fisioterapia (R$ 86,95)</t>
  </si>
  <si>
    <t>Finalizado (8/8)</t>
  </si>
  <si>
    <t>Eduardo Nery ( Fisio e Quiro)</t>
  </si>
  <si>
    <t>Fisioterapia Convênio Indiv.(Med Senior 1* Fase, Atm Convênio)</t>
  </si>
  <si>
    <t>SenhaCarePlus:125466601</t>
  </si>
  <si>
    <t>03/07/2026</t>
  </si>
  <si>
    <t>50000160 - 1 Fase: Bloco 8 Sessões Fisio Individual (R$ 110,00)</t>
  </si>
  <si>
    <t>Jaqueline David</t>
  </si>
  <si>
    <t>8/8</t>
  </si>
  <si>
    <t>Finalizado (1/1)</t>
  </si>
  <si>
    <t>Consulta Fisioterapia Convênio</t>
  </si>
  <si>
    <t>ALERTA FINAL — últimas sessões; novo pedido se houver continuidade | MEDSÊNIOR — 8/8 da 1ª fase: alterar para 2ª fase | FINALIZADO NO ÁGIL</t>
  </si>
  <si>
    <t>50000144 - Consulta Fisioterapia (R$ 73,25)</t>
  </si>
  <si>
    <t>1/1</t>
  </si>
  <si>
    <t>085457012</t>
  </si>
  <si>
    <t>Alcir Lúcio Kauffmann</t>
  </si>
  <si>
    <t>1ª SESSÃO — conferir pedido médico atualizado | ALERTA FINAL — últimas sessões; novo pedido se houver continuidade | FINALIZADO NO ÁGIL</t>
  </si>
  <si>
    <t xml:space="preserve">Araci de Sá Nogueira </t>
  </si>
  <si>
    <t>Finalizado (10/10)</t>
  </si>
  <si>
    <t>14:30:00</t>
  </si>
  <si>
    <t>Thaynne Araujo (Pilates/Fisio)</t>
  </si>
  <si>
    <t>Andre Takeda</t>
  </si>
  <si>
    <t>Finalizado (2/8)</t>
  </si>
  <si>
    <t>Pilates/Esc. da Coluna/ Convênios/ Med Sênior 3 *Fase</t>
  </si>
  <si>
    <t>Finalizado (1/10)</t>
  </si>
  <si>
    <t>50000853 - Pilates On The Ball (R$ 84,00)</t>
  </si>
  <si>
    <t>10/10</t>
  </si>
  <si>
    <t>50000160 - 2 Fase: Bloco 8 Sessões Fisio Dupla/ Exercícios (R$ 110,00)</t>
  </si>
  <si>
    <t>006323006</t>
  </si>
  <si>
    <t>2/8</t>
  </si>
  <si>
    <t>1/10</t>
  </si>
  <si>
    <t>SenhaCarePlus:111076501</t>
  </si>
  <si>
    <t>1ª SESSÃO — conferir pedido médico atualizado | FINALIZADO NO ÁGIL</t>
  </si>
  <si>
    <t>Andréa Cravo Meza</t>
  </si>
  <si>
    <t>Cláudio Maestá</t>
  </si>
  <si>
    <t>Jessica Chen Hung Chun</t>
  </si>
  <si>
    <t>07:00:00</t>
  </si>
  <si>
    <t>16:45:00</t>
  </si>
  <si>
    <t>Pilates/Escola da Coluna/ Pedido Fisio</t>
  </si>
  <si>
    <t>Finalizado (3/5)</t>
  </si>
  <si>
    <t>Finalizado (6/8)</t>
  </si>
  <si>
    <t>009409041</t>
  </si>
  <si>
    <t>3/5</t>
  </si>
  <si>
    <t>085176392</t>
  </si>
  <si>
    <t>50000160 - 3 Fase: Bloco 8 Sessões Fisio Grupo Pilates 4 Pessoas (R$ 110,00)</t>
  </si>
  <si>
    <t>6/8</t>
  </si>
  <si>
    <t>3ª-SENHA:18599900</t>
  </si>
  <si>
    <t xml:space="preserve">Enzo Martini Montanari </t>
  </si>
  <si>
    <t>Josineide Valença Caleiro Narcizo</t>
  </si>
  <si>
    <t>12:15:00</t>
  </si>
  <si>
    <t>Finalizado (2/10)</t>
  </si>
  <si>
    <t>Andrea Lessa Ayres  Bruck Lacerda</t>
  </si>
  <si>
    <t>17:00:00</t>
  </si>
  <si>
    <t>Finalizado (19/20)</t>
  </si>
  <si>
    <t>Eduardo Luiz</t>
  </si>
  <si>
    <t>2/10</t>
  </si>
  <si>
    <t>083405866</t>
  </si>
  <si>
    <t>27678.00623.00</t>
  </si>
  <si>
    <t>10:45:00</t>
  </si>
  <si>
    <t>SenhaCarePlus:129547601</t>
  </si>
  <si>
    <t>Finalizado (4/8)</t>
  </si>
  <si>
    <t>Isolda Assumpcão (Psicanálise) - CRP: 14290</t>
  </si>
  <si>
    <t>4/8</t>
  </si>
  <si>
    <t>Psicoterapia Online</t>
  </si>
  <si>
    <t xml:space="preserve">Felipe archangelo marangoni </t>
  </si>
  <si>
    <t>50000470 - Sessão Psicoterapia (R$ 89,00)</t>
  </si>
  <si>
    <t>Linda Nunes Brais de Castro</t>
  </si>
  <si>
    <t>19:00:00</t>
  </si>
  <si>
    <t>19/20</t>
  </si>
  <si>
    <t>000254053</t>
  </si>
  <si>
    <t>13:00:00</t>
  </si>
  <si>
    <t>Jose Luis de Freitas</t>
  </si>
  <si>
    <t>092983129</t>
  </si>
  <si>
    <t>Antonio Carlos Martins Costa</t>
  </si>
  <si>
    <t>Protocolodeenvio:25631543</t>
  </si>
  <si>
    <t>Lucas Si Choi</t>
  </si>
  <si>
    <t>LEONARDO CAZARINE DE ARAUJO</t>
  </si>
  <si>
    <t>085176391</t>
  </si>
  <si>
    <t>Finalizado (6/10)</t>
  </si>
  <si>
    <t>005618002</t>
  </si>
  <si>
    <t>José Roberto Arduin</t>
  </si>
  <si>
    <t>6/10</t>
  </si>
  <si>
    <t>08165.02189.00</t>
  </si>
  <si>
    <t>Aracely Aparecida Cortesini Kauffmann</t>
  </si>
  <si>
    <t>00000</t>
  </si>
  <si>
    <t>Finalizado (8/20)</t>
  </si>
  <si>
    <t xml:space="preserve">Wisgner Roriz Damião </t>
  </si>
  <si>
    <t>8/20</t>
  </si>
  <si>
    <t>Marta Regina Almeida  do Carmo</t>
  </si>
  <si>
    <t>006323014</t>
  </si>
  <si>
    <t>LINETE MILET DE MELO</t>
  </si>
  <si>
    <t>Finalizado (1/8)</t>
  </si>
  <si>
    <t>SenhaCarePlus:121779001</t>
  </si>
  <si>
    <t>1/8</t>
  </si>
  <si>
    <t>Darcio de Souza</t>
  </si>
  <si>
    <t>DATA 02/10/2026</t>
  </si>
  <si>
    <t>Renato de Barros Silva</t>
  </si>
  <si>
    <t>Drenagem Linfática</t>
  </si>
  <si>
    <t>50000209 - Drenagem Linfática Manual (R$ 84,00)</t>
  </si>
  <si>
    <t>UNIDADE PAULISTA — 10 ATENDIMENTO(S)</t>
  </si>
  <si>
    <t xml:space="preserve">Marcia Barroso Lopes Lucas </t>
  </si>
  <si>
    <t>004837002</t>
  </si>
  <si>
    <t>13:45:00</t>
  </si>
  <si>
    <t>Finalizado (3/8)</t>
  </si>
  <si>
    <t>3/8</t>
  </si>
  <si>
    <t>Davi Pimentel Espindola</t>
  </si>
  <si>
    <t>Pilates Convênio/Escola da Coluna</t>
  </si>
  <si>
    <t>Rubens Diez Chaves Simas</t>
  </si>
  <si>
    <t>02/10/2026</t>
  </si>
  <si>
    <t>MARIA DA CONCEIÇÃO DE OLIVEIRA</t>
  </si>
  <si>
    <t>Alessandra Vieira Silva</t>
  </si>
  <si>
    <t>009927000</t>
  </si>
  <si>
    <t>Finalizado (3/10)</t>
  </si>
  <si>
    <t>26708.00021.01</t>
  </si>
  <si>
    <t>Protocolodeenvio:25596390</t>
  </si>
  <si>
    <t>EVANDRO LUIS ALPOIM FREIRE</t>
  </si>
  <si>
    <t>SENHA:18826775</t>
  </si>
  <si>
    <t>096651298</t>
  </si>
  <si>
    <t>Ana Carolina Crespi Vasconcelos</t>
  </si>
  <si>
    <t>Não compareceu (4/6)</t>
  </si>
  <si>
    <t>008458006</t>
  </si>
  <si>
    <t>Patricia Lanciano (Psico) - CRP: 174465</t>
  </si>
  <si>
    <t xml:space="preserve">MARIA NATÁLIA ARAÚJO DE BARROS </t>
  </si>
  <si>
    <t>50000470 - Sessão  de Psicoterapia (R$ 94,20)</t>
  </si>
  <si>
    <t>4/6</t>
  </si>
  <si>
    <t>Tessy Montenegro Rocha</t>
  </si>
  <si>
    <t>075460416401</t>
  </si>
  <si>
    <t>15:00:00</t>
  </si>
  <si>
    <t>SenhaCarePlus:120681801</t>
  </si>
  <si>
    <t>Finalizado (4/20)</t>
  </si>
  <si>
    <t>Idalina Rosa Marques da Silva</t>
  </si>
  <si>
    <t>2ª-SENHA:18825772</t>
  </si>
  <si>
    <t>50000470 - Psicoterapia (R$ 91,50)</t>
  </si>
  <si>
    <t>Caio Henrique Pinto Alves</t>
  </si>
  <si>
    <t>4/20</t>
  </si>
  <si>
    <t>007063016</t>
  </si>
  <si>
    <t>Tatiana Matsuda ( Fisio e Rpg)</t>
  </si>
  <si>
    <t>Maria Sokolowski Busko</t>
  </si>
  <si>
    <t>(PM15/06)</t>
  </si>
  <si>
    <t>Victor Hugo Thomaz</t>
  </si>
  <si>
    <t>Finalizado (7/8)</t>
  </si>
  <si>
    <t>Finalizado (3/30)</t>
  </si>
  <si>
    <t>SenhaCarePlus:119906201</t>
  </si>
  <si>
    <t>Ilza Missako Degaki Haniuda</t>
  </si>
  <si>
    <t>7/8</t>
  </si>
  <si>
    <t>SENHA:18441063</t>
  </si>
  <si>
    <t>Heloísa Aguera Rodrigues</t>
  </si>
  <si>
    <t>3/30</t>
  </si>
  <si>
    <t>095574422</t>
  </si>
  <si>
    <t>Aline Madeira (Psico Tcc) - CRTP: 185286</t>
  </si>
  <si>
    <t>(PM18/09/2026)</t>
  </si>
  <si>
    <t>009076018</t>
  </si>
  <si>
    <t xml:space="preserve">Nely Gomes de Oliveira </t>
  </si>
  <si>
    <t>SenhaCarePlus116339001</t>
  </si>
  <si>
    <t>Julio Cezar Gomes Lucero</t>
  </si>
  <si>
    <t>Leonardo Marques Morandini</t>
  </si>
  <si>
    <t>SenhaCarePlus:119983801</t>
  </si>
  <si>
    <t>Nereida Iracema Prachia</t>
  </si>
  <si>
    <t>009632000</t>
  </si>
  <si>
    <t>Mariana Ferreira Gonçalves</t>
  </si>
  <si>
    <t>16:00:00</t>
  </si>
  <si>
    <t>Katia Ferraz  e Lima</t>
  </si>
  <si>
    <t>Finalizado (2/20)</t>
  </si>
  <si>
    <t>11:00:00</t>
  </si>
  <si>
    <t>3ª-SENHA:18659531</t>
  </si>
  <si>
    <t>Beatriz Batista  Santos ( Nutri) - CRN: 81693 P</t>
  </si>
  <si>
    <t>Nutrição: Consulta Nutrição Presencial Convênio</t>
  </si>
  <si>
    <t>Piero Antonaccio Grani (Personal)</t>
  </si>
  <si>
    <t>50000560 - Consulta Em Nutrição - 10/03/2026 (R$ 80,00)</t>
  </si>
  <si>
    <t>Colete Imotion</t>
  </si>
  <si>
    <t>001193031</t>
  </si>
  <si>
    <t>31602185 - Imotion (Estimulação Elétrica Transcutânea) - 04/11/2025 (R$ 83,15)</t>
  </si>
  <si>
    <t>2/20</t>
  </si>
  <si>
    <t>PM02-02</t>
  </si>
  <si>
    <t>Raimunda Dias de Lima</t>
  </si>
  <si>
    <t>SenhaCarePlus:128410001</t>
  </si>
  <si>
    <t>Priscila Franco Saraiva Monteiro</t>
  </si>
  <si>
    <t>UNIDADE PAULISTA — 13 ATENDIMENTO(S)</t>
  </si>
  <si>
    <t>Finalizado (6/6)</t>
  </si>
  <si>
    <t>000000000000000000</t>
  </si>
  <si>
    <t>Psicoterapia Presencial</t>
  </si>
  <si>
    <t>6/6</t>
  </si>
  <si>
    <t>Nutrição: Bioimpedância</t>
  </si>
  <si>
    <t>SenhaCarePlus:115421001</t>
  </si>
  <si>
    <t>41301048 - Bioimpedância - 10/03/2026 (R$ 20,00)</t>
  </si>
  <si>
    <t>Renato Alves de Souza</t>
  </si>
  <si>
    <t>Priscilla Andrade Pereira</t>
  </si>
  <si>
    <t>07:45:00</t>
  </si>
  <si>
    <t>Não compareceu (5/10)</t>
  </si>
  <si>
    <t>Kelly Marques Tavares</t>
  </si>
  <si>
    <t>09813.01576.01</t>
  </si>
  <si>
    <t>Ana Paula silveira dos Santos</t>
  </si>
  <si>
    <t>(PM29/07)SenhaCarePlus:125103201</t>
  </si>
  <si>
    <t>009927018</t>
  </si>
  <si>
    <t>Sven Jager</t>
  </si>
  <si>
    <t>Finalizado (5/6)</t>
  </si>
  <si>
    <t>Suely Olga Giovanelli</t>
  </si>
  <si>
    <t>5/6</t>
  </si>
  <si>
    <t>094898398</t>
  </si>
  <si>
    <t>071070335100</t>
  </si>
  <si>
    <t>SenhaCarePlus:119417701</t>
  </si>
  <si>
    <t>3ªSenha18729664.</t>
  </si>
  <si>
    <t xml:space="preserve">Thays Correa Raymundo de Moura </t>
  </si>
  <si>
    <t>Antonio Augusto Neves</t>
  </si>
  <si>
    <t>Leopoldo Seiti Ortunho Ikuno</t>
  </si>
  <si>
    <t>Raquel Santos (Pilates e Rpg)</t>
  </si>
  <si>
    <t>50000446 - Rpg Individual - 10/08/2026 (R$ 96,30)</t>
  </si>
  <si>
    <t>Abel Pinto (Psico) - CRP: 77814</t>
  </si>
  <si>
    <t>076335750</t>
  </si>
  <si>
    <t>007963025</t>
  </si>
  <si>
    <t>Cleytiana Alves de Melo</t>
  </si>
  <si>
    <t>DATA 05/10/2026</t>
  </si>
  <si>
    <t>UNIDADE PAULISTA — 15 ATENDIMENTO(S)</t>
  </si>
  <si>
    <t>Maria Adelaide da Conceição Borges</t>
  </si>
  <si>
    <t>UNIDADE PAULISTA — 16 ATENDIMENTO(S)</t>
  </si>
  <si>
    <t>094481691</t>
  </si>
  <si>
    <t>00497100-0</t>
  </si>
  <si>
    <t>Giovanna Farabello Petzold Nomura</t>
  </si>
  <si>
    <t>Finalizado (28/28)</t>
  </si>
  <si>
    <t>28/28</t>
  </si>
  <si>
    <t>Maria Madalena Pereira de Souza</t>
  </si>
  <si>
    <t>27/02/2026</t>
  </si>
  <si>
    <t>05/10/2026</t>
  </si>
  <si>
    <t>Beraldo Crisante Neto</t>
  </si>
  <si>
    <t>Em Aberto (6/10)</t>
  </si>
  <si>
    <t>004837037</t>
  </si>
  <si>
    <t>Finalizado (2/5)</t>
  </si>
  <si>
    <t>CONFERIR/SOLICITAR token ou autorização</t>
  </si>
  <si>
    <t>Maria Salete Neves Cravo</t>
  </si>
  <si>
    <t>PENDENTE</t>
  </si>
  <si>
    <t>50000160 - Escola da Coluna/ Pedido Fisioterapia (R$ 91,50)</t>
  </si>
  <si>
    <t>2/5</t>
  </si>
  <si>
    <t>Finalizado (5/20)</t>
  </si>
  <si>
    <t>5/20</t>
  </si>
  <si>
    <t>Claudia Maria Caponero</t>
  </si>
  <si>
    <t>009409033</t>
  </si>
  <si>
    <t>Carlos A. Neves (Fisio)</t>
  </si>
  <si>
    <t>Finalizado (1/5)</t>
  </si>
  <si>
    <t>1/5</t>
  </si>
  <si>
    <t>000</t>
  </si>
  <si>
    <t>Pedidodefisio</t>
  </si>
  <si>
    <t>NELSON HIROSHI MORITA</t>
  </si>
  <si>
    <t>CARLA ANDREA CARNEIRO LIBERATO</t>
  </si>
  <si>
    <t>Lorenzo Alvarez Thomaz</t>
  </si>
  <si>
    <t xml:space="preserve">Cleide Aparecida Pereira Macedo </t>
  </si>
  <si>
    <t>010789006</t>
  </si>
  <si>
    <t>Protocolodeenvio:25714724</t>
  </si>
  <si>
    <t>Cibelly Cristina da Silva Rocha</t>
  </si>
  <si>
    <t>Orlando Cesar Margarido</t>
  </si>
  <si>
    <t>FATIMA DE LOURDES PINTO</t>
  </si>
  <si>
    <t>Suelen Oliveira (Psico Tcc)) - CRP: 06-138447</t>
  </si>
  <si>
    <t>003184021</t>
  </si>
  <si>
    <t>SenhaCarePlus118250001</t>
  </si>
  <si>
    <t>Não compareceu (12/30)</t>
  </si>
  <si>
    <t>Harllon Oliveira da Paz</t>
  </si>
  <si>
    <t>FELIPE PANTALEONI MARIACA</t>
  </si>
  <si>
    <t>Em Aberto (2/10)</t>
  </si>
  <si>
    <t>Finalizado (5/8)</t>
  </si>
  <si>
    <t>5/8</t>
  </si>
  <si>
    <t>Protocolodeenvio:25774654</t>
  </si>
  <si>
    <t>senha:18744283</t>
  </si>
  <si>
    <t>12/30</t>
  </si>
  <si>
    <t xml:space="preserve">Regina Célia Chirico Carregosa </t>
  </si>
  <si>
    <t>Finalizado (6/20)</t>
  </si>
  <si>
    <t xml:space="preserve">Ingrid Lima Pereira da Conceição </t>
  </si>
  <si>
    <t>Em Aberto (6/6)</t>
  </si>
  <si>
    <t>6/20</t>
  </si>
  <si>
    <t xml:space="preserve">Helena de Mello Freitas </t>
  </si>
  <si>
    <t>Simone Rosenberg (Psico) - CRP: 89735</t>
  </si>
  <si>
    <t>00255803-3</t>
  </si>
  <si>
    <t>23822.07872.00</t>
  </si>
  <si>
    <t>SenhaCarePlus116334001</t>
  </si>
  <si>
    <t>095574420</t>
  </si>
  <si>
    <t>ALERTA FINAL — últimas sessões; novo pedido se houver continuidade | CONFERIR/SOLICITAR token ou autorização</t>
  </si>
  <si>
    <t>Regina Maura Nunes e Silva Wilson</t>
  </si>
  <si>
    <t>3ª-SENHA:18677246</t>
  </si>
  <si>
    <t>Julia Batista Correa Gomes</t>
  </si>
  <si>
    <t>008624003</t>
  </si>
  <si>
    <t>Em Aberto (1/1)</t>
  </si>
  <si>
    <t>Ilsa Duarte Souza</t>
  </si>
  <si>
    <t>Roberto Hanania</t>
  </si>
  <si>
    <t>Finalizado (18/20)</t>
  </si>
  <si>
    <t>20103476 - Avaliação  Em Fisioterapia (R$ 94,20)</t>
  </si>
  <si>
    <t>18/20</t>
  </si>
  <si>
    <t>007786042</t>
  </si>
  <si>
    <t>1ª SESSÃO — conferir pedido médico atualizado | ALERTA FINAL — últimas sessões; novo pedido se houver continuidade | CONFERIR/SOLICITAR token ou autorização</t>
  </si>
  <si>
    <t>Em Aberto (1/10)</t>
  </si>
  <si>
    <t>Protocolodeenvio:25792180</t>
  </si>
  <si>
    <t>1ª SESSÃO — conferir pedido médico atualizado | CONFERIR/SOLICITAR token ou autorização</t>
  </si>
  <si>
    <t>Luciana D' Oliveira  G. Correia Gondim</t>
  </si>
  <si>
    <t>Em Aberto (7/10)</t>
  </si>
  <si>
    <t>Robson de A C Sacucci</t>
  </si>
  <si>
    <t>Jussara Maria Marins</t>
  </si>
  <si>
    <t>081547240</t>
  </si>
  <si>
    <t>00702702-8</t>
  </si>
  <si>
    <t>3ª-SENHA:18986042</t>
  </si>
  <si>
    <t>Samara Yuri Pompilho Takashiro</t>
  </si>
  <si>
    <t>Luis Claudio de Melo</t>
  </si>
  <si>
    <t>Cancelado</t>
  </si>
  <si>
    <t>006542026</t>
  </si>
  <si>
    <t>Luiza Helena Medeiros  F Faustino</t>
  </si>
  <si>
    <t>Satico Suetomi Teshima</t>
  </si>
  <si>
    <t>SenhaCarePlus:123420001</t>
  </si>
  <si>
    <t>Rosana Bernardes Silva</t>
  </si>
  <si>
    <t>MARIA ANGELA MONTENEGRO DE AZEVEDO</t>
  </si>
  <si>
    <t>Finalizado (10/20)</t>
  </si>
  <si>
    <t>Maria Beatriz Vernacci Alonso Dal Pino</t>
  </si>
  <si>
    <t>Em Aberto (1/5)</t>
  </si>
  <si>
    <t>50000470 - Psicoterapia - 10/08/2026 (R$ 87,50)</t>
  </si>
  <si>
    <t>10/20</t>
  </si>
  <si>
    <t>076327125</t>
  </si>
  <si>
    <t>Protocolodeenvio:25894951</t>
  </si>
  <si>
    <t>004741005</t>
  </si>
  <si>
    <t>Tatiane Carvalho Alvarez Thomaz</t>
  </si>
  <si>
    <t>Finalizado (35/40)</t>
  </si>
  <si>
    <t>35/40</t>
  </si>
  <si>
    <t>095574421</t>
  </si>
  <si>
    <t>22/05/2026</t>
  </si>
  <si>
    <t xml:space="preserve">Marino Vieira Junior </t>
  </si>
  <si>
    <t>Em Aberto (1/6)</t>
  </si>
  <si>
    <t>Shu Su Yen</t>
  </si>
  <si>
    <t>1/6</t>
  </si>
  <si>
    <t>Protocolodeenvio:25894986</t>
  </si>
  <si>
    <t>008338000</t>
  </si>
  <si>
    <t>Maria Flora de Oliveira Soares</t>
  </si>
  <si>
    <t>Mauricio Tanaka</t>
  </si>
  <si>
    <t>Em Aberto (10/10)</t>
  </si>
  <si>
    <t>Thais Bittencourt de Oliveira</t>
  </si>
  <si>
    <t>SenhaCarePlus118139701</t>
  </si>
  <si>
    <t>Vinícius Lima da Silva Maciel</t>
  </si>
  <si>
    <t>Não compareceu (17/24)</t>
  </si>
  <si>
    <t>005810027</t>
  </si>
  <si>
    <t>Vitoria Aguera Rodrigues</t>
  </si>
  <si>
    <t>ALERTA FINAL — últimas sessões; novo pedido se houver continuidade | MEDSÊNIOR — 8/8 da 3ª fase: conferir encerramento/continuidade | FINALIZADO NO ÁGIL</t>
  </si>
  <si>
    <t>17/24</t>
  </si>
  <si>
    <t>087295456</t>
  </si>
  <si>
    <t xml:space="preserve">Marta Irene Zanetti Marani </t>
  </si>
  <si>
    <t>27756 00028 04</t>
  </si>
  <si>
    <t>SenhaCarePlus116338601</t>
  </si>
  <si>
    <t>DATA 06/10/2026</t>
  </si>
  <si>
    <t>Naira Vianna Pinto Boz</t>
  </si>
  <si>
    <t>Vanio Marques de Oliveira</t>
  </si>
  <si>
    <t>UNIDADE PAULISTA — 23 ATENDIMENTO(S)</t>
  </si>
  <si>
    <t>008744017</t>
  </si>
  <si>
    <t>UNIDADE PAULISTA — 11 ATENDIMENTO(S)</t>
  </si>
  <si>
    <t xml:space="preserve">Priscila Pantaleoni Mariaca </t>
  </si>
  <si>
    <t>Veronica Ramos Tavares</t>
  </si>
  <si>
    <t>2ª-SENHA:18623478</t>
  </si>
  <si>
    <t>010317007</t>
  </si>
  <si>
    <t>06/10/2026</t>
  </si>
  <si>
    <t>Yurico Shu</t>
  </si>
  <si>
    <t>UNIDADE PAULISTA — 18 ATENDIMENTO(S)</t>
  </si>
  <si>
    <t>008338019</t>
  </si>
  <si>
    <t>11:30</t>
  </si>
  <si>
    <t>Em Aberto</t>
  </si>
  <si>
    <t>Tatiana Matsuda ( Fisio e Rpg) - CREFITO: 109682</t>
  </si>
  <si>
    <t>Fisioterapia</t>
  </si>
  <si>
    <t>276740009300</t>
  </si>
  <si>
    <t>UNIDADE PAULISTA — 27 ATENDIMENTO(S)</t>
  </si>
  <si>
    <t>Carolina Souza Ferreira</t>
  </si>
  <si>
    <t>19:00</t>
  </si>
  <si>
    <t xml:space="preserve">Beatriz Santos Martini </t>
  </si>
  <si>
    <t>Em Aberto (4/8)</t>
  </si>
  <si>
    <t>Thaynne Araujo (Pilates/Fisio) - CREFITO: 214122</t>
  </si>
  <si>
    <t>Escola da Coluna  Pedido Fisio</t>
  </si>
  <si>
    <t>245230091600</t>
  </si>
  <si>
    <t>SenhaCarePlus:123108701</t>
  </si>
  <si>
    <t>Afonso Celso Vanoni de Castro</t>
  </si>
  <si>
    <t>Em Aberto (9/10)</t>
  </si>
  <si>
    <t>Egle Mariany Florindo</t>
  </si>
  <si>
    <t>10:45</t>
  </si>
  <si>
    <t>3ªSenha18729549</t>
  </si>
  <si>
    <t>Alexandre Akira Aoki</t>
  </si>
  <si>
    <t>50000160 - Escola da Coluna/ Pedido Fisioterapia - 10/08/2026 (R$ 87,50)</t>
  </si>
  <si>
    <t>Telessaude - Atendimento Em  Psicologia -  Sessao de Psicoterapia Individual</t>
  </si>
  <si>
    <t>50000144 - Consulta Ambulatorial Em Fisioterapia (R$ 92,00)</t>
  </si>
  <si>
    <t>008974004</t>
  </si>
  <si>
    <t>Denise dos Santos Batista Merlino</t>
  </si>
  <si>
    <t>2/6</t>
  </si>
  <si>
    <t>238240111701</t>
  </si>
  <si>
    <t>SenhaCarePlus:132563501</t>
  </si>
  <si>
    <t>Enzo Martini Montanari</t>
  </si>
  <si>
    <t>12:15</t>
  </si>
  <si>
    <t>Ana Carolina de Quadros</t>
  </si>
  <si>
    <t>Tatiana Cirillo (Fisio, Drenagem) - CREFITO: 440347F</t>
  </si>
  <si>
    <t>Ana Maria Madalosso Yamasaki</t>
  </si>
  <si>
    <t>Em Aberto (8/8)</t>
  </si>
  <si>
    <t>Felipe archangelo marangoni</t>
  </si>
  <si>
    <t>006248012</t>
  </si>
  <si>
    <t>ALERTA FINAL — últimas sessões; novo pedido se houver continuidade | MEDSÊNIOR — 8/8 da 1ª fase: alterar para 2ª fase | CONFERIR/SOLICITAR token ou autorização</t>
  </si>
  <si>
    <t>292080008700</t>
  </si>
  <si>
    <t>096652075</t>
  </si>
  <si>
    <t>Em Aberto (3/8)</t>
  </si>
  <si>
    <t>Bernardo Vaz de Melo Liebana Costa</t>
  </si>
  <si>
    <t>18:15</t>
  </si>
  <si>
    <t>Sessão  de Psicoterapia</t>
  </si>
  <si>
    <t>Ana Paula Costa Silva Canuto</t>
  </si>
  <si>
    <t>277560002803</t>
  </si>
  <si>
    <t>Não compareceu (9/10)</t>
  </si>
  <si>
    <t>002524074</t>
  </si>
  <si>
    <t>Isadora Alcântara Silva</t>
  </si>
  <si>
    <t>12:00</t>
  </si>
  <si>
    <t>096652035</t>
  </si>
  <si>
    <t>Consulta Ambulatorial Em Nutrição</t>
  </si>
  <si>
    <t>263670020400</t>
  </si>
  <si>
    <t>Linda Montes Wu Magario</t>
  </si>
  <si>
    <t>Jose Pazelli Chagas Junior</t>
  </si>
  <si>
    <t>16:00</t>
  </si>
  <si>
    <t>Bruno Quintiliano Torres</t>
  </si>
  <si>
    <t>3ª-SENHA:18901208</t>
  </si>
  <si>
    <t>Não compareceu (4/10)</t>
  </si>
  <si>
    <t>Consulta Ambulatorial Em Psicologia</t>
  </si>
  <si>
    <t>27461.00563.00</t>
  </si>
  <si>
    <t>90165355-1</t>
  </si>
  <si>
    <t>SenhaCarePlus:119418301</t>
  </si>
  <si>
    <t>Em Aberto (2/8)</t>
  </si>
  <si>
    <t>Lohany Amorim Ferreira</t>
  </si>
  <si>
    <t>14:00</t>
  </si>
  <si>
    <t>Em Aberto (11/20)</t>
  </si>
  <si>
    <t>Claudia Miranda Gonçalves</t>
  </si>
  <si>
    <t>Lucilene Aparecida Esperante Limp</t>
  </si>
  <si>
    <t>11/20</t>
  </si>
  <si>
    <t>0</t>
  </si>
  <si>
    <t>009465030</t>
  </si>
  <si>
    <t>Em Aberto (4/10)</t>
  </si>
  <si>
    <t>Michele Fernandes Lima</t>
  </si>
  <si>
    <t>10:00</t>
  </si>
  <si>
    <t>Cosete Eluina Ramos Lopes</t>
  </si>
  <si>
    <t>MARGARETE DE MOURA MANOEL SILVA</t>
  </si>
  <si>
    <t>077960236200</t>
  </si>
  <si>
    <t>SenhaCarePlus:110800901</t>
  </si>
  <si>
    <t>004851013</t>
  </si>
  <si>
    <t>Wisgner Roriz Damião</t>
  </si>
  <si>
    <t>Rubem Porfirio ( Rpg e Fisio) - CREFITO: 241792</t>
  </si>
  <si>
    <t>214770124300</t>
  </si>
  <si>
    <t>Gustavo Chiba Kawasaki</t>
  </si>
  <si>
    <t>Protocolodeenvio:25838245</t>
  </si>
  <si>
    <t>Mércia Martins da Cunha Constantino</t>
  </si>
  <si>
    <t xml:space="preserve">Carlos Matias Sebastian Rodriguez </t>
  </si>
  <si>
    <t>009949003</t>
  </si>
  <si>
    <t>DATA 07/10/2026</t>
  </si>
  <si>
    <t>08288012 0</t>
  </si>
  <si>
    <t>2ªSenha18729596.</t>
  </si>
  <si>
    <t xml:space="preserve">MÍRIAM CECÍLIA NASTARI DE CRISTÓFARO </t>
  </si>
  <si>
    <t>Em Aberto (7/8)</t>
  </si>
  <si>
    <t>2023040015250 BLACK 3 -SP</t>
  </si>
  <si>
    <t>07/10/2026</t>
  </si>
  <si>
    <t>Em Aberto (6/8)</t>
  </si>
  <si>
    <t>Hugo Hideaki Okuno</t>
  </si>
  <si>
    <t>Elika Oliveira Alencar Santos (Fisio) - CREFITO: 397638</t>
  </si>
  <si>
    <t>Não compareceu (6/10)</t>
  </si>
  <si>
    <t>Em Aberto (5/10)</t>
  </si>
  <si>
    <t>526860000500</t>
  </si>
  <si>
    <t>50000446 - Rpg Individual (R$ 100,80)</t>
  </si>
  <si>
    <t>Nelson Costa Oliveira</t>
  </si>
  <si>
    <t>010593004</t>
  </si>
  <si>
    <t>Elza Maria Toller Reiff Cassano</t>
  </si>
  <si>
    <t>Claudia Cristina de Bem Fabozzi</t>
  </si>
  <si>
    <t>Ilda dos Santos Mateus</t>
  </si>
  <si>
    <t>Roberto Ribeiro soares</t>
  </si>
  <si>
    <t>080925940</t>
  </si>
  <si>
    <t>SenhaCarePlus:105183501</t>
  </si>
  <si>
    <t>Douglas Paulo de Lima</t>
  </si>
  <si>
    <t>004564022</t>
  </si>
  <si>
    <t>07:45</t>
  </si>
  <si>
    <t xml:space="preserve">Sebastiana Silva Vieira Santos </t>
  </si>
  <si>
    <t>Eduardo Nery ( Fisio e Quiro) - CREFITO: 340097</t>
  </si>
  <si>
    <t>Leticia Pacheco Biscassi</t>
  </si>
  <si>
    <t>23822.08526.00</t>
  </si>
  <si>
    <t>Protocolodeenvio:25529218</t>
  </si>
  <si>
    <t>2ª-SENHA:18901081</t>
  </si>
  <si>
    <t>Zayde Rosa Monteiro Molina</t>
  </si>
  <si>
    <t>005529034</t>
  </si>
  <si>
    <t>Em Aberto (1/8)</t>
  </si>
  <si>
    <t>50000446 - Escola da Coluna/ Pedido Rpg (R$ 91,50)</t>
  </si>
  <si>
    <t>PMRPG27/08/26)</t>
  </si>
  <si>
    <t xml:space="preserve">Luiz Henrique Villela de Oliveira Marcondes </t>
  </si>
  <si>
    <t>Em Aberto (4/5)</t>
  </si>
  <si>
    <t>Falta Justificada</t>
  </si>
  <si>
    <t>4/5</t>
  </si>
  <si>
    <t>UNIDADE PAULISTA — 20 ATENDIMENTO(S)</t>
  </si>
  <si>
    <t>Mariana Brecht (Fisio + Pilates) - CREFITO: 3326492-F</t>
  </si>
  <si>
    <t>00190105-2</t>
  </si>
  <si>
    <t>0/10</t>
  </si>
  <si>
    <t>258400000700</t>
  </si>
  <si>
    <t>130187901</t>
  </si>
  <si>
    <t>Não se aplica</t>
  </si>
  <si>
    <t>Em Aberto (6/30)</t>
  </si>
  <si>
    <t>Jessica Oliveira</t>
  </si>
  <si>
    <t>Márcia Marur</t>
  </si>
  <si>
    <t>08:30</t>
  </si>
  <si>
    <t>6/30</t>
  </si>
  <si>
    <t>009873040</t>
  </si>
  <si>
    <t>535520037800</t>
  </si>
  <si>
    <t>(PM17/06)</t>
  </si>
  <si>
    <t>Lucas Cavalcante Bezerra da Silva</t>
  </si>
  <si>
    <t>(PM16/07)SenhaCarePlus:116603801</t>
  </si>
  <si>
    <t>Maria Fernanda Sousa Figueiroa</t>
  </si>
  <si>
    <t>Aprigio Pereira Lima</t>
  </si>
  <si>
    <t>084403155</t>
  </si>
  <si>
    <t>Laura Shizue Nozaki Nogueira</t>
  </si>
  <si>
    <t>16:45</t>
  </si>
  <si>
    <t>2 Fase: Bloco 8 Sessões Fisio Dupla/ Exercícios</t>
  </si>
  <si>
    <t>Luiz Eduardo Bianco</t>
  </si>
  <si>
    <t>004614038</t>
  </si>
  <si>
    <t>Avaliação  Em Fisioterapia</t>
  </si>
  <si>
    <t>Em Aberto (17/20)</t>
  </si>
  <si>
    <t>2023050044640</t>
  </si>
  <si>
    <t>252580042201</t>
  </si>
  <si>
    <t>17/20</t>
  </si>
  <si>
    <t>076335762</t>
  </si>
  <si>
    <t>Araci de Sá Nogueira</t>
  </si>
  <si>
    <t>Maria Das Gracas Oliveira Jota</t>
  </si>
  <si>
    <t>14:30</t>
  </si>
  <si>
    <t>(PM16/06)</t>
  </si>
  <si>
    <t>2025030049880</t>
  </si>
  <si>
    <t>17:30</t>
  </si>
  <si>
    <t>Carlos A. Neves (Fisio) - CREFITO: 157441</t>
  </si>
  <si>
    <t>Marisa Maria Coser Cabral de Mello</t>
  </si>
  <si>
    <t>108610089601</t>
  </si>
  <si>
    <t xml:space="preserve">Maria Virgínia Bernardes Bianco Dine </t>
  </si>
  <si>
    <t>15:15</t>
  </si>
  <si>
    <t>Triagem Psicológica</t>
  </si>
  <si>
    <t>008568081</t>
  </si>
  <si>
    <t>076335763</t>
  </si>
  <si>
    <t>1 Fase: Bloco 8 Sessões Fisio Individual</t>
  </si>
  <si>
    <t>2024070079690</t>
  </si>
  <si>
    <t>251440062201</t>
  </si>
  <si>
    <t>Paulo Henrique Liebana Costa</t>
  </si>
  <si>
    <t>Em Aberto (1/40)</t>
  </si>
  <si>
    <t>DATA 08/10/2026</t>
  </si>
  <si>
    <t>1/40</t>
  </si>
  <si>
    <t>UNIDADE PAULISTA — 8 ATENDIMENTO(S)</t>
  </si>
  <si>
    <t>07:00</t>
  </si>
  <si>
    <t>002524058</t>
  </si>
  <si>
    <t>3 Fase: Bloco 8 Sessões Fisio Grupo Pilates 4 Pessoas</t>
  </si>
  <si>
    <t>Priscilla Adélia Montezino</t>
  </si>
  <si>
    <t>2023050027510</t>
  </si>
  <si>
    <t>08/10/2026</t>
  </si>
  <si>
    <t>008288011</t>
  </si>
  <si>
    <t>Denise Guimarães Vilas Boas</t>
  </si>
  <si>
    <t>09:15</t>
  </si>
  <si>
    <t>2024110008370</t>
  </si>
  <si>
    <t>Degeneração macular - dor lombar</t>
  </si>
  <si>
    <t>Vinicius Weingartner Paim</t>
  </si>
  <si>
    <t>2023110022550</t>
  </si>
  <si>
    <t>Roberto Duarte Bertotti</t>
  </si>
  <si>
    <t>079962031</t>
  </si>
  <si>
    <t>RPG</t>
  </si>
  <si>
    <t>001821024</t>
  </si>
  <si>
    <t>2025030004130</t>
  </si>
  <si>
    <t>539010003101</t>
  </si>
  <si>
    <t>Julia Rigolin Araujo</t>
  </si>
  <si>
    <t>Em Aberto (2/6)</t>
  </si>
  <si>
    <t>100110056 - Consulta Ambulatorial Em Nutrição (R$ 116,66)</t>
  </si>
  <si>
    <t>516650007500</t>
  </si>
  <si>
    <t>Salma Tauil Montezino</t>
  </si>
  <si>
    <t>2023050017200</t>
  </si>
  <si>
    <t>Luiz Henrique Gonçalves Romagnoli</t>
  </si>
  <si>
    <t>Fisioterapia - 10/08/2026</t>
  </si>
  <si>
    <t>2025050096440</t>
  </si>
  <si>
    <t>1ª-Senhagerada:19155579</t>
  </si>
  <si>
    <t>Marcia Barroso Lopes Lucas</t>
  </si>
  <si>
    <t>ÚLTIMAS SESSÕES — conferir novo pedido se continuar</t>
  </si>
  <si>
    <t>13:45</t>
  </si>
  <si>
    <t>008288003</t>
  </si>
  <si>
    <t>Patricia Lopes de Souza</t>
  </si>
  <si>
    <t>08:00</t>
  </si>
  <si>
    <t>2025110016050</t>
  </si>
  <si>
    <t>Sandra Maria Marur</t>
  </si>
  <si>
    <t>211000070100</t>
  </si>
  <si>
    <t>SenhaCarePlus:92412901</t>
  </si>
  <si>
    <t>009873058</t>
  </si>
  <si>
    <t>2024050073330</t>
  </si>
  <si>
    <t>Rpg Individual</t>
  </si>
  <si>
    <t>PedidoRPG</t>
  </si>
  <si>
    <t>MARIA NATÁLIA ARAÚJO DE BARROS</t>
  </si>
  <si>
    <t>Terezinha Gomes Nunes</t>
  </si>
  <si>
    <t>Joelma Iamac Nomura</t>
  </si>
  <si>
    <t>009040013</t>
  </si>
  <si>
    <t>2025110086210</t>
  </si>
  <si>
    <t>831392894</t>
  </si>
  <si>
    <t>Senha132794001</t>
  </si>
  <si>
    <t>Escola da Coluna/ Pedido Rpg - 10/08/2026</t>
  </si>
  <si>
    <t>2026040032920</t>
  </si>
  <si>
    <t>Vanessa Arilho Levy</t>
  </si>
  <si>
    <t>DATA 09/10/2026</t>
  </si>
  <si>
    <t>Kerly Kazumi Tanaka</t>
  </si>
  <si>
    <t>Nely Gomes de Oliveira</t>
  </si>
  <si>
    <t>001819046</t>
  </si>
  <si>
    <t>073571124</t>
  </si>
  <si>
    <t>Victória Varkulja Chiquito</t>
  </si>
  <si>
    <t>13/30</t>
  </si>
  <si>
    <t>004742052</t>
  </si>
  <si>
    <t>09/10/2026</t>
  </si>
  <si>
    <t>07:00 às 07:44</t>
  </si>
  <si>
    <t>2026030040751</t>
  </si>
  <si>
    <t>11:30 às 12:14</t>
  </si>
  <si>
    <t>830851089</t>
  </si>
  <si>
    <t>ALERTA FINAL — conferir novo pedido/continuidade</t>
  </si>
  <si>
    <t>MEIRE BERNADETE PEREIRA COSTA</t>
  </si>
  <si>
    <t>Natalia Lisboa</t>
  </si>
  <si>
    <t>Angela Oliveira da Silva (Fisio Granja)</t>
  </si>
  <si>
    <t>Não compareceu</t>
  </si>
  <si>
    <t>10:00 às 10:45</t>
  </si>
  <si>
    <t>00540005-8</t>
  </si>
  <si>
    <t>Psicoterapia - 10/08/2026</t>
  </si>
  <si>
    <t>Thays Correa Raymundo de Moura</t>
  </si>
  <si>
    <t>2025110025610</t>
  </si>
  <si>
    <t>12:15 às 12:59</t>
  </si>
  <si>
    <t>086571142</t>
  </si>
  <si>
    <t>Natália de Aguiar Bonifacio</t>
  </si>
  <si>
    <t>UNIDADE PAULISTA — 37 ATENDIMENTO(S)</t>
  </si>
  <si>
    <t>ERICK DUQUE DAZ KVUIX</t>
  </si>
  <si>
    <t>083724845</t>
  </si>
  <si>
    <t>16:00 às 16:44</t>
  </si>
  <si>
    <t>Renasuli Damião Guarnetti</t>
  </si>
  <si>
    <t>20:00</t>
  </si>
  <si>
    <t>Psicoterapia</t>
  </si>
  <si>
    <t>3/20</t>
  </si>
  <si>
    <t>427854920</t>
  </si>
  <si>
    <t>53575.00080.00</t>
  </si>
  <si>
    <t>ALBERTO YUKIO ABE</t>
  </si>
  <si>
    <t>Protocolodeenvio:25694600</t>
  </si>
  <si>
    <t>010589007</t>
  </si>
  <si>
    <t>14:30 às 15:14</t>
  </si>
  <si>
    <t>Alessandra  Gonçalves de Castro</t>
  </si>
  <si>
    <t>ATM</t>
  </si>
  <si>
    <t>Cleide Aparecida Pereira Macedo</t>
  </si>
  <si>
    <t>50000462 - Consulta Em Psicoterapia (R$ 89,00)</t>
  </si>
  <si>
    <t>17:30 às 18:14</t>
  </si>
  <si>
    <t>008315027</t>
  </si>
  <si>
    <t>734179</t>
  </si>
  <si>
    <t>202870303100</t>
  </si>
  <si>
    <t>Filomena de Fátima Faia Fernandes</t>
  </si>
  <si>
    <t>0/8</t>
  </si>
  <si>
    <t>155010-1</t>
  </si>
  <si>
    <t>Camila (Fisio e Osteopata) - CREFITO: 77826</t>
  </si>
  <si>
    <t>Helena de Mello Freitas</t>
  </si>
  <si>
    <t>Raquel Santos (Pilates e Rpg) - CREFITO: 175827-F</t>
  </si>
  <si>
    <t>2023070038650</t>
  </si>
  <si>
    <t>Lucas Mariano de Jesus</t>
  </si>
  <si>
    <t>17:00 às 17:59</t>
  </si>
  <si>
    <t>23083.00603.00</t>
  </si>
  <si>
    <t>230830060300</t>
  </si>
  <si>
    <t>2023080041810</t>
  </si>
  <si>
    <t>13:00 às 13:44</t>
  </si>
  <si>
    <t>288190079701</t>
  </si>
  <si>
    <t>Protocolodeenvio:25895010</t>
  </si>
  <si>
    <t>1ª SESSÃO — conferir pedido médico atualizado</t>
  </si>
  <si>
    <t>Ana Julia Nogueira Ferreira Monteiro</t>
  </si>
  <si>
    <t>2024050047100</t>
  </si>
  <si>
    <t>Escola da Coluna/ Pedido Rpg</t>
  </si>
  <si>
    <t>004705025</t>
  </si>
  <si>
    <t>909648778</t>
  </si>
  <si>
    <t>2025020037080</t>
  </si>
  <si>
    <t>Em Aberto (8/10)</t>
  </si>
  <si>
    <t>Talasa Farber dos Santos</t>
  </si>
  <si>
    <t>27/40</t>
  </si>
  <si>
    <t>28217.00014.00</t>
  </si>
  <si>
    <t>(PM12/03/26)</t>
  </si>
  <si>
    <t>Protocolodeenvio:25910892</t>
  </si>
  <si>
    <t>2026060016201</t>
  </si>
  <si>
    <t>DATA 13/10/2026</t>
  </si>
  <si>
    <t>2025040042470</t>
  </si>
  <si>
    <t>MÍRIAM CECÍLIA NASTARI DE CRISTÓFARO</t>
  </si>
  <si>
    <t>Celia Aparecida Vanoni</t>
  </si>
  <si>
    <t>Andréia Oliveira Silva</t>
  </si>
  <si>
    <t>086343935</t>
  </si>
  <si>
    <t>006367003</t>
  </si>
  <si>
    <t>13/10/2026</t>
  </si>
  <si>
    <t>Carlos Matias Sebastian Rodriguez</t>
  </si>
  <si>
    <t>18:15 às 18:59</t>
  </si>
  <si>
    <t>Cícera Edna Moderno Fernandes</t>
  </si>
  <si>
    <t>Priscila Pantaleoni Mariaca</t>
  </si>
  <si>
    <t>11:30 às 12:15</t>
  </si>
  <si>
    <t>007958080</t>
  </si>
  <si>
    <t>2025120002870</t>
  </si>
  <si>
    <t>FALTA JUSTIFICADA — não solicitar token/autorização</t>
  </si>
  <si>
    <t>Fernanda Giacomini</t>
  </si>
  <si>
    <t>2024010032790</t>
  </si>
  <si>
    <t>Caroline Nobue Kurosawa Pontin</t>
  </si>
  <si>
    <t>12:00 às 12:59</t>
  </si>
  <si>
    <t>084642485</t>
  </si>
  <si>
    <t>Sebastiana Silva Vieira Santos</t>
  </si>
  <si>
    <t>10250 00768 00</t>
  </si>
  <si>
    <t>Asenhaé551924</t>
  </si>
  <si>
    <t>Glauce Roseane de Almeida Brito</t>
  </si>
  <si>
    <t>2023120032420</t>
  </si>
  <si>
    <t>10:45 às 11:29</t>
  </si>
  <si>
    <t>097142538</t>
  </si>
  <si>
    <t>3/6</t>
  </si>
  <si>
    <t>Haydee Apparecida Mariz de Oliveira</t>
  </si>
  <si>
    <t>076324527</t>
  </si>
  <si>
    <t>Aguardandopedido</t>
  </si>
  <si>
    <t>19:00 às 19:44</t>
  </si>
  <si>
    <t>2ª-SENHA:19164170</t>
  </si>
  <si>
    <t>Frederico Crespo Henriques de Paula Aguiar</t>
  </si>
  <si>
    <t>251440062200</t>
  </si>
  <si>
    <t>2ª-SENHA:19099091</t>
  </si>
  <si>
    <t>2026050036770</t>
  </si>
  <si>
    <t>36/40</t>
  </si>
  <si>
    <t>8/12</t>
  </si>
  <si>
    <t>Denise Regina Montroni</t>
  </si>
  <si>
    <t>274610007100</t>
  </si>
  <si>
    <t>831371560</t>
  </si>
  <si>
    <t>10:00 às 10:44</t>
  </si>
  <si>
    <t>001562037</t>
  </si>
  <si>
    <t>0/6</t>
  </si>
  <si>
    <t>Em Aberto (5/8)</t>
  </si>
  <si>
    <t>Escola da Coluna/ Pedido Fisioterapia</t>
  </si>
  <si>
    <t>SenhaCarePlus:136899901</t>
  </si>
  <si>
    <t>fisioterapia</t>
  </si>
  <si>
    <t>ROBERTA DE OLIVEIRA CARMINATI</t>
  </si>
  <si>
    <t>13:00 às 13:59</t>
  </si>
  <si>
    <t>Em Aberto (19/20)</t>
  </si>
  <si>
    <t>530560004700</t>
  </si>
  <si>
    <t>UNIDADE GRANJA VIANA — 3 ATENDIMENTO(S)</t>
  </si>
  <si>
    <t>Paciente não quer realizar a Biompedancia</t>
  </si>
  <si>
    <t>2025070033260</t>
  </si>
  <si>
    <t>Eduardo Salem Garcia Miguel</t>
  </si>
  <si>
    <t>Silbevania Maria Siqueira de Lima</t>
  </si>
  <si>
    <t>TIAGO LIMA FREIRE</t>
  </si>
  <si>
    <t>17:15</t>
  </si>
  <si>
    <t>11:00 às 11:59</t>
  </si>
  <si>
    <t>Jessica Oliveira de Souza Siqueira (Fisio Granja) - CREFITO: 247386</t>
  </si>
  <si>
    <t>062440772</t>
  </si>
  <si>
    <t>25814.00320.01</t>
  </si>
  <si>
    <t>009180036</t>
  </si>
  <si>
    <t>(PM31/08/26)</t>
  </si>
  <si>
    <t>18:15 às 19:00</t>
  </si>
  <si>
    <t>Em Aberto (/10)</t>
  </si>
  <si>
    <t>-</t>
  </si>
  <si>
    <t>Elisabeth  Adelia Bergantini Domingues</t>
  </si>
  <si>
    <t>DATA 14/10/2026</t>
  </si>
  <si>
    <t>Vinicius Siqueira de Lima</t>
  </si>
  <si>
    <t>ÚLTIMAS SESSÕES — conferir novo pedido se continuar | MEDSÊNIOR — conferir fase no Ágil</t>
  </si>
  <si>
    <t>Giovanna Barros Soares ( Fisio Granja) - CREFITO: 384979</t>
  </si>
  <si>
    <t>001389009</t>
  </si>
  <si>
    <t>072751270</t>
  </si>
  <si>
    <t>2ª-SENHA:19254967</t>
  </si>
  <si>
    <t>Elizabeth Silveira  Cabral Vilhena</t>
  </si>
  <si>
    <t>Em Aberto (5/20)</t>
  </si>
  <si>
    <t>14/10/2026</t>
  </si>
  <si>
    <t>009074015</t>
  </si>
  <si>
    <t>ALERTA FINAL — conferir continuidade/pedido médico</t>
  </si>
  <si>
    <t>Em Aberto (3/10)</t>
  </si>
  <si>
    <t>Fernanda Boccuzzi Rodrigues</t>
  </si>
  <si>
    <t>09:00</t>
  </si>
  <si>
    <t>Não solicitar token/autorização — atendimento cancelado/justificado</t>
  </si>
  <si>
    <t>07:45 às 08:29</t>
  </si>
  <si>
    <t>007246030</t>
  </si>
  <si>
    <t>2024090075800</t>
  </si>
  <si>
    <t>1ª-SENHA:19089350</t>
  </si>
  <si>
    <t>Zilclelia Nery de Souza</t>
  </si>
  <si>
    <t>Flavia Maroni Simonsen</t>
  </si>
  <si>
    <t>2024040012870</t>
  </si>
  <si>
    <t>1ª-SENHA:19221698</t>
  </si>
  <si>
    <t>1ª SESSÃO — conferir pedido médico atualizado | ÚLTIMAS SESSÕES — conferir novo pedido se continuar</t>
  </si>
  <si>
    <t>004890000</t>
  </si>
  <si>
    <t>Em Aberto (5/5)</t>
  </si>
  <si>
    <t>Haroldo Rosa Rodrigues</t>
  </si>
  <si>
    <t>08:30 às 09:14</t>
  </si>
  <si>
    <t>5/5</t>
  </si>
  <si>
    <t>004506006</t>
  </si>
  <si>
    <t>15:15 às 15:59</t>
  </si>
  <si>
    <t>(PM16/07)</t>
  </si>
  <si>
    <t>Lucas Jorge Martins Dorta Goes Rahyn</t>
  </si>
  <si>
    <t>081650214101</t>
  </si>
  <si>
    <t>SenhaCarePlus:135914901</t>
  </si>
  <si>
    <t>1ª SESSÃO — conferir pedido médico atualizado | ALERTA FINAL — conferir continuidade/pedido médico</t>
  </si>
  <si>
    <t>Marcio Leinfelder</t>
  </si>
  <si>
    <t>083046029</t>
  </si>
  <si>
    <t>09:15 às 09:59</t>
  </si>
  <si>
    <t>João José Montezino</t>
  </si>
  <si>
    <t>1ª-SENHA:19073336</t>
  </si>
  <si>
    <t>008288020</t>
  </si>
  <si>
    <t>SenhaCarePlus:136324801</t>
  </si>
  <si>
    <t>15:00</t>
  </si>
  <si>
    <t>Em Aberto (6/20)</t>
  </si>
  <si>
    <t>DATA 15/10/2026</t>
  </si>
  <si>
    <t>Jorge Oswaldo Calderón Velasquez</t>
  </si>
  <si>
    <t>Em Aberto (23/30)</t>
  </si>
  <si>
    <t>20251200060920</t>
  </si>
  <si>
    <t>Em Aberto (4/30)</t>
  </si>
  <si>
    <t>23/30</t>
  </si>
  <si>
    <t>005325021</t>
  </si>
  <si>
    <t>4/30</t>
  </si>
  <si>
    <t>15/10/2026</t>
  </si>
  <si>
    <t>ALERTA FINAL — conferir novo pedido/continuidade | MEDSÊNIOR — conferir fase seguinte</t>
  </si>
  <si>
    <t>Leonardo Folador</t>
  </si>
  <si>
    <t>14:30 às 15:13</t>
  </si>
  <si>
    <t>007694164</t>
  </si>
  <si>
    <t>2ª-SENHA:19237371</t>
  </si>
  <si>
    <t>2025100094870</t>
  </si>
  <si>
    <t>13:45 às 14:29</t>
  </si>
  <si>
    <t>Marta Irene Zanetti Marani</t>
  </si>
  <si>
    <t>2023090026240</t>
  </si>
  <si>
    <t>1ª-SENHA:19120121</t>
  </si>
  <si>
    <t>Manuela Kelly de Sena Silva</t>
  </si>
  <si>
    <t>3ª-SENHA:19281974</t>
  </si>
  <si>
    <t>UNIDADE PAULISTA — 19 ATENDIMENTO(S)</t>
  </si>
  <si>
    <t>Marcelo Augusto Leigui de Oliveira</t>
  </si>
  <si>
    <t>Liliane Pereira Da Cruz</t>
  </si>
  <si>
    <t>01103800-4</t>
  </si>
  <si>
    <t>537580000400</t>
  </si>
  <si>
    <t>Maria Brito</t>
  </si>
  <si>
    <t>08:00 às 08:59</t>
  </si>
  <si>
    <t>Rpg Individual - 10/08/2026</t>
  </si>
  <si>
    <t>523770012200</t>
  </si>
  <si>
    <t>Marino Vieira Junior</t>
  </si>
  <si>
    <t>276740026300</t>
  </si>
  <si>
    <t>Maria Aparecida Pompilho Takashiro</t>
  </si>
  <si>
    <t>Protocolodeenvio25894986</t>
  </si>
  <si>
    <t>08:00 às 08:44</t>
  </si>
  <si>
    <t>006542018</t>
  </si>
  <si>
    <t>Samuel Tadayuki Kaji</t>
  </si>
  <si>
    <t>07:00 às 07:59</t>
  </si>
  <si>
    <t>SENHA016587</t>
  </si>
  <si>
    <t>Em Aberto (12/20)</t>
  </si>
  <si>
    <t>12:15 às 12:58</t>
  </si>
  <si>
    <t>12/20</t>
  </si>
  <si>
    <t>1/23</t>
  </si>
  <si>
    <t>831392924</t>
  </si>
  <si>
    <t>16:00 às 16:45</t>
  </si>
  <si>
    <t>DATA 16/10/2026</t>
  </si>
  <si>
    <t>Marina Lago Arruda</t>
  </si>
  <si>
    <t>008298041</t>
  </si>
  <si>
    <t>16/10/2026</t>
  </si>
  <si>
    <t>Marta Maria de Alvarenga Freire</t>
  </si>
  <si>
    <t>senha123428301</t>
  </si>
  <si>
    <t>006709001</t>
  </si>
  <si>
    <t>Patricia Lanciano (Psico)</t>
  </si>
  <si>
    <t>SenhaCarePlus:139955701</t>
  </si>
  <si>
    <t>Paulo Magalhaes Vizotto</t>
  </si>
  <si>
    <t>14/30</t>
  </si>
  <si>
    <t>Danilo Martins Costa</t>
  </si>
  <si>
    <t>18:00:00</t>
  </si>
  <si>
    <t>001562029</t>
  </si>
  <si>
    <t>16:45 às 17:29</t>
  </si>
  <si>
    <t>Maria Suzana Stefano Menin</t>
  </si>
  <si>
    <t>08733.13102.00</t>
  </si>
  <si>
    <t>076335693</t>
  </si>
  <si>
    <t>Raimundo Rodrigues Teixeira</t>
  </si>
  <si>
    <t>007246005</t>
  </si>
  <si>
    <t>3ª-SENHA:19266872</t>
  </si>
  <si>
    <t>10:45 às 11:30</t>
  </si>
  <si>
    <t>37/40</t>
  </si>
  <si>
    <t>18/24</t>
  </si>
  <si>
    <t>Silvia de Oliveira Santos</t>
  </si>
  <si>
    <t>Em Aberto (8/20)</t>
  </si>
  <si>
    <t>UNIDADE GRANJA VIANA — 4 ATENDIMENTO(S)</t>
  </si>
  <si>
    <t>005313031</t>
  </si>
  <si>
    <t>DATA 19/10/2026</t>
  </si>
  <si>
    <t>Suely Raya de Calderon</t>
  </si>
  <si>
    <t>Piero Antonaccio Grani (Personal) - CREFITO: estagiário</t>
  </si>
  <si>
    <t>Em Aberto (25/30)</t>
  </si>
  <si>
    <t>Imotion (Estimulação Elétrica Transcutânea) - 04/11/2025</t>
  </si>
  <si>
    <t>25/30</t>
  </si>
  <si>
    <t>005325005</t>
  </si>
  <si>
    <t>19/10/2026</t>
  </si>
  <si>
    <t>Tratamento</t>
  </si>
  <si>
    <t>FIM DE CICLO — conferir continuidade</t>
  </si>
  <si>
    <t>UNIDADE PAULISTA — 46 ATENDIMENTO(S)</t>
  </si>
  <si>
    <t>Viviana  Gandara Edel</t>
  </si>
  <si>
    <t>Consulta Fisioterapia</t>
  </si>
  <si>
    <t>1ª SESSÃO — conferir pedido médico atualizado | ALERTA FINAL — conferir novo pedido/continuidade</t>
  </si>
  <si>
    <t>Carolina Oliveira Martins Costa</t>
  </si>
  <si>
    <t>0000000000</t>
  </si>
  <si>
    <t>Protocolodeenvio:25684132</t>
  </si>
  <si>
    <t>PRIMEIRA SESSÃO — conferir pedido e autorização</t>
  </si>
  <si>
    <t>Maria José (Rpg e Fisio) - CREFITO: 17584</t>
  </si>
  <si>
    <t>Sessão Ambulatorial Em Fisioterapia</t>
  </si>
  <si>
    <t>ALERTA FINAL — conferir continuidade/pedido médico | MEDSÊNIOR — conferir fase seguinte</t>
  </si>
  <si>
    <t>Icaro Vaz Freire</t>
  </si>
  <si>
    <t>081650214100</t>
  </si>
  <si>
    <t>Asenhaparaoatendimentoé1359144</t>
  </si>
  <si>
    <t>Drenagem Linfática Manual</t>
  </si>
  <si>
    <t>SenhaCarePlus:136340801</t>
  </si>
  <si>
    <t>Isabela Cristine Rodrigues</t>
  </si>
  <si>
    <t>53758.00026.00</t>
  </si>
  <si>
    <t>Pilates On The Ball</t>
  </si>
  <si>
    <t>Protocolodeenvio:25953494</t>
  </si>
  <si>
    <t>Aguardando pedido médico</t>
  </si>
  <si>
    <t>2ª-SENHA:19120389</t>
  </si>
  <si>
    <t>Gabriel Gil Brás Maria</t>
  </si>
  <si>
    <t>Sessão Psicoterapia</t>
  </si>
  <si>
    <t>088368099</t>
  </si>
  <si>
    <t>20/20</t>
  </si>
  <si>
    <t>senha135258101</t>
  </si>
  <si>
    <t>Protocolodeenvio:25998030</t>
  </si>
  <si>
    <t>2ª-SENHA:19300917</t>
  </si>
  <si>
    <t>Murilo Rocha Regatieri</t>
  </si>
  <si>
    <t>2025040026100</t>
  </si>
  <si>
    <t>9/20</t>
  </si>
  <si>
    <t>2ª-SENHA:19296901</t>
  </si>
  <si>
    <t>Protocolodeenvio:26030500</t>
  </si>
  <si>
    <t>Carlos Armando Lima Augusto</t>
  </si>
  <si>
    <t>13:00</t>
  </si>
  <si>
    <t>010673016</t>
  </si>
  <si>
    <t>DATA 20/10/2026</t>
  </si>
  <si>
    <t>Rpg</t>
  </si>
  <si>
    <t>Cesar Hiroyuki Momosaki</t>
  </si>
  <si>
    <t>20/10/2026</t>
  </si>
  <si>
    <t>18:00</t>
  </si>
  <si>
    <t>Consulta Em Nutrição - 10/03/2026</t>
  </si>
  <si>
    <t>6/7</t>
  </si>
  <si>
    <t>900537310</t>
  </si>
  <si>
    <t>Solicitar token da Josineide referente a sessão de sexta feira depois excluir tratamento</t>
  </si>
  <si>
    <t>Pendente</t>
  </si>
  <si>
    <t>FIM DE CICLO — conferir continuidade e novo pedido</t>
  </si>
  <si>
    <t>15/30</t>
  </si>
  <si>
    <t>Protocolodeenvio:26016699</t>
  </si>
  <si>
    <t>PRIMEIRA SESSÃO — conferir pedido médico, guia e autorização</t>
  </si>
  <si>
    <t>Leticia Kaori Taasaki</t>
  </si>
  <si>
    <t>06/04/2026</t>
  </si>
  <si>
    <t>Edson Assencio</t>
  </si>
  <si>
    <t xml:space="preserve">Letícia Souza Bamonte </t>
  </si>
  <si>
    <t>009121021</t>
  </si>
  <si>
    <t>Evely Moreira Figueiredo</t>
  </si>
  <si>
    <t>FALTA JUSTIFICADA</t>
  </si>
  <si>
    <t>17:00</t>
  </si>
  <si>
    <t>Consulta Em Nutrição</t>
  </si>
  <si>
    <t>003993027</t>
  </si>
  <si>
    <t>20:00 às 20:44</t>
  </si>
  <si>
    <t>Desmarcado pelo profissional</t>
  </si>
  <si>
    <t>Bioimpedância</t>
  </si>
  <si>
    <t>Fernando Deluqui Vasques</t>
  </si>
  <si>
    <t>000455032</t>
  </si>
  <si>
    <t>Fernando Hideo Eimori</t>
  </si>
  <si>
    <t>006252001</t>
  </si>
  <si>
    <t>28/40</t>
  </si>
  <si>
    <t>Leda Marta Perini Rosas</t>
  </si>
  <si>
    <t>Carlos Henrique Rossin</t>
  </si>
  <si>
    <t>074337156</t>
  </si>
  <si>
    <t>011123001</t>
  </si>
  <si>
    <t>7/30</t>
  </si>
  <si>
    <t>Luciana Maria Kawahara</t>
  </si>
  <si>
    <t>11:00</t>
  </si>
  <si>
    <t>10664685</t>
  </si>
  <si>
    <t>006549020</t>
  </si>
  <si>
    <t>16:45 às 17:30</t>
  </si>
  <si>
    <t>0/40</t>
  </si>
  <si>
    <t>Bioimpedância - 10/03/2026</t>
  </si>
  <si>
    <t>Mirian Gregorio Lorena</t>
  </si>
  <si>
    <t>0/12</t>
  </si>
  <si>
    <t>Luís Augusto Liébana Costa</t>
  </si>
  <si>
    <t>2023060053560</t>
  </si>
  <si>
    <t>1ª-SENHA:19224393</t>
  </si>
  <si>
    <t>Consulta Ambulatorial Em Fisioterapia - 01/03/2024</t>
  </si>
  <si>
    <t>20/06/2023</t>
  </si>
  <si>
    <t>UNIDADE PAULISTA — 22 ATENDIMENTO(S)</t>
  </si>
  <si>
    <t>Magda Starke Lee</t>
  </si>
  <si>
    <t>004835018</t>
  </si>
  <si>
    <t>17:15 às 17:59</t>
  </si>
  <si>
    <t>Maria Celeste Granado Bastos de Sousa Kamiyama</t>
  </si>
  <si>
    <t>Fisioterapia/Escola da Coluna</t>
  </si>
  <si>
    <t>011145005</t>
  </si>
  <si>
    <t>FIM DE CICLO — conferir continuidade | MEDSÊNIOR — conferir próxima fase</t>
  </si>
  <si>
    <t xml:space="preserve">Filomena de Fátima Faia Fernandes </t>
  </si>
  <si>
    <t xml:space="preserve">155010-1 </t>
  </si>
  <si>
    <t>Jane trad alves</t>
  </si>
  <si>
    <t>19:00 às 19:45</t>
  </si>
  <si>
    <t>Regina Célia Chirico Carregosa</t>
  </si>
  <si>
    <t>7/20</t>
  </si>
  <si>
    <t>Renata Cypriano Dellamonica</t>
  </si>
  <si>
    <t>008747008</t>
  </si>
  <si>
    <t>15:00 às 15:44</t>
  </si>
  <si>
    <t>Vera Aparecida Marques</t>
  </si>
  <si>
    <t>FIM DE CICLO — conferir continuidade e novo pedido | MEDSÊNIOR — conferir próxima fase</t>
  </si>
  <si>
    <t xml:space="preserve">Denise Guimarães Vilas Boas </t>
  </si>
  <si>
    <t>Em Aberto (2/23)</t>
  </si>
  <si>
    <t>2/23</t>
  </si>
  <si>
    <t>Em Aberto (2/40)</t>
  </si>
  <si>
    <t>Aline Madeira (Psico Tcc)</t>
  </si>
  <si>
    <t>2/40</t>
  </si>
  <si>
    <t>Simone Terra da Costa</t>
  </si>
  <si>
    <t>009525009</t>
  </si>
  <si>
    <t>Em Aberto (3/3)</t>
  </si>
  <si>
    <t>3/3</t>
  </si>
  <si>
    <t>Em Aberto (16/30)</t>
  </si>
  <si>
    <t xml:space="preserve">Zilclelia Nery de Souza </t>
  </si>
  <si>
    <t>16/30</t>
  </si>
  <si>
    <t>Em Aberto (5/30)</t>
  </si>
  <si>
    <t>5/30</t>
  </si>
  <si>
    <t>Em Aberto (7/20)</t>
  </si>
  <si>
    <t>Em Aberto (19/24)</t>
  </si>
  <si>
    <t>19/24</t>
  </si>
  <si>
    <t>Em Aberto (4/20)</t>
  </si>
  <si>
    <t>Yolla Meisa Ferreira e Silva Cana Brasil</t>
  </si>
  <si>
    <t>Giovanna Barros Soares ( Fisio Granja)</t>
  </si>
  <si>
    <t>002156075</t>
  </si>
  <si>
    <t>UNIDADE PAULISTA — 25 ATENDIMENTO(S)</t>
  </si>
  <si>
    <t>UNIDADE PAULISTA — 39 ATENDIMENTO(S)</t>
  </si>
  <si>
    <t xml:space="preserve">Gabriel Gil Brás Maria </t>
  </si>
  <si>
    <t>7/7</t>
  </si>
  <si>
    <t>8/30</t>
  </si>
  <si>
    <t>Andrea Lancas de Oliveira Lago</t>
  </si>
  <si>
    <t>008298025</t>
  </si>
  <si>
    <t>Marina Lage Gomes Demasi</t>
  </si>
  <si>
    <t>Natalia Rodrigues Horvath</t>
  </si>
  <si>
    <t>088347053</t>
  </si>
  <si>
    <t>Carolina Lee Uenoyama</t>
  </si>
  <si>
    <t>12/06/2026</t>
  </si>
  <si>
    <t>Rodrigo Ignacio Migone Moenen</t>
  </si>
  <si>
    <t>Consulta Ambulatorial Em Fisioterapia</t>
  </si>
  <si>
    <t>009649042</t>
  </si>
  <si>
    <t>Claudia Maria Costa  Soares</t>
  </si>
  <si>
    <t>010885013</t>
  </si>
  <si>
    <t>Felipe Motta do Nascimento</t>
  </si>
  <si>
    <t>009827005</t>
  </si>
  <si>
    <t>17/30</t>
  </si>
  <si>
    <t>Janete Aparecida Paiva</t>
  </si>
  <si>
    <t>006364012</t>
  </si>
  <si>
    <t>24/30</t>
  </si>
  <si>
    <t>Luiz Henrique Villela de Oliveira Marcondes</t>
  </si>
  <si>
    <t>Maria Cristina Boccuzzi Rodrigues</t>
  </si>
  <si>
    <t>007246013</t>
  </si>
  <si>
    <t>Maria Regina de Paiva Frederighi</t>
  </si>
  <si>
    <t>000192031</t>
  </si>
  <si>
    <t>Maria Virginia Ferreira de Carvalho</t>
  </si>
  <si>
    <t>000455024</t>
  </si>
  <si>
    <t>Mario Yotio Okazawa</t>
  </si>
  <si>
    <t>11/40</t>
  </si>
  <si>
    <t>008921008</t>
  </si>
  <si>
    <t>28/07/2026</t>
  </si>
  <si>
    <t>Marli de Fátima da Silva Marino</t>
  </si>
  <si>
    <t>005548012</t>
  </si>
  <si>
    <t>Mieko Shiroma</t>
  </si>
  <si>
    <t>900624787</t>
  </si>
  <si>
    <t>0/20</t>
  </si>
  <si>
    <t>15/15</t>
  </si>
  <si>
    <t>ObservarquepedidodeAbril</t>
  </si>
  <si>
    <t>26/30</t>
  </si>
  <si>
    <t>Vanessa Simone Pereira</t>
  </si>
  <si>
    <t>010236015</t>
  </si>
  <si>
    <t>Áurea Ribeiro Carvalho Leitao</t>
  </si>
  <si>
    <t>010183019</t>
  </si>
  <si>
    <t>Angela Oliveira da Silva (Fisio Granja) - CREFITO: 365358</t>
  </si>
  <si>
    <t>Em Aberto (1/20)</t>
  </si>
  <si>
    <t>1/20</t>
  </si>
  <si>
    <t>Em Aberto (10/20)</t>
  </si>
  <si>
    <t>Em Aberto (20/20)</t>
  </si>
  <si>
    <t>Juliana Yumi Shiina Morato</t>
  </si>
  <si>
    <t>001783050</t>
  </si>
  <si>
    <t>50000560 - Consulta Em Nutrição (R$ 84,00)</t>
  </si>
  <si>
    <t>41301048 - Bioimpedância (R$ 21,00)</t>
  </si>
  <si>
    <t>UNIDADE PAULISTA — 33 ATENDIMENTO(S)</t>
  </si>
  <si>
    <t>Adriano Tadashi Costa Doho</t>
  </si>
  <si>
    <t>003692027</t>
  </si>
  <si>
    <t>Alessandra Amaral de Souza</t>
  </si>
  <si>
    <t>14:00 às 14:59</t>
  </si>
  <si>
    <t>002199025</t>
  </si>
  <si>
    <t>Lucas Cesar Severino de Carvalho</t>
  </si>
  <si>
    <t>90127787-8</t>
  </si>
  <si>
    <t>07:45 às 08:30</t>
  </si>
  <si>
    <t>08:30 às 09:15</t>
  </si>
  <si>
    <t>Sofia Moderno Fernandes</t>
  </si>
  <si>
    <t>007958064</t>
  </si>
  <si>
    <t>aguardandopedido</t>
  </si>
  <si>
    <t>UNIDADE PAULISTA — 41 ATENDIMENTO(S)</t>
  </si>
  <si>
    <t>14:30 às 15:15</t>
  </si>
  <si>
    <t>07:00 às 07:45</t>
  </si>
  <si>
    <t>15:15 às 16:00</t>
  </si>
  <si>
    <t>OMINT SKILL — OUTUBRO 2026   |   🔤 A–Z   🕐 HORÁRIO   👤 PROFISSIONAL   📋 STATUS</t>
  </si>
  <si>
    <t>Fagner Vilas Boas Souza</t>
  </si>
  <si>
    <t>16:00 às 16:14</t>
  </si>
  <si>
    <t>010545000</t>
  </si>
  <si>
    <t>16:00 às 16:59</t>
  </si>
  <si>
    <t>Lais Zamboni  Correa</t>
  </si>
  <si>
    <t>50000160 - Fisioterapia (R$ 59,22)</t>
  </si>
  <si>
    <t>Marili Cristina Oliveira Montagnana</t>
  </si>
  <si>
    <t>Não compareceu (8/10)</t>
  </si>
  <si>
    <t>50000446 - Rpg (R$ 63,21)</t>
  </si>
  <si>
    <t>30/07/2026</t>
  </si>
  <si>
    <t xml:space="preserve">Nadina Damazio do Nascimento </t>
  </si>
  <si>
    <t>25764887 00 00 3</t>
  </si>
  <si>
    <t>Patricia Fátima da Silva</t>
  </si>
  <si>
    <t>Patricia I Medina</t>
  </si>
  <si>
    <t>Thais Breda Antunes de Lima</t>
  </si>
  <si>
    <t>25709551 00 04 5</t>
  </si>
  <si>
    <t>UNIDADE PAULISTA — 5 ATENDIMENTO(S)</t>
  </si>
  <si>
    <t>Alice De Oliveira Medina</t>
  </si>
  <si>
    <t>25270323 00 03 0</t>
  </si>
  <si>
    <t>Mariana Diaz Dutra</t>
  </si>
  <si>
    <t>Tatiana Rodrigues Nascimento</t>
  </si>
  <si>
    <t>Victoria Cattony Lopes</t>
  </si>
  <si>
    <t>UNIDADE PAULISTA — 9 ATENDIMENTO(S)</t>
  </si>
  <si>
    <t>Amanda Cecilia Letnar Molina Leyton</t>
  </si>
  <si>
    <t>Amaury Braga Calixto</t>
  </si>
  <si>
    <t>Andréia Magalhães</t>
  </si>
  <si>
    <t>09:15 às 10:00</t>
  </si>
  <si>
    <t>eduardo ogalla tinti</t>
  </si>
  <si>
    <t>Luma Rodrigues de Oliveira</t>
  </si>
  <si>
    <t>UNIDADE PAULISTA — 42 ATENDIMENTO(S)</t>
  </si>
  <si>
    <t>Consulta Em Psicoterapia</t>
  </si>
  <si>
    <t>17:30 às 18:15</t>
  </si>
  <si>
    <t>Nadina Damazio do Nascimento</t>
  </si>
  <si>
    <t>2562165700003</t>
  </si>
  <si>
    <t>2575299900000</t>
  </si>
  <si>
    <t>Rodrigo Mello Montagnana</t>
  </si>
  <si>
    <t>25205626 00 07 7</t>
  </si>
  <si>
    <t>2582628000007</t>
  </si>
  <si>
    <t>2</t>
  </si>
  <si>
    <t>2482769300029</t>
  </si>
  <si>
    <t>2561913100037</t>
  </si>
  <si>
    <t>2452760801044</t>
  </si>
  <si>
    <t>2529959500006</t>
  </si>
  <si>
    <t>Thais Gimenes Franca</t>
  </si>
  <si>
    <t>13/20</t>
  </si>
  <si>
    <t>2573835200001</t>
  </si>
  <si>
    <t>Maria Luisa Bedin</t>
  </si>
  <si>
    <t>001557068</t>
  </si>
  <si>
    <t>UNIDADE PAULISTA — 4 ATENDIMENTO(S)</t>
  </si>
  <si>
    <t>12/40</t>
  </si>
  <si>
    <t>2520562601075</t>
  </si>
  <si>
    <t>UNIDADE PAULISTA — 7 ATENDIMENTO(S)</t>
  </si>
  <si>
    <t>13:45 às 14:30</t>
  </si>
  <si>
    <t>27/30</t>
  </si>
  <si>
    <t>Felipe Guedes</t>
  </si>
  <si>
    <t>4/4</t>
  </si>
  <si>
    <t>25741653 00 00 7</t>
  </si>
  <si>
    <t>Protocolo35966120260504044594</t>
  </si>
  <si>
    <t>Bioimpedânica</t>
  </si>
  <si>
    <t>Victória Jabur Pires</t>
  </si>
  <si>
    <t>006593097</t>
  </si>
  <si>
    <t>2569041300007</t>
  </si>
  <si>
    <t>15:00 às 15:59</t>
  </si>
  <si>
    <t>Consulta Em Nutrição - 30/07/2026</t>
  </si>
  <si>
    <t>Autorizaçãonumero2154645</t>
  </si>
  <si>
    <t>Victoria Goulart Netto</t>
  </si>
  <si>
    <t>18:00 às 18:14</t>
  </si>
  <si>
    <t>Bioimpedância Skill e Corporate (Ana Luiza de Paula Reis)</t>
  </si>
  <si>
    <t>2577491000001</t>
  </si>
  <si>
    <t>18:00 às 18:59</t>
  </si>
  <si>
    <t>Esdras Dos Santos Oliveira</t>
  </si>
  <si>
    <t>Jovem Aprendiz</t>
  </si>
  <si>
    <t>Ana Clara Gomes Silva</t>
  </si>
  <si>
    <t>90121329-2</t>
  </si>
  <si>
    <t>17:00 às 17:45</t>
  </si>
  <si>
    <t>Simone Maria dos santos</t>
  </si>
  <si>
    <t>15:00 às 15:14</t>
  </si>
  <si>
    <t>Bioimpedância Skill e Corporate</t>
  </si>
  <si>
    <t>2529997500018</t>
  </si>
  <si>
    <t>OProtocoloé:35966120260924033261</t>
  </si>
  <si>
    <t>2562092300000</t>
  </si>
  <si>
    <t>OMINT PREMIUM — OUTUBRO 2026   |   🔤 A–Z   🕐 HORÁRIO   👤 PROFISSIONAL   📋 STATUS</t>
  </si>
  <si>
    <t>12:15 às 13:00</t>
  </si>
  <si>
    <t>Ariadne do Nascimento</t>
  </si>
  <si>
    <t>50000446 - Rpg Individual (R$ 127,82)</t>
  </si>
  <si>
    <t>2470804200031</t>
  </si>
  <si>
    <t>5000160 - Fisioterapia (R$ 109,57)</t>
  </si>
  <si>
    <t>901234206</t>
  </si>
  <si>
    <t>Lijia Marina de Oliveira dos Santos</t>
  </si>
  <si>
    <t>Camila Vasconcelos Bezerra</t>
  </si>
  <si>
    <t>09:00 às 09:59</t>
  </si>
  <si>
    <t>2575430200006</t>
  </si>
  <si>
    <t>OProtocoloé:35966120260721027157</t>
  </si>
  <si>
    <t>Sandra Fernandes</t>
  </si>
  <si>
    <t>5000160 - Imotion/ Pedido Fisioterapia (R$ 109,57)</t>
  </si>
  <si>
    <t>20481065 01 16 3</t>
  </si>
  <si>
    <t>Maria Del  Carmen Rolon  Lopes</t>
  </si>
  <si>
    <t>10:00 às 10:59</t>
  </si>
  <si>
    <t>003587037</t>
  </si>
  <si>
    <t>Isabella Nogueira Silva</t>
  </si>
  <si>
    <t>Não compareceu (20/40)</t>
  </si>
  <si>
    <t>50000470 - Psicoterapia - 30/07/2026 (R$ 109,57)</t>
  </si>
  <si>
    <t>20/40</t>
  </si>
  <si>
    <t>Autorizaçãonumero2207460</t>
  </si>
  <si>
    <t>Shirley Akemi  Tomita</t>
  </si>
  <si>
    <t>Finalizado (11/40)</t>
  </si>
  <si>
    <t>auto:2224948</t>
  </si>
  <si>
    <t>Stephanie Dias Tavares</t>
  </si>
  <si>
    <t>Finalizado (27/30)</t>
  </si>
  <si>
    <t>Autorizaçãonumero2172418</t>
  </si>
  <si>
    <t>Autorização numero 2172418 Dia 16/03/2026  psicoterapia com 30 sessões.</t>
  </si>
  <si>
    <t>UNIDADE PAULISTA — 2 ATENDIMENTO(S)</t>
  </si>
  <si>
    <t>Amanda Balieiro de Souza</t>
  </si>
  <si>
    <t>50000470 - Psicoterapia (R$ 109,01)</t>
  </si>
  <si>
    <t>Autorizaçãonumero2229773</t>
  </si>
  <si>
    <t>João Victor Machado</t>
  </si>
  <si>
    <t>2546700200025</t>
  </si>
  <si>
    <t>13:00 às 13:45</t>
  </si>
  <si>
    <t>UNIDADE PAULISTA — 12 ATENDIMENTO(S)</t>
  </si>
  <si>
    <t>2510742602010</t>
  </si>
  <si>
    <t>Imotion/ Pedido Fisioterapia</t>
  </si>
  <si>
    <t>UNIDADE PAULISTA — 3 ATENDIMENTO(S)</t>
  </si>
  <si>
    <t>2546744000001</t>
  </si>
  <si>
    <t>Mariana Vieira da Silva</t>
  </si>
  <si>
    <t xml:space="preserve">Lijia Marina de Oliveira dos Santos </t>
  </si>
  <si>
    <t>Magnetoterapia, Teca, Bota, Ilib (Protocolo Regeneração) (deleted)</t>
  </si>
  <si>
    <t>2505260600016</t>
  </si>
  <si>
    <t>UNIDADE PAULISTA — 26 ATENDIMENTO(S)</t>
  </si>
  <si>
    <t>Psicoterapia - 30/07/2026</t>
  </si>
  <si>
    <t>28/30</t>
  </si>
  <si>
    <t>2492699000037</t>
  </si>
  <si>
    <t>2546744001009</t>
  </si>
  <si>
    <t>Em Aberto (26/30)</t>
  </si>
  <si>
    <t>21/40</t>
  </si>
  <si>
    <t>2514045002001</t>
  </si>
  <si>
    <t>Paula Cristina dos Reis Costa</t>
  </si>
  <si>
    <t>Consulta Nutrição</t>
  </si>
  <si>
    <t>25701780 00 00 6</t>
  </si>
  <si>
    <t>OProtocoloé:35966120260925027900</t>
  </si>
  <si>
    <t>2506638200059</t>
  </si>
  <si>
    <t>Shu Cheng Fang</t>
  </si>
  <si>
    <t>010029060</t>
  </si>
  <si>
    <t>Em Aberto (28/30)</t>
  </si>
  <si>
    <t>UNIDADE PAULISTA — 29 ATENDIMENTO(S)</t>
  </si>
  <si>
    <t>Em Aberto (22/40)</t>
  </si>
  <si>
    <t>22/40</t>
  </si>
  <si>
    <t>Maria Gabriella</t>
  </si>
  <si>
    <t>2547741500035</t>
  </si>
  <si>
    <t>Em Aberto (13/40)</t>
  </si>
  <si>
    <t>13/40</t>
  </si>
  <si>
    <t>Em Aberto (29/30)</t>
  </si>
  <si>
    <t>29/30</t>
  </si>
  <si>
    <t>UNIDADE PAULISTA — 1 ATENDIMENTO(S)</t>
  </si>
  <si>
    <t>14/20</t>
  </si>
  <si>
    <t>UNIDADE PAULISTA — 47 ATENDIMENTO(S)</t>
  </si>
  <si>
    <t>Arthur Aikawa</t>
  </si>
  <si>
    <t>CONVÊNIO CREABILY ESPECIAL — OUTUBRO 2026   |   🔤 A–Z   🕐 HORÁRIO   👤 PROFISSIONAL   📋 STATUS</t>
  </si>
  <si>
    <t>003399117</t>
  </si>
  <si>
    <t>Silvia Helena Cardoso</t>
  </si>
  <si>
    <t>Finalizado (1/24)</t>
  </si>
  <si>
    <t>Fisioterapia Especial Creabily</t>
  </si>
  <si>
    <t>1.0 - Fisioterapia/Dlm Creabily Dupla (5 Sessões) (R$ 150,00)</t>
  </si>
  <si>
    <t>1/24</t>
  </si>
  <si>
    <t>00</t>
  </si>
  <si>
    <t>UNIDADE GRANJA VIANA — 2 ATENDIMENTO(S)</t>
  </si>
  <si>
    <t>Eloisa de Souza Pedroso Lobo</t>
  </si>
  <si>
    <t>Cristiano Gonçalves de Moura</t>
  </si>
  <si>
    <t>Finalizado (9/12)</t>
  </si>
  <si>
    <t>009415017</t>
  </si>
  <si>
    <t>9/12</t>
  </si>
  <si>
    <t>Lusmar Maria Recioli</t>
  </si>
  <si>
    <t>Jessica Oliveira de Souza Siqueira (Fisio Granja)</t>
  </si>
  <si>
    <t>Carmen Mirelis Márquez</t>
  </si>
  <si>
    <t>Finalizado (2/24)</t>
  </si>
  <si>
    <t>2/24</t>
  </si>
  <si>
    <t>002524031</t>
  </si>
  <si>
    <t>Consulta Termografia Creabily</t>
  </si>
  <si>
    <t>7 - Consulta Termografia Convênio (R$ 180,00)</t>
  </si>
  <si>
    <t>1ª SESSÃO — conferir pedido médico atualizado | ALERTA FINAL — últimas sessões; novo pedido se houver continuidade</t>
  </si>
  <si>
    <t>Mauro de Souza</t>
  </si>
  <si>
    <t>Em Aberto (2/5)</t>
  </si>
  <si>
    <t>Fisioterapia Creabily Individual</t>
  </si>
  <si>
    <t>0000</t>
  </si>
  <si>
    <t>José Aparecido Hipólito da Costa</t>
  </si>
  <si>
    <t>Fisioterapia/Dlm Creabily Dupla (5 Sessões)</t>
  </si>
  <si>
    <t>Rosângela Maria de Oliveira Latorre</t>
  </si>
  <si>
    <t>00525806-5</t>
  </si>
  <si>
    <t>PRIMEIRA SESSÃO — conferir pedido médico, guia e autorização | FIM DE CICLO — conferir continuidade e novo pedido</t>
  </si>
  <si>
    <t>cervicalgia, sem anexo ao tratamento</t>
  </si>
  <si>
    <t>Finalizado (3/24)</t>
  </si>
  <si>
    <t>3/24</t>
  </si>
  <si>
    <t>10/12</t>
  </si>
  <si>
    <t>Daniela Onisanti</t>
  </si>
  <si>
    <t>Fisioterapia/Dlm Creabily Dupla (5 Sessões) - Removido 18/09/2026</t>
  </si>
  <si>
    <t>Nilva  Toledo Cerqueira</t>
  </si>
  <si>
    <t>Exame Por Termografia</t>
  </si>
  <si>
    <t>Consulta Termografia Convênio</t>
  </si>
  <si>
    <t>4/24</t>
  </si>
  <si>
    <t>5/24</t>
  </si>
  <si>
    <t>Em Aberto (5/24)</t>
  </si>
  <si>
    <t>Em Aberto (11/12)</t>
  </si>
  <si>
    <t>11/12</t>
  </si>
  <si>
    <t>Rosana Iaconelli Figueiró</t>
  </si>
  <si>
    <t>6/24</t>
  </si>
  <si>
    <t>Regina Ribeiro Nogueira Gomes</t>
  </si>
  <si>
    <t>00000000</t>
  </si>
  <si>
    <t>CREABILY PARTICULAR — OUTUBRO 2026   |   🔤 A–Z   🕐 HORÁRIO   👤 PROFISSIONAL   📋 STATUS</t>
  </si>
  <si>
    <t>UNIDADE GRANJA VIANA — 22 ATENDIMENTO(S)</t>
  </si>
  <si>
    <t xml:space="preserve">Eiko Nicoly </t>
  </si>
  <si>
    <t>Não compareceu (1/14)</t>
  </si>
  <si>
    <t>Pilates Espaço Uni</t>
  </si>
  <si>
    <t>Pilates UNI 1X Trismestral (Trimestral) (R$ 260,00)</t>
  </si>
  <si>
    <t>1/14</t>
  </si>
  <si>
    <t>NÃO COMPARECEU — conferir assinatura da guia/token antes de validar</t>
  </si>
  <si>
    <t>Eliane Hein</t>
  </si>
  <si>
    <t>Finalizado (17/51)</t>
  </si>
  <si>
    <t>Pilates 2 x semana (Semestral) (R$ 640,00)</t>
  </si>
  <si>
    <t>17/51</t>
  </si>
  <si>
    <t>pagou 6 meses em 12 meses</t>
  </si>
  <si>
    <t>Elsa Maria Gama Esteves</t>
  </si>
  <si>
    <t>Finalizado (23/24)</t>
  </si>
  <si>
    <t>PILATESUNI6 - Pilates /Espaço Uni  (Plano Semestral  3- 6 Meses) (R$ 60,00)</t>
  </si>
  <si>
    <t>23/24</t>
  </si>
  <si>
    <t>Eunice Hatsumi Kato</t>
  </si>
  <si>
    <t>PLANOFISI24 - Plano Acompanhamento Fisioterapia 24 Sessões (R$ 210,00)</t>
  </si>
  <si>
    <t>Herondina Beatrici</t>
  </si>
  <si>
    <t>Finalizado (48/48)</t>
  </si>
  <si>
    <t>Pilates/Escola da coluna - (2x semana) (R$ 500,00)</t>
  </si>
  <si>
    <t>48/48</t>
  </si>
  <si>
    <t>Jéssica Ferraz de Freitas Bleker</t>
  </si>
  <si>
    <t>FIS05 - Fisioterapia/Dlm/Teca  (5 Sessões) (R$ 230,00)</t>
  </si>
  <si>
    <t>José Americo Donato</t>
  </si>
  <si>
    <t>Finalizado (20/24)</t>
  </si>
  <si>
    <t>20/24</t>
  </si>
  <si>
    <t>Lais Fernandez Bezerra</t>
  </si>
  <si>
    <t>Lucas Casado Nunes</t>
  </si>
  <si>
    <t>Lucas Lammardo Bertino</t>
  </si>
  <si>
    <t>Pilates Semestral (6 Meses)</t>
  </si>
  <si>
    <t>Pilates 1 x por semana (Semestral) (R$ 340,00)</t>
  </si>
  <si>
    <t>Marcela Del Rey</t>
  </si>
  <si>
    <t>AVA01 - Consulta Fisio + Exame Por Termografia (R$ 300,00)</t>
  </si>
  <si>
    <t>Maria Christina Oliveira</t>
  </si>
  <si>
    <t>Finalizado (4/5)</t>
  </si>
  <si>
    <t>Matheus Wintoniak Bau</t>
  </si>
  <si>
    <t>08:00:00</t>
  </si>
  <si>
    <t>IMOTION12 - Imotion (Plano 12 Sessões) - 17/09/2026 (R$ 120,00)</t>
  </si>
  <si>
    <t>Paulo Sergio Lima Bezerra</t>
  </si>
  <si>
    <t>Finalizado (11/12)</t>
  </si>
  <si>
    <t>Roberta Lucy Fernandes Bezerra</t>
  </si>
  <si>
    <t>Finalizado (12/20)</t>
  </si>
  <si>
    <t xml:space="preserve">Simone Francisco Possidonio </t>
  </si>
  <si>
    <t>Finalizado (10/12)</t>
  </si>
  <si>
    <t>Pilates 1 x por semana (Mensal) (R$ 360,00)</t>
  </si>
  <si>
    <t>Tarcilia Abreu Mamizuka</t>
  </si>
  <si>
    <t>Finalizado (1/3)</t>
  </si>
  <si>
    <t>1/3</t>
  </si>
  <si>
    <t>Finalizado (37/50)</t>
  </si>
  <si>
    <t>37/50</t>
  </si>
  <si>
    <t xml:space="preserve">Vagner Contreiras </t>
  </si>
  <si>
    <t>Finalizado (1/2)</t>
  </si>
  <si>
    <t>Terapia Neural</t>
  </si>
  <si>
    <t>NEURAL4 - Terapia Neural (Pacote Com 4 Sessões) (R$ 300,00)</t>
  </si>
  <si>
    <t>1/2</t>
  </si>
  <si>
    <t>Vanessa Lima Santana</t>
  </si>
  <si>
    <t>Finalizado (70/96)</t>
  </si>
  <si>
    <t>70/96</t>
  </si>
  <si>
    <t>Finalizado (3/12)</t>
  </si>
  <si>
    <t>3/12</t>
  </si>
  <si>
    <t>Vânia Bremer Bleich</t>
  </si>
  <si>
    <t>Finalizado (11/24)</t>
  </si>
  <si>
    <t>PLANOFISI24 - Plano Acompanhamento Fisioterapia 24 Sessões (R$ 200,00)</t>
  </si>
  <si>
    <t>11/24</t>
  </si>
  <si>
    <t>Alessandra de Souza Carvalho</t>
  </si>
  <si>
    <t xml:space="preserve">Camila autorizou as sessões no dia 23/09 para pagamento e nota fiscal no inicio de novembro </t>
  </si>
  <si>
    <t>Debora Stela David</t>
  </si>
  <si>
    <t>Finalizado (7/9)</t>
  </si>
  <si>
    <t>Pilates Mensal (4/8/12 Sessões)</t>
  </si>
  <si>
    <t>7/9</t>
  </si>
  <si>
    <t>Usou o que não fez na fisioterapia de junho e julho.</t>
  </si>
  <si>
    <t>Eloide Abadia Silva</t>
  </si>
  <si>
    <t>Finalizado (6/48)</t>
  </si>
  <si>
    <t>6/48</t>
  </si>
  <si>
    <t>NF-N°4863</t>
  </si>
  <si>
    <t>Erick Bessa de Araujo</t>
  </si>
  <si>
    <t>Finalizado (2/32)</t>
  </si>
  <si>
    <t>2/32</t>
  </si>
  <si>
    <t>PG - NF - N° 4876</t>
  </si>
  <si>
    <t>Livia Sandra Favarin e Silva</t>
  </si>
  <si>
    <t>Finalizado (43/48)</t>
  </si>
  <si>
    <t>43/48</t>
  </si>
  <si>
    <t>NFpagodia19/03/26</t>
  </si>
  <si>
    <t>Luiz Fernando Fregolent</t>
  </si>
  <si>
    <t>Finalizado (2/53)</t>
  </si>
  <si>
    <t>2/53</t>
  </si>
  <si>
    <t>PG-NF-N°4878</t>
  </si>
  <si>
    <t>Margarida Mincherian</t>
  </si>
  <si>
    <t>Pilates 2 x semana (Mensal) (R$ 680,00)</t>
  </si>
  <si>
    <t>00000000000</t>
  </si>
  <si>
    <t>Maria Beatriz de Luca Ito</t>
  </si>
  <si>
    <t>RPG05 - Rpg (Pacote Com 5 Sessões ) (R$ 300,00)</t>
  </si>
  <si>
    <t>Mayra Lygia Andery Fanuchi</t>
  </si>
  <si>
    <t>Finalizado (3/43)</t>
  </si>
  <si>
    <t>3/43</t>
  </si>
  <si>
    <t>Camila dia 21/09/26 deixou a paciente fazer 47 sessões sendo 4 sessões experimental e realizar dentro de 7 meses. 
Deu um mes a mais pq viaja muito para o Rio.</t>
  </si>
  <si>
    <t>Renato Franco do Amaral Tormin</t>
  </si>
  <si>
    <t>Finalizado (12/25)</t>
  </si>
  <si>
    <t>Pilates 1 x semana Semestral - 07/04/2026 (R$ 280,00)</t>
  </si>
  <si>
    <t>12/25</t>
  </si>
  <si>
    <t>PAGO</t>
  </si>
  <si>
    <t>UNIDADE GRANJA VIANA — 19 ATENDIMENTO(S)</t>
  </si>
  <si>
    <t>Camila Carmona Ostan</t>
  </si>
  <si>
    <t>Finalizado (6/12)</t>
  </si>
  <si>
    <t>6/12</t>
  </si>
  <si>
    <t>Carla de Oliveira Silva</t>
  </si>
  <si>
    <t>Finalizado (29/49)</t>
  </si>
  <si>
    <t>Pilates Anual (12  Meses)</t>
  </si>
  <si>
    <t>Pilates 1 x por semana (Anual) (R$ 320,00)</t>
  </si>
  <si>
    <t>29/49</t>
  </si>
  <si>
    <t>Carol Lopez Sanchez</t>
  </si>
  <si>
    <t>Carolina Prado Pezelli</t>
  </si>
  <si>
    <t>Claudia Anelli Tavares Santi</t>
  </si>
  <si>
    <t>Finalizado (2/2)</t>
  </si>
  <si>
    <t>2/2</t>
  </si>
  <si>
    <t xml:space="preserve">Fabio Pessoa </t>
  </si>
  <si>
    <t>Não compareceu (1/12)</t>
  </si>
  <si>
    <t>Pilates 3 x Semana (Mensal) (R$ 780,00)</t>
  </si>
  <si>
    <t>1/12</t>
  </si>
  <si>
    <t>NA</t>
  </si>
  <si>
    <t>HENRIQUE CARDOSO GALLOTTI</t>
  </si>
  <si>
    <t>Finalizado (7/12)</t>
  </si>
  <si>
    <t>7/12</t>
  </si>
  <si>
    <t>Ivone Ribeiro Nogueira Fonseca</t>
  </si>
  <si>
    <t>Finalizado (25/27)</t>
  </si>
  <si>
    <t>25/27</t>
  </si>
  <si>
    <t>0000000</t>
  </si>
  <si>
    <t>ALERTA FINAL — últimas sessões; novo pedido se houver continuidade | PARTICULAR — conferir pagamento; NF após pagamento</t>
  </si>
  <si>
    <t>Marcelo Ferrari Nogueira</t>
  </si>
  <si>
    <t>Finalizado (33/46)</t>
  </si>
  <si>
    <t>33/46</t>
  </si>
  <si>
    <t>Maria Reiko Maruyama da Costa</t>
  </si>
  <si>
    <t>Finalizado (1/11)</t>
  </si>
  <si>
    <t>1/11</t>
  </si>
  <si>
    <t>Patricia Tenorio Pessoa</t>
  </si>
  <si>
    <t>Finalizado (2/14)</t>
  </si>
  <si>
    <t>2/14</t>
  </si>
  <si>
    <t>Priscila Simões Ferrari Nogueira</t>
  </si>
  <si>
    <t>Finalizado (16/49)</t>
  </si>
  <si>
    <t>Pilates 1 x por semana (Anual) - 18/08/2026 (R$ 30,00)</t>
  </si>
  <si>
    <t>16/49</t>
  </si>
  <si>
    <t>Rafael Carmona Ostan</t>
  </si>
  <si>
    <t>Raphael santos</t>
  </si>
  <si>
    <t>Renata Santos</t>
  </si>
  <si>
    <t>Finalizado (48/96)</t>
  </si>
  <si>
    <t>48/96</t>
  </si>
  <si>
    <t>Marion Zirnberger Miele Granado</t>
  </si>
  <si>
    <t>2538921401003</t>
  </si>
  <si>
    <t>Não compareceu (71/96)</t>
  </si>
  <si>
    <t>71/96</t>
  </si>
  <si>
    <t>Celene Isabel Silvera</t>
  </si>
  <si>
    <t>UNIDADE GRANJA VIANA — 20 ATENDIMENTO(S)</t>
  </si>
  <si>
    <t>50000160 - Fisioterapia (R$ 109,57)</t>
  </si>
  <si>
    <t>Caio de Angelis</t>
  </si>
  <si>
    <t>Finalizado (2/7)</t>
  </si>
  <si>
    <t>2/7</t>
  </si>
  <si>
    <t>PARTICULAR — conferir pagamento; NF após pagamento</t>
  </si>
  <si>
    <t>08:45:00</t>
  </si>
  <si>
    <t>Finalizado (28/49)</t>
  </si>
  <si>
    <t>Imotion 1 x semana (Anual) (R$ 680,00)</t>
  </si>
  <si>
    <t>28/49</t>
  </si>
  <si>
    <t>Carolina Businaro</t>
  </si>
  <si>
    <t xml:space="preserve">? </t>
  </si>
  <si>
    <t>Edson Rugna</t>
  </si>
  <si>
    <t>Fátima Cristina Lopes Rugna</t>
  </si>
  <si>
    <t>Janaina Serra</t>
  </si>
  <si>
    <t>Finalizado (21/51)</t>
  </si>
  <si>
    <t>21/51</t>
  </si>
  <si>
    <t>Finalizado (12/14)</t>
  </si>
  <si>
    <t>12/14</t>
  </si>
  <si>
    <t>Maria de Lourdes Corrêa de Sampaio Sanches</t>
  </si>
  <si>
    <t>Finalizado (7/13)</t>
  </si>
  <si>
    <t>7/13</t>
  </si>
  <si>
    <t>083247952</t>
  </si>
  <si>
    <t>Maria Immaculada Silva Jordão</t>
  </si>
  <si>
    <t>Maria Lua Soares Zambrini</t>
  </si>
  <si>
    <t>Finalizado (2/12)</t>
  </si>
  <si>
    <t>2/12</t>
  </si>
  <si>
    <t>Finalizado (17/23)</t>
  </si>
  <si>
    <t>Pilates 2x  Trismestral (Trimestral) (R$ 440,00)</t>
  </si>
  <si>
    <t>17/23</t>
  </si>
  <si>
    <t>Ondina Maria da Silveira Becker</t>
  </si>
  <si>
    <t>Xxxx</t>
  </si>
  <si>
    <t>1ª SESSÃO — conferir pedido médico atualizado | PARTICULAR — conferir pagamento; NF após pagamento</t>
  </si>
  <si>
    <t>Em Aberto (1/2)</t>
  </si>
  <si>
    <t>1ª SESSÃO — conferir pedido médico atualizado | ALERTA FINAL — últimas sessões; novo pedido se houver continuidade | PARTICULAR — conferir pagamento; NF após pagamento</t>
  </si>
  <si>
    <t>Silvequania Maria Siqueira Varejão</t>
  </si>
  <si>
    <t>Finalizado (19/24)</t>
  </si>
  <si>
    <t>Valentine da Silva Bon</t>
  </si>
  <si>
    <t>Finalizado (72/96)</t>
  </si>
  <si>
    <t>72/96</t>
  </si>
  <si>
    <t>Angela Maria da Silva Tanaka</t>
  </si>
  <si>
    <t>Em Aberto (2/4)</t>
  </si>
  <si>
    <t>2/4</t>
  </si>
  <si>
    <t>Keiko Shiroma Yamaki</t>
  </si>
  <si>
    <t>Em Aberto (1/4)</t>
  </si>
  <si>
    <t>1/4</t>
  </si>
  <si>
    <t>Luciana Trigo Pulice</t>
  </si>
  <si>
    <t>Em Aberto (5/12)</t>
  </si>
  <si>
    <t>5/12</t>
  </si>
  <si>
    <t>Em Aberto (1/3)</t>
  </si>
  <si>
    <t>Terapias Por Ondas de Choque</t>
  </si>
  <si>
    <t>ODC01 - Ondas de Choque 1 Área (R$ 350,00)</t>
  </si>
  <si>
    <t xml:space="preserve">Rubem Koji Tanaka </t>
  </si>
  <si>
    <t>Em Aberto (9/12)</t>
  </si>
  <si>
    <t>Saulo Yoshio Yamaki</t>
  </si>
  <si>
    <t>UNIDADE GRANJA VIANA — 29 ATENDIMENTO(S)</t>
  </si>
  <si>
    <t>Alessandra Renck</t>
  </si>
  <si>
    <t>Fisioterapia/Dlm/Teca  (5 Sessões)</t>
  </si>
  <si>
    <t>Andre Almeida Garcia</t>
  </si>
  <si>
    <t>0/13</t>
  </si>
  <si>
    <t>BEATRIZ BERNA BERTERO</t>
  </si>
  <si>
    <t>Plano Acompanhamento Fisioterapia 24 Sessões</t>
  </si>
  <si>
    <t>Claudio Augusto Festa</t>
  </si>
  <si>
    <t>0/24</t>
  </si>
  <si>
    <t>Cristina Sampaio Justino Leite</t>
  </si>
  <si>
    <t>Finalizado (18/51)</t>
  </si>
  <si>
    <t>18/51</t>
  </si>
  <si>
    <t>Finalizado (24/24)</t>
  </si>
  <si>
    <t>Pilates /Espaço Uni  (Plano Semestral  3- 6 Meses)</t>
  </si>
  <si>
    <t>24/24</t>
  </si>
  <si>
    <t>Evanilda Venancio Rocha Spinola</t>
  </si>
  <si>
    <t>Finalizado (1/51)</t>
  </si>
  <si>
    <t>1/51</t>
  </si>
  <si>
    <t>Janaína Luanda Tebaldi Amancio</t>
  </si>
  <si>
    <t>Jonas leite silva</t>
  </si>
  <si>
    <t>Finalizado (21/24)</t>
  </si>
  <si>
    <t>21/24</t>
  </si>
  <si>
    <t>Finalizado (1/6)</t>
  </si>
  <si>
    <t>Ondas de Choque 2 Áreas</t>
  </si>
  <si>
    <t>Martin Rudnik Schmal</t>
  </si>
  <si>
    <t>123</t>
  </si>
  <si>
    <t>15/50</t>
  </si>
  <si>
    <t>SEM CONVÊNIO — OUTUBRO 2026   |   🔤 A–Z   🕐 HORÁRIO   👤 PROFISSIONAL   📋 STATUS</t>
  </si>
  <si>
    <t>Nelson Uemura</t>
  </si>
  <si>
    <t>Consulta Fisio + Exame Por Termografia</t>
  </si>
  <si>
    <t>Nilson nunes</t>
  </si>
  <si>
    <t>3/50</t>
  </si>
  <si>
    <t>Finalizado (12/12)</t>
  </si>
  <si>
    <t>Pilates /Escola Coluna  Semestral</t>
  </si>
  <si>
    <t>12/12</t>
  </si>
  <si>
    <t>Finalizado (49/96)</t>
  </si>
  <si>
    <t>49/96</t>
  </si>
  <si>
    <t>Finalizado (38/50)</t>
  </si>
  <si>
    <t>38/50</t>
  </si>
  <si>
    <t>Talita Simone Lamblem Silva</t>
  </si>
  <si>
    <t>Finalizado (/)</t>
  </si>
  <si>
    <t>Finalizado (12/24)</t>
  </si>
  <si>
    <t>12/24</t>
  </si>
  <si>
    <t>TOTAL PASS — OUTUBRO 2026   |   🔤 A–Z   🕐 HORÁRIO   👤 PROFISSIONAL   📋 STATUS</t>
  </si>
  <si>
    <t>Silvana Batista de Souza</t>
  </si>
  <si>
    <t>Pilates/ Escola Coluna 1 X</t>
  </si>
  <si>
    <t>8/9</t>
  </si>
  <si>
    <t>Rpg (Pacote Com 5 Sessões )</t>
  </si>
  <si>
    <t>7/48</t>
  </si>
  <si>
    <t>36074357668</t>
  </si>
  <si>
    <t>3/32</t>
  </si>
  <si>
    <t>Bruna Chicarolli Domingues</t>
  </si>
  <si>
    <t>Em Aberto (/)</t>
  </si>
  <si>
    <t>Fatima Costa</t>
  </si>
  <si>
    <t>1/103</t>
  </si>
  <si>
    <t>44/48</t>
  </si>
  <si>
    <t>Viviane R Paula</t>
  </si>
  <si>
    <t>Imotion (Plano 12 Sessões) - 17/09/2026</t>
  </si>
  <si>
    <t>38105 - Eletroestimulação Ou Pilates Tp7 (R$ 57,00)</t>
  </si>
  <si>
    <t>00000000009</t>
  </si>
  <si>
    <t>3/53</t>
  </si>
  <si>
    <t>Maria Milza Campos da Silva</t>
  </si>
  <si>
    <t>Pilates /Escola Coluna Anual</t>
  </si>
  <si>
    <t>16/32</t>
  </si>
  <si>
    <t>Adriana Celi Castelo Gomes</t>
  </si>
  <si>
    <t>5/18</t>
  </si>
  <si>
    <t>Clara Saula Iaconelli</t>
  </si>
  <si>
    <t>Finalizado (17/49)</t>
  </si>
  <si>
    <t>Eletroestimulação Ou Pilates Tp7</t>
  </si>
  <si>
    <t>17/49</t>
  </si>
  <si>
    <t>Eliany Emy S Uemura</t>
  </si>
  <si>
    <t>0/1</t>
  </si>
  <si>
    <t>Fabio Pessoa</t>
  </si>
  <si>
    <t>Josefa Maria Varejão</t>
  </si>
  <si>
    <t>Finalizado (10/44)</t>
  </si>
  <si>
    <t>10/44</t>
  </si>
  <si>
    <t>Finalizado (22/51)</t>
  </si>
  <si>
    <t>22/51</t>
  </si>
  <si>
    <t>Finalizado (8/13)</t>
  </si>
  <si>
    <t>8/13</t>
  </si>
  <si>
    <t>Marina Martins Ferro</t>
  </si>
  <si>
    <t>X</t>
  </si>
  <si>
    <t>Nicolas Banfi</t>
  </si>
  <si>
    <t>0/43</t>
  </si>
  <si>
    <t>Finalizado (18/23)</t>
  </si>
  <si>
    <t>18/23</t>
  </si>
  <si>
    <t>Finalizado (3/14)</t>
  </si>
  <si>
    <t>3/14</t>
  </si>
  <si>
    <t>50/96</t>
  </si>
  <si>
    <t>Rosangela Molento Ferreira</t>
  </si>
  <si>
    <t>Finalizado (17/45)</t>
  </si>
  <si>
    <t>17/45</t>
  </si>
  <si>
    <t>Vagner Contreiras</t>
  </si>
  <si>
    <t>Verônica Ovidia da  Silva Rios</t>
  </si>
  <si>
    <t>0/97</t>
  </si>
  <si>
    <t>Divina Camano  Magiliano</t>
  </si>
  <si>
    <t>PG:12/08/26-NF-N°4800</t>
  </si>
  <si>
    <t>Rubem Koji Tanaka</t>
  </si>
  <si>
    <t>Em Aberto (2/24)</t>
  </si>
  <si>
    <t>Debora Burnier Cintra</t>
  </si>
  <si>
    <t>Finalizado (1/4)</t>
  </si>
  <si>
    <t>Eiko Nicoly</t>
  </si>
  <si>
    <t>Em Aberto (2/14)</t>
  </si>
  <si>
    <t>Finalizado (19/51)</t>
  </si>
  <si>
    <t>19/51</t>
  </si>
  <si>
    <t>Em Aberto (2/51)</t>
  </si>
  <si>
    <t>2/51</t>
  </si>
  <si>
    <t>MAN01 - Fisioterapia/Quiro/Acp/Shiatsu  Avulsa (R$ 250,00)</t>
  </si>
  <si>
    <t>Finalizado (22/24)</t>
  </si>
  <si>
    <t>22/24</t>
  </si>
  <si>
    <t>Em Aberto (4/24)</t>
  </si>
  <si>
    <t>Manuela Messora Vieira</t>
  </si>
  <si>
    <t>Em Aberto (11/23)</t>
  </si>
  <si>
    <t>11/23</t>
  </si>
  <si>
    <t>Paula Barros Messora Vieira</t>
  </si>
  <si>
    <t>Em Aberto (12/26)</t>
  </si>
  <si>
    <t>12/26</t>
  </si>
  <si>
    <t>Em Aberto (1/12)</t>
  </si>
  <si>
    <t>Em Aberto (13/20)</t>
  </si>
  <si>
    <t>Rogerio Pezelli</t>
  </si>
  <si>
    <t>Sebastião Aparecido Fonseca</t>
  </si>
  <si>
    <t>Simone Francisco Possidonio</t>
  </si>
  <si>
    <t>Finalizado (2/3)</t>
  </si>
  <si>
    <t>2/3</t>
  </si>
  <si>
    <t>Em Aberto (39/50)</t>
  </si>
  <si>
    <t>39/50</t>
  </si>
  <si>
    <t>Em Aberto (20/24)</t>
  </si>
  <si>
    <t>Finalizado (73/96)</t>
  </si>
  <si>
    <t>73/96</t>
  </si>
  <si>
    <t>Finalizado (4/12)</t>
  </si>
  <si>
    <t>4/12</t>
  </si>
  <si>
    <t>Finalizado (13/24)</t>
  </si>
  <si>
    <t>13/24</t>
  </si>
  <si>
    <t>Em Aberto (9/9)</t>
  </si>
  <si>
    <t>9/9</t>
  </si>
  <si>
    <t>Em Aberto (8/48)</t>
  </si>
  <si>
    <t>8/48</t>
  </si>
  <si>
    <t>Em Aberto (3/32)</t>
  </si>
  <si>
    <t>Em Aberto (2/103)</t>
  </si>
  <si>
    <t>Pilates 2 x semana (Anual) (R$ 580,00)</t>
  </si>
  <si>
    <t>2/103</t>
  </si>
  <si>
    <t>PG-NF-N°4895</t>
  </si>
  <si>
    <t>Em Aberto (45/48)</t>
  </si>
  <si>
    <t>45/48</t>
  </si>
  <si>
    <t>Em Aberto (4/53)</t>
  </si>
  <si>
    <t>4/53</t>
  </si>
  <si>
    <t>Em Aberto (17/32)</t>
  </si>
  <si>
    <t>17/32</t>
  </si>
  <si>
    <t>Em Aberto (13/25)</t>
  </si>
  <si>
    <t>13/25</t>
  </si>
  <si>
    <t>UNIDADE GRANJA VIANA — 21 ATENDIMENTO(S)</t>
  </si>
  <si>
    <t>Arthur Bravo Freire</t>
  </si>
  <si>
    <t>1/16</t>
  </si>
  <si>
    <t>30/49</t>
  </si>
  <si>
    <t>27/27</t>
  </si>
  <si>
    <t>11/44</t>
  </si>
  <si>
    <t>Jéssica Ribeiro Galdini</t>
  </si>
  <si>
    <t>14/49</t>
  </si>
  <si>
    <t>2/11</t>
  </si>
  <si>
    <t>4/14</t>
  </si>
  <si>
    <t>0/5</t>
  </si>
  <si>
    <t>5/97</t>
  </si>
  <si>
    <t>UNIDADE GRANJA VIANA — 25 ATENDIMENTO(S)</t>
  </si>
  <si>
    <t>REGRAS — AGENTE DIÁRIO CREABILY | OUTUBRO 2026</t>
  </si>
  <si>
    <t>Finalizado no Ágil</t>
  </si>
  <si>
    <t>Preencher automaticamente a linha inteira em VERDE.</t>
  </si>
  <si>
    <t>Pendência</t>
  </si>
  <si>
    <t>Se não estiver finalizado/validado, manter em LARANJA e levar como lembrete para o próximo dia.</t>
  </si>
  <si>
    <t>Falta justificada</t>
  </si>
  <si>
    <t>Manter o status; NÃO solicitar token/autorização.</t>
  </si>
  <si>
    <t>Alertar para conferir assinatura da guia ou token antes de validar a sessão.</t>
  </si>
  <si>
    <t>1ª sessão</t>
  </si>
  <si>
    <t>Conferir pedido médico atualizado antes da autorização.</t>
  </si>
  <si>
    <t>Últimas sessões</t>
  </si>
  <si>
    <t>A partir das 2 últimas sessões, alertar novo pedido se houver continuidade.</t>
  </si>
  <si>
    <t>MedSênior</t>
  </si>
  <si>
    <t>8/8 da 1ª ou 2ª fase: alertar mudança de fase; 3ª fase: conferir encerramento/continuidade.</t>
  </si>
  <si>
    <t>Unidades</t>
  </si>
  <si>
    <t>Dentro da aba do convênio, separar tabelas por unidade e por data.</t>
  </si>
  <si>
    <t>20/51</t>
  </si>
  <si>
    <t>AGENTE CREABILY — OUTUBRO 2026 | CONSOLIDADO</t>
  </si>
  <si>
    <t>3/51</t>
  </si>
  <si>
    <t>Total</t>
  </si>
  <si>
    <t>Finalizados/validados</t>
  </si>
  <si>
    <t>Pendentes</t>
  </si>
  <si>
    <t>Não compareceu (Ágil)</t>
  </si>
  <si>
    <t>Falta justificada (Ágil)</t>
  </si>
  <si>
    <t>Conferência</t>
  </si>
  <si>
    <t>51/96</t>
  </si>
  <si>
    <t>40/50</t>
  </si>
  <si>
    <t>1/13</t>
  </si>
  <si>
    <t>CONFERÊNCIA CONSOLIDADA — OUTUBRO 2026</t>
  </si>
  <si>
    <t>9/48</t>
  </si>
  <si>
    <t>Terapia Neural (Sessão Avulsa)</t>
  </si>
  <si>
    <t>Finalizado (recepção)</t>
  </si>
  <si>
    <t>Validado (recepção)</t>
  </si>
  <si>
    <t>46/48</t>
  </si>
  <si>
    <t>Pendente (recepção)</t>
  </si>
  <si>
    <t>Cancelado (recepção)</t>
  </si>
  <si>
    <t>Não se aplica (recepção)</t>
  </si>
  <si>
    <t>Finalizado (Ágil)</t>
  </si>
  <si>
    <t>5/53</t>
  </si>
  <si>
    <t>18/32</t>
  </si>
  <si>
    <t>6/18</t>
  </si>
  <si>
    <t>2/16</t>
  </si>
  <si>
    <t>3/7</t>
  </si>
  <si>
    <t>Geralda Oliveira de Queiroz</t>
  </si>
  <si>
    <t>12/44</t>
  </si>
  <si>
    <t>23/51</t>
  </si>
  <si>
    <t>9/13</t>
  </si>
  <si>
    <t>12/43</t>
  </si>
  <si>
    <t>19/23</t>
  </si>
  <si>
    <t>5/14</t>
  </si>
  <si>
    <t>Renata de Angelis</t>
  </si>
  <si>
    <t>5/7</t>
  </si>
  <si>
    <t>19/45</t>
  </si>
  <si>
    <t>3/103</t>
  </si>
  <si>
    <t>PG-NF-N°4889</t>
  </si>
  <si>
    <t>Ondas de Choque 1 Área</t>
  </si>
  <si>
    <t>PG-NF-N°4890</t>
  </si>
  <si>
    <t>UNIDADE GRANJA VIANA — 26 ATENDIMENTO(S)</t>
  </si>
  <si>
    <t>4/51</t>
  </si>
  <si>
    <t>TOTAL</t>
  </si>
  <si>
    <t>15/20</t>
  </si>
  <si>
    <t>41/50</t>
  </si>
  <si>
    <t>74/96</t>
  </si>
  <si>
    <t>10/48</t>
  </si>
  <si>
    <t>4/32</t>
  </si>
  <si>
    <t>4/103</t>
  </si>
  <si>
    <t>47/48</t>
  </si>
  <si>
    <t>Luis Guilherme Gonçalves de Morais</t>
  </si>
  <si>
    <t>6/53</t>
  </si>
  <si>
    <t>Pago-NF-N°4908</t>
  </si>
  <si>
    <t>14/25</t>
  </si>
  <si>
    <t>Quiropraxia/Acupuntura</t>
  </si>
  <si>
    <t>Em Aberto (7/18)</t>
  </si>
  <si>
    <t>7/18</t>
  </si>
  <si>
    <t>Em Aberto (3/16)</t>
  </si>
  <si>
    <t>3/16</t>
  </si>
  <si>
    <t>Em Aberto (7/12)</t>
  </si>
  <si>
    <t>Em Aberto (31/49)</t>
  </si>
  <si>
    <t>31/49</t>
  </si>
  <si>
    <t>Em Aberto (2/20)</t>
  </si>
  <si>
    <t>Em Aberto (3/24)</t>
  </si>
  <si>
    <t>Em Aberto (14/49)</t>
  </si>
  <si>
    <t>Em Aberto (10/13)</t>
  </si>
  <si>
    <t>10/13</t>
  </si>
  <si>
    <t>Em Aberto (3/11)</t>
  </si>
  <si>
    <t>3/11</t>
  </si>
  <si>
    <t>Em Aberto (6/14)</t>
  </si>
  <si>
    <t>6/14</t>
  </si>
  <si>
    <t>Em Aberto (75/96)</t>
  </si>
  <si>
    <t>75/96</t>
  </si>
  <si>
    <t>Unidade</t>
  </si>
  <si>
    <t>Convênio</t>
  </si>
  <si>
    <t>PAULISTA</t>
  </si>
  <si>
    <t>Afresp Saúde</t>
  </si>
  <si>
    <t xml:space="preserve">Arthur Bravo Freire </t>
  </si>
  <si>
    <t>4/16</t>
  </si>
  <si>
    <t>4/7</t>
  </si>
  <si>
    <t>08:45</t>
  </si>
  <si>
    <t>0/51</t>
  </si>
  <si>
    <t>13/14</t>
  </si>
  <si>
    <t>11/13</t>
  </si>
  <si>
    <t>13/43</t>
  </si>
  <si>
    <t>20/23</t>
  </si>
  <si>
    <t>76/96</t>
  </si>
  <si>
    <t>3/4</t>
  </si>
  <si>
    <t>GRANJA VIANA</t>
  </si>
  <si>
    <t>5/51</t>
  </si>
  <si>
    <t>16/50</t>
  </si>
  <si>
    <t>Pacote</t>
  </si>
  <si>
    <t>4/50</t>
  </si>
  <si>
    <t>7/14</t>
  </si>
  <si>
    <t>52/96</t>
  </si>
  <si>
    <t>16/20</t>
  </si>
  <si>
    <t>42/50</t>
  </si>
  <si>
    <t>14/24</t>
  </si>
  <si>
    <t>2/13</t>
  </si>
  <si>
    <t>11/48</t>
  </si>
  <si>
    <t>5/103</t>
  </si>
  <si>
    <t>7/53</t>
  </si>
  <si>
    <t>Amil Black, Amil One, Lincx</t>
  </si>
  <si>
    <t>Care Plus</t>
  </si>
  <si>
    <t>Medsenior</t>
  </si>
  <si>
    <t>CREABILY | PAINEL GERENCIAL — OUTUBRO 2026</t>
  </si>
  <si>
    <t>INDICADOR</t>
  </si>
  <si>
    <t>STATUS</t>
  </si>
  <si>
    <t>QUANTIDADE</t>
  </si>
  <si>
    <t>Agendamentos</t>
  </si>
  <si>
    <t>Concluídos</t>
  </si>
  <si>
    <t>Conferências concluídas</t>
  </si>
  <si>
    <t>Faltas justificadas</t>
  </si>
  <si>
    <t>Cancelamentos</t>
  </si>
  <si>
    <t>Taxa de conferência concluída</t>
  </si>
  <si>
    <t>DATA</t>
  </si>
  <si>
    <t>Omint Premium</t>
  </si>
  <si>
    <t>Omint Skill</t>
  </si>
  <si>
    <t>Ocupação real requer cadastro de capacidade, horários e bloqueios de salas.</t>
  </si>
  <si>
    <t>Convênio Creabily Especial</t>
  </si>
  <si>
    <t>Creabily Particular</t>
  </si>
  <si>
    <t>PRIORIDADE</t>
  </si>
  <si>
    <t>AÇÃO</t>
  </si>
  <si>
    <t>ORIENTAÇÃO</t>
  </si>
  <si>
    <t>ALTA</t>
  </si>
  <si>
    <t>Conferir assinatura, token e comparecimento; marcar Validado após análise</t>
  </si>
  <si>
    <t>Pendências administrativas</t>
  </si>
  <si>
    <t>Conferir guias, tokens, autorizações e assinaturas</t>
  </si>
  <si>
    <t>MÉDIA</t>
  </si>
  <si>
    <t>Não solicitar token ou assinatura; validação em branco</t>
  </si>
  <si>
    <t>Conferir cancelamento de autorização, se aplicável</t>
  </si>
  <si>
    <t>IMPORTANTE: as validações manuais das abas de convênios prevalecem. Atualizar a base após cada importação.</t>
  </si>
  <si>
    <t>Omint Corporate</t>
  </si>
  <si>
    <t>SEM CONVÊNIO</t>
  </si>
  <si>
    <t>Total Pass</t>
  </si>
  <si>
    <t>Critério: a validação da recepção (coluna M) é diferente do status original do Ágil (coluna D). Não somar as categorias das duas fontes.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</si>
</sst>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%"/>
  </numFmts>
  <fonts count="17">
    <font>
      <sz val="11.0"/>
      <color rgb="FF000000"/>
      <name val="Carlito"/>
      <scheme val="minor"/>
    </font>
    <font>
      <b/>
      <sz val="12.0"/>
      <color rgb="FFFFFFFF"/>
      <name val="Carlito"/>
    </font>
    <font>
      <b/>
      <sz val="11.0"/>
      <color rgb="FFFFFFFF"/>
      <name val="Carlito"/>
    </font>
    <font>
      <b/>
      <sz val="11.0"/>
      <color rgb="FF5B2C83"/>
      <name val="Carlito"/>
    </font>
    <font>
      <sz val="11.0"/>
      <color theme="1"/>
      <name val="Carlito"/>
    </font>
    <font>
      <color theme="1"/>
      <name val="Carlito"/>
    </font>
    <font>
      <sz val="11.0"/>
      <color rgb="FF7C2D12"/>
      <name val="Carlito"/>
    </font>
    <font>
      <color theme="9"/>
      <name val="Carlito"/>
    </font>
    <font>
      <color rgb="FF666666"/>
      <name val="Carlito"/>
    </font>
    <font>
      <sz val="11.0"/>
      <color theme="9"/>
      <name val="Carlito"/>
    </font>
    <font>
      <sz val="11.0"/>
      <color rgb="FF666666"/>
      <name val="Carlito"/>
    </font>
    <font>
      <sz val="11.0"/>
      <color rgb="FFFFFFFF"/>
      <name val="Carlito"/>
    </font>
    <font>
      <sz val="11.0"/>
      <color rgb="FF000000"/>
      <name val="Carlito"/>
    </font>
    <font>
      <b/>
      <sz val="14.0"/>
      <color rgb="FFFFFFFF"/>
      <name val="Carlito"/>
    </font>
    <font>
      <b/>
      <sz val="16.0"/>
      <color rgb="FFFFFFFF"/>
      <name val="Carlito"/>
    </font>
    <font>
      <b/>
      <sz val="11.0"/>
      <color rgb="FF000000"/>
      <name val="Carlito"/>
    </font>
    <font>
      <color theme="1"/>
      <name val="Carlito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5B2C83"/>
        <bgColor rgb="FF5B2C83"/>
      </patternFill>
    </fill>
    <fill>
      <patternFill patternType="solid">
        <fgColor rgb="FFEAF8F6"/>
        <bgColor rgb="FFEAF8F6"/>
      </patternFill>
    </fill>
    <fill>
      <patternFill patternType="solid">
        <fgColor rgb="FF22B8A7"/>
        <bgColor rgb="FF22B8A7"/>
      </patternFill>
    </fill>
    <fill>
      <patternFill patternType="solid">
        <fgColor rgb="FFFFFFFF"/>
        <bgColor rgb="FFFFFFFF"/>
      </patternFill>
    </fill>
    <fill>
      <patternFill patternType="solid">
        <fgColor rgb="FFF59E0B"/>
        <bgColor rgb="FFF59E0B"/>
      </patternFill>
    </fill>
    <fill>
      <patternFill patternType="solid">
        <fgColor rgb="FF22C55E"/>
        <bgColor rgb="FF22C55E"/>
      </patternFill>
    </fill>
    <fill>
      <patternFill patternType="solid">
        <fgColor rgb="FF55308C"/>
        <bgColor rgb="FF55308C"/>
      </patternFill>
    </fill>
    <fill>
      <patternFill patternType="solid">
        <fgColor rgb="FF36C6BF"/>
        <bgColor rgb="FF36C6BF"/>
      </patternFill>
    </fill>
    <fill>
      <patternFill patternType="solid">
        <fgColor rgb="FFEDE7F5"/>
        <bgColor rgb="FFEDE7F5"/>
      </patternFill>
    </fill>
    <fill>
      <patternFill patternType="solid">
        <fgColor rgb="FFF3F3F3"/>
        <bgColor rgb="FFF3F3F3"/>
      </patternFill>
    </fill>
    <fill>
      <patternFill patternType="solid">
        <fgColor rgb="FF522E91"/>
        <bgColor rgb="FF522E91"/>
      </patternFill>
    </fill>
    <fill>
      <patternFill patternType="solid">
        <fgColor rgb="FFE9D5FF"/>
        <bgColor rgb="FFE9D5FF"/>
      </patternFill>
    </fill>
    <fill>
      <patternFill patternType="solid">
        <fgColor rgb="FFEAE5F7"/>
        <bgColor rgb="FFEAE5F7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Fill="1" applyFont="1"/>
    <xf borderId="0" fillId="3" fontId="3" numFmtId="0" xfId="0" applyFill="1" applyFont="1"/>
    <xf borderId="0" fillId="4" fontId="2" numFmtId="0" xfId="0" applyAlignment="1" applyFill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5" fontId="6" numFmtId="0" xfId="0" applyAlignment="1" applyFill="1" applyFont="1">
      <alignment shrinkToFit="0" vertical="bottom" wrapText="0"/>
    </xf>
    <xf borderId="0" fillId="6" fontId="6" numFmtId="0" xfId="0" applyAlignment="1" applyFill="1" applyFont="1">
      <alignment shrinkToFit="0" vertical="bottom" wrapText="0"/>
    </xf>
    <xf borderId="0" fillId="0" fontId="7" numFmtId="0" xfId="0" applyFont="1"/>
    <xf borderId="0" fillId="0" fontId="8" numFmtId="0" xfId="0" applyFont="1"/>
    <xf borderId="0" fillId="6" fontId="9" numFmtId="0" xfId="0" applyAlignment="1" applyFill="1" applyFont="1">
      <alignment shrinkToFit="0" vertical="bottom" wrapText="0"/>
    </xf>
    <xf borderId="0" fillId="6" fontId="10" numFmtId="0" xfId="0" applyAlignment="1" applyFill="1" applyFont="1">
      <alignment shrinkToFit="0" vertical="bottom" wrapText="0"/>
    </xf>
    <xf borderId="0" fillId="7" fontId="11" numFmtId="0" xfId="0" applyAlignment="1" applyFill="1" applyFont="1">
      <alignment shrinkToFit="0" vertical="bottom" wrapText="0"/>
    </xf>
    <xf borderId="0" fillId="7" fontId="9" numFmtId="0" xfId="0" applyAlignment="1" applyFill="1" applyFont="1">
      <alignment shrinkToFit="0" vertical="bottom" wrapText="0"/>
    </xf>
    <xf borderId="0" fillId="7" fontId="10" numFmtId="0" xfId="0" applyAlignment="1" applyFill="1" applyFont="1">
      <alignment shrinkToFit="0" vertical="bottom" wrapText="0"/>
    </xf>
    <xf borderId="0" fillId="8" fontId="11" numFmtId="0" xfId="0" applyAlignment="1" applyFill="1" applyFont="1">
      <alignment shrinkToFit="0" vertical="bottom" wrapText="0"/>
    </xf>
    <xf borderId="0" fillId="9" fontId="12" numFmtId="0" xfId="0" applyAlignment="1" applyFill="1" applyFont="1">
      <alignment shrinkToFit="0" vertical="bottom" wrapText="0"/>
    </xf>
    <xf borderId="0" fillId="10" fontId="12" numFmtId="0" xfId="0" applyAlignment="1" applyFill="1" applyFont="1">
      <alignment shrinkToFit="0" vertical="bottom" wrapText="0"/>
    </xf>
    <xf borderId="0" fillId="0" fontId="5" numFmtId="164" xfId="0" applyFont="1" applyNumberFormat="1"/>
    <xf borderId="0" fillId="0" fontId="5" numFmtId="0" xfId="0" applyAlignment="1" applyFont="1">
      <alignment readingOrder="0"/>
    </xf>
    <xf borderId="0" fillId="5" fontId="5" numFmtId="0" xfId="0" applyFill="1" applyFont="1"/>
    <xf borderId="0" fillId="11" fontId="6" numFmtId="0" xfId="0" applyAlignment="1" applyFill="1" applyFont="1">
      <alignment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0" fillId="2" fontId="13" numFmtId="0" xfId="0" applyAlignment="1" applyFill="1" applyFont="1">
      <alignment horizontal="center"/>
    </xf>
    <xf borderId="0" fillId="2" fontId="14" numFmtId="0" xfId="0" applyAlignment="1" applyFill="1" applyFont="1">
      <alignment horizontal="center"/>
    </xf>
    <xf borderId="0" fillId="8" fontId="2" numFmtId="0" xfId="0" applyAlignment="1" applyFill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0" fillId="12" fontId="2" numFmtId="0" xfId="0" applyAlignment="1" applyFill="1" applyFont="1">
      <alignment shrinkToFit="0" vertical="bottom" wrapText="0"/>
    </xf>
    <xf borderId="0" fillId="8" fontId="2" numFmtId="0" xfId="0" applyAlignment="1" applyFill="1" applyFont="1">
      <alignment shrinkToFit="0" vertical="bottom" wrapText="0"/>
    </xf>
    <xf borderId="0" fillId="13" fontId="15" numFmtId="0" xfId="0" applyAlignment="1" applyFill="1" applyFont="1">
      <alignment shrinkToFit="0" vertical="bottom" wrapText="0"/>
    </xf>
    <xf borderId="0" fillId="0" fontId="16" numFmtId="0" xfId="0" applyFont="1"/>
    <xf borderId="0" fillId="0" fontId="12" numFmtId="165" xfId="0" applyAlignment="1" applyFont="1" applyNumberFormat="1">
      <alignment shrinkToFit="0" vertical="bottom" wrapText="0"/>
    </xf>
    <xf borderId="0" fillId="14" fontId="15" numFmtId="0" xfId="0" applyAlignment="1" applyFill="1" applyFont="1">
      <alignment shrinkToFit="0" vertical="bottom" wrapText="0"/>
    </xf>
  </cellXfs>
  <cellStyles count="1">
    <cellStyle xfId="0" name="Normal" builtinId="0"/>
  </cellStyles>
  <dxfs count="8">
    <dxf>
      <font>
        <b/>
        <color rgb="FFFFFFFF"/>
      </font>
      <fill>
        <patternFill patternType="solid">
          <fgColor rgb="FF16A34A"/>
          <bgColor rgb="FF16A34A"/>
        </patternFill>
      </fill>
      <border/>
    </dxf>
    <dxf>
      <font>
        <color rgb="FF7F3300"/>
      </font>
      <fill>
        <patternFill patternType="solid">
          <fgColor rgb="FFF4B183"/>
          <bgColor rgb="FFF4B183"/>
        </patternFill>
      </fill>
      <border/>
    </dxf>
    <dxf>
      <font>
        <b/>
        <color rgb="FF7A4E00"/>
      </font>
      <fill>
        <patternFill patternType="solid">
          <fgColor rgb="FFFFD966"/>
          <bgColor rgb="FFFFD966"/>
        </patternFill>
      </fill>
      <border/>
    </dxf>
    <dxf>
      <font>
        <color rgb="FFFFFFFF"/>
      </font>
      <fill>
        <patternFill patternType="solid">
          <fgColor rgb="FF22C55E"/>
          <bgColor rgb="FF22C55E"/>
        </patternFill>
      </fill>
      <border/>
    </dxf>
    <dxf>
      <font>
        <color rgb="FF7C2D12"/>
      </font>
      <fill>
        <patternFill patternType="solid">
          <fgColor rgb="FFF59E0B"/>
          <bgColor rgb="FFF59E0B"/>
        </patternFill>
      </fill>
      <border/>
    </dxf>
    <dxf>
      <font>
        <color rgb="FFFFFFFF"/>
      </font>
      <fill>
        <patternFill patternType="solid">
          <fgColor rgb="FF16A34A"/>
          <bgColor rgb="FF16A34A"/>
        </patternFill>
      </fill>
      <border/>
    </dxf>
    <dxf>
      <font/>
      <fill>
        <patternFill patternType="solid">
          <fgColor rgb="FFFCE4C7"/>
          <bgColor rgb="FFFCE4C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PAULISTA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'PAINEL GERENCIAL'!$B$13:$B$23</c:f>
              <c:numCache/>
            </c:numRef>
          </c:val>
        </c:ser>
        <c:ser>
          <c:idx val="1"/>
          <c:order val="1"/>
          <c:tx>
            <c:v>GRANJA VIANA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'PAINEL GERENCIAL'!$C$13:$C$23</c:f>
              <c:numCache/>
            </c:numRef>
          </c:val>
        </c:ser>
        <c:axId val="1703426386"/>
        <c:axId val="288663620"/>
      </c:barChart>
      <c:catAx>
        <c:axId val="1703426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288663620"/>
      </c:catAx>
      <c:valAx>
        <c:axId val="288663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703426386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0</xdr:rowOff>
    </xdr:from>
    <xdr:ext cx="8686800" cy="3200400"/>
    <xdr:graphicFrame>
      <xdr:nvGraphicFramePr>
        <xdr:cNvPr id="115973404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9.25"/>
    <col customWidth="1" min="3" max="3" width="11.0"/>
    <col customWidth="1" min="4" max="4" width="8.88"/>
    <col customWidth="1" min="5" max="5" width="11.0"/>
    <col customWidth="1" min="6" max="6" width="12.38"/>
    <col customWidth="1" min="7" max="7" width="13.88"/>
    <col customWidth="1" min="8" max="8" width="10.0"/>
    <col customWidth="1" min="9" max="9" width="12.75"/>
    <col customWidth="1" min="10" max="10" width="2.63"/>
    <col customWidth="1" min="11" max="11" width="12.88"/>
    <col customWidth="1" min="12" max="12" width="9.63"/>
    <col customWidth="1" min="13" max="13" width="18.0"/>
    <col customWidth="1" min="14" max="14" width="32.0"/>
  </cols>
  <sheetData>
    <row r="1">
      <c r="A1" s="1" t="s">
        <v>1</v>
      </c>
    </row>
    <row r="3">
      <c r="A3" s="2" t="s">
        <v>2</v>
      </c>
    </row>
    <row r="4">
      <c r="A4" s="3" t="s">
        <v>5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42</v>
      </c>
      <c r="C6" s="5" t="s">
        <v>43</v>
      </c>
      <c r="D6" s="5" t="s">
        <v>44</v>
      </c>
      <c r="E6" s="5" t="s">
        <v>46</v>
      </c>
      <c r="F6" s="5" t="s">
        <v>24</v>
      </c>
      <c r="G6" s="5" t="s">
        <v>48</v>
      </c>
      <c r="H6" s="5" t="s">
        <v>49</v>
      </c>
      <c r="I6" s="5" t="s">
        <v>51</v>
      </c>
      <c r="J6" s="5"/>
      <c r="K6" s="5" t="s">
        <v>28</v>
      </c>
      <c r="L6" s="5" t="s">
        <v>29</v>
      </c>
      <c r="M6" s="5" t="s">
        <v>30</v>
      </c>
      <c r="N6" s="5"/>
    </row>
    <row r="7">
      <c r="A7" s="5" t="s">
        <v>19</v>
      </c>
      <c r="B7" s="5" t="s">
        <v>42</v>
      </c>
      <c r="C7" s="5" t="s">
        <v>62</v>
      </c>
      <c r="D7" s="5" t="s">
        <v>64</v>
      </c>
      <c r="E7" s="5" t="s">
        <v>46</v>
      </c>
      <c r="F7" s="5" t="s">
        <v>67</v>
      </c>
      <c r="G7" s="5" t="s">
        <v>68</v>
      </c>
      <c r="H7" s="5" t="s">
        <v>70</v>
      </c>
      <c r="I7" s="5" t="s">
        <v>51</v>
      </c>
      <c r="J7" s="5" t="s">
        <v>80</v>
      </c>
      <c r="K7" s="5" t="s">
        <v>40</v>
      </c>
      <c r="L7" s="5" t="s">
        <v>29</v>
      </c>
      <c r="M7" s="5" t="s">
        <v>30</v>
      </c>
      <c r="N7" s="5"/>
    </row>
    <row r="8">
      <c r="A8" s="5" t="s">
        <v>19</v>
      </c>
      <c r="B8" s="5" t="s">
        <v>90</v>
      </c>
      <c r="C8" s="5" t="s">
        <v>50</v>
      </c>
      <c r="D8" s="5" t="s">
        <v>93</v>
      </c>
      <c r="E8" s="5" t="s">
        <v>95</v>
      </c>
      <c r="F8" s="5" t="s">
        <v>98</v>
      </c>
      <c r="G8" s="5" t="s">
        <v>100</v>
      </c>
      <c r="H8" s="5" t="s">
        <v>101</v>
      </c>
      <c r="I8" s="5" t="s">
        <v>103</v>
      </c>
      <c r="J8" s="5"/>
      <c r="K8" s="5" t="s">
        <v>40</v>
      </c>
      <c r="L8" s="5" t="s">
        <v>29</v>
      </c>
      <c r="M8" s="5" t="s">
        <v>30</v>
      </c>
      <c r="N8" s="5"/>
    </row>
    <row r="9">
      <c r="A9" s="5" t="s">
        <v>19</v>
      </c>
      <c r="B9" s="5" t="s">
        <v>108</v>
      </c>
      <c r="C9" s="5" t="s">
        <v>62</v>
      </c>
      <c r="D9" s="5" t="s">
        <v>22</v>
      </c>
      <c r="E9" s="5" t="s">
        <v>95</v>
      </c>
      <c r="F9" s="5" t="s">
        <v>113</v>
      </c>
      <c r="G9" s="5" t="s">
        <v>100</v>
      </c>
      <c r="H9" s="5" t="s">
        <v>26</v>
      </c>
      <c r="I9" s="5" t="s">
        <v>116</v>
      </c>
      <c r="J9" s="5"/>
      <c r="K9" s="5" t="s">
        <v>28</v>
      </c>
      <c r="L9" s="5" t="s">
        <v>29</v>
      </c>
      <c r="M9" s="5" t="s">
        <v>30</v>
      </c>
      <c r="N9" s="5"/>
    </row>
    <row r="10">
      <c r="A10" s="5" t="s">
        <v>19</v>
      </c>
      <c r="B10" s="5" t="s">
        <v>126</v>
      </c>
      <c r="C10" s="5" t="s">
        <v>127</v>
      </c>
      <c r="D10" s="5" t="s">
        <v>128</v>
      </c>
      <c r="E10" s="5" t="s">
        <v>136</v>
      </c>
      <c r="F10" s="5" t="s">
        <v>138</v>
      </c>
      <c r="G10" s="5" t="s">
        <v>140</v>
      </c>
      <c r="H10" s="5" t="s">
        <v>143</v>
      </c>
      <c r="I10" s="5" t="s">
        <v>144</v>
      </c>
      <c r="J10" s="5"/>
      <c r="K10" s="5" t="s">
        <v>40</v>
      </c>
      <c r="L10" s="5" t="s">
        <v>29</v>
      </c>
      <c r="M10" s="5" t="s">
        <v>30</v>
      </c>
      <c r="N10" s="5"/>
    </row>
    <row r="11">
      <c r="A11" s="5" t="s">
        <v>19</v>
      </c>
      <c r="B11" s="5" t="s">
        <v>148</v>
      </c>
      <c r="C11" s="5" t="s">
        <v>111</v>
      </c>
      <c r="D11" s="5" t="s">
        <v>93</v>
      </c>
      <c r="E11" s="5" t="s">
        <v>37</v>
      </c>
      <c r="F11" s="5" t="s">
        <v>24</v>
      </c>
      <c r="G11" s="5" t="s">
        <v>48</v>
      </c>
      <c r="H11" s="5" t="s">
        <v>101</v>
      </c>
      <c r="I11" s="5" t="s">
        <v>154</v>
      </c>
      <c r="J11" s="5"/>
      <c r="K11" s="5" t="s">
        <v>40</v>
      </c>
      <c r="L11" s="5" t="s">
        <v>29</v>
      </c>
      <c r="M11" s="5" t="s">
        <v>30</v>
      </c>
      <c r="N11" s="5"/>
    </row>
    <row r="12">
      <c r="A12" s="5" t="s">
        <v>19</v>
      </c>
      <c r="B12" s="5" t="s">
        <v>158</v>
      </c>
      <c r="C12" s="5" t="s">
        <v>50</v>
      </c>
      <c r="D12" s="5" t="s">
        <v>160</v>
      </c>
      <c r="E12" s="5" t="s">
        <v>95</v>
      </c>
      <c r="F12" s="5" t="s">
        <v>98</v>
      </c>
      <c r="G12" s="5" t="s">
        <v>100</v>
      </c>
      <c r="H12" s="5" t="s">
        <v>162</v>
      </c>
      <c r="I12" s="5" t="s">
        <v>164</v>
      </c>
      <c r="J12" s="5"/>
      <c r="K12" s="5" t="s">
        <v>28</v>
      </c>
      <c r="L12" s="5" t="s">
        <v>29</v>
      </c>
      <c r="M12" s="5" t="s">
        <v>30</v>
      </c>
      <c r="N12" s="5"/>
    </row>
    <row r="13">
      <c r="A13" s="5" t="s">
        <v>19</v>
      </c>
      <c r="B13" s="5" t="s">
        <v>169</v>
      </c>
      <c r="C13" s="5" t="s">
        <v>62</v>
      </c>
      <c r="D13" s="5" t="s">
        <v>99</v>
      </c>
      <c r="E13" s="5" t="s">
        <v>37</v>
      </c>
      <c r="F13" s="5" t="s">
        <v>172</v>
      </c>
      <c r="G13" s="5" t="s">
        <v>173</v>
      </c>
      <c r="H13" s="5" t="s">
        <v>105</v>
      </c>
      <c r="I13" s="5" t="s">
        <v>176</v>
      </c>
      <c r="J13" s="5"/>
      <c r="K13" s="5" t="s">
        <v>107</v>
      </c>
      <c r="L13" s="5" t="s">
        <v>29</v>
      </c>
      <c r="M13" s="5" t="s">
        <v>30</v>
      </c>
      <c r="N13" s="5"/>
    </row>
    <row r="14">
      <c r="A14" s="5" t="s">
        <v>19</v>
      </c>
      <c r="B14" s="5" t="s">
        <v>180</v>
      </c>
      <c r="C14" s="5" t="s">
        <v>124</v>
      </c>
      <c r="D14" s="5" t="s">
        <v>153</v>
      </c>
      <c r="E14" s="5" t="s">
        <v>95</v>
      </c>
      <c r="F14" s="5" t="s">
        <v>181</v>
      </c>
      <c r="G14" s="5" t="s">
        <v>100</v>
      </c>
      <c r="H14" s="5" t="s">
        <v>156</v>
      </c>
      <c r="I14" s="5" t="s">
        <v>186</v>
      </c>
      <c r="J14" s="5"/>
      <c r="K14" s="5" t="s">
        <v>28</v>
      </c>
      <c r="L14" s="5" t="s">
        <v>29</v>
      </c>
      <c r="M14" s="5" t="s">
        <v>30</v>
      </c>
      <c r="N14" s="5"/>
    </row>
    <row r="15">
      <c r="A15" s="5" t="s">
        <v>19</v>
      </c>
      <c r="B15" s="5" t="s">
        <v>190</v>
      </c>
      <c r="C15" s="5" t="s">
        <v>35</v>
      </c>
      <c r="D15" s="5" t="s">
        <v>93</v>
      </c>
      <c r="E15" s="5" t="s">
        <v>37</v>
      </c>
      <c r="F15" s="5" t="s">
        <v>24</v>
      </c>
      <c r="G15" s="5" t="s">
        <v>48</v>
      </c>
      <c r="H15" s="5" t="s">
        <v>101</v>
      </c>
      <c r="I15" s="5" t="s">
        <v>195</v>
      </c>
      <c r="J15" s="5"/>
      <c r="K15" s="5" t="s">
        <v>40</v>
      </c>
      <c r="L15" s="5" t="s">
        <v>29</v>
      </c>
      <c r="M15" s="5" t="s">
        <v>30</v>
      </c>
      <c r="N15" s="5"/>
    </row>
    <row r="16">
      <c r="A16" s="5" t="s">
        <v>19</v>
      </c>
      <c r="B16" s="5" t="s">
        <v>205</v>
      </c>
      <c r="C16" s="5" t="s">
        <v>133</v>
      </c>
      <c r="D16" s="5" t="s">
        <v>153</v>
      </c>
      <c r="E16" s="5" t="s">
        <v>95</v>
      </c>
      <c r="F16" s="5" t="s">
        <v>181</v>
      </c>
      <c r="G16" s="5" t="s">
        <v>100</v>
      </c>
      <c r="H16" s="5" t="s">
        <v>156</v>
      </c>
      <c r="I16" s="5" t="s">
        <v>210</v>
      </c>
      <c r="J16" s="5" t="s">
        <v>213</v>
      </c>
      <c r="K16" s="5" t="s">
        <v>28</v>
      </c>
      <c r="L16" s="5" t="s">
        <v>29</v>
      </c>
      <c r="M16" s="5" t="s">
        <v>30</v>
      </c>
      <c r="N16" s="5"/>
    </row>
    <row r="17">
      <c r="A17" s="5" t="s">
        <v>19</v>
      </c>
      <c r="B17" s="5" t="s">
        <v>218</v>
      </c>
      <c r="C17" s="5" t="s">
        <v>133</v>
      </c>
      <c r="D17" s="5" t="s">
        <v>93</v>
      </c>
      <c r="E17" s="5" t="s">
        <v>95</v>
      </c>
      <c r="F17" s="5" t="s">
        <v>98</v>
      </c>
      <c r="G17" s="5" t="s">
        <v>100</v>
      </c>
      <c r="H17" s="5" t="s">
        <v>101</v>
      </c>
      <c r="I17" s="5" t="s">
        <v>226</v>
      </c>
      <c r="J17" s="5"/>
      <c r="K17" s="5" t="s">
        <v>40</v>
      </c>
      <c r="L17" s="5" t="s">
        <v>29</v>
      </c>
      <c r="M17" s="5" t="s">
        <v>30</v>
      </c>
      <c r="N17" s="5"/>
    </row>
    <row r="18">
      <c r="A18" s="5" t="s">
        <v>19</v>
      </c>
      <c r="B18" s="5" t="s">
        <v>229</v>
      </c>
      <c r="C18" s="5" t="s">
        <v>177</v>
      </c>
      <c r="D18" s="5" t="s">
        <v>187</v>
      </c>
      <c r="E18" s="5" t="s">
        <v>73</v>
      </c>
      <c r="F18" s="5" t="s">
        <v>24</v>
      </c>
      <c r="G18" s="5" t="s">
        <v>48</v>
      </c>
      <c r="H18" s="5" t="s">
        <v>55</v>
      </c>
      <c r="I18" s="5" t="s">
        <v>233</v>
      </c>
      <c r="J18" s="5"/>
      <c r="K18" s="5" t="s">
        <v>28</v>
      </c>
      <c r="L18" s="5" t="s">
        <v>29</v>
      </c>
      <c r="M18" s="5" t="s">
        <v>30</v>
      </c>
      <c r="N18" s="5"/>
    </row>
    <row r="19">
      <c r="A19" s="5" t="s">
        <v>19</v>
      </c>
      <c r="B19" s="5" t="s">
        <v>236</v>
      </c>
      <c r="C19" s="5" t="s">
        <v>238</v>
      </c>
      <c r="D19" s="5" t="s">
        <v>93</v>
      </c>
      <c r="E19" s="5" t="s">
        <v>240</v>
      </c>
      <c r="F19" s="5" t="s">
        <v>241</v>
      </c>
      <c r="G19" s="5" t="s">
        <v>243</v>
      </c>
      <c r="H19" s="5" t="s">
        <v>101</v>
      </c>
      <c r="I19" s="5" t="s">
        <v>245</v>
      </c>
      <c r="J19" s="5"/>
      <c r="K19" s="5" t="s">
        <v>40</v>
      </c>
      <c r="L19" s="5" t="s">
        <v>29</v>
      </c>
      <c r="M19" s="5" t="s">
        <v>30</v>
      </c>
      <c r="N19" s="5"/>
    </row>
    <row r="20">
      <c r="A20" s="5" t="s">
        <v>19</v>
      </c>
      <c r="B20" s="5" t="s">
        <v>236</v>
      </c>
      <c r="C20" s="5" t="s">
        <v>238</v>
      </c>
      <c r="D20" s="5" t="s">
        <v>93</v>
      </c>
      <c r="E20" s="5" t="s">
        <v>240</v>
      </c>
      <c r="F20" s="5" t="s">
        <v>257</v>
      </c>
      <c r="G20" s="5" t="s">
        <v>259</v>
      </c>
      <c r="H20" s="5" t="s">
        <v>101</v>
      </c>
      <c r="I20" s="5" t="s">
        <v>245</v>
      </c>
      <c r="J20" s="5"/>
      <c r="K20" s="5" t="s">
        <v>40</v>
      </c>
      <c r="L20" s="5" t="s">
        <v>29</v>
      </c>
      <c r="M20" s="5" t="s">
        <v>30</v>
      </c>
      <c r="N20" s="5"/>
    </row>
    <row r="21" ht="15.75" customHeight="1">
      <c r="A21" s="5" t="s">
        <v>19</v>
      </c>
      <c r="B21" s="5" t="s">
        <v>264</v>
      </c>
      <c r="C21" s="5" t="s">
        <v>124</v>
      </c>
      <c r="D21" s="5" t="s">
        <v>153</v>
      </c>
      <c r="E21" s="5" t="s">
        <v>95</v>
      </c>
      <c r="F21" s="5" t="s">
        <v>98</v>
      </c>
      <c r="G21" s="5" t="s">
        <v>100</v>
      </c>
      <c r="H21" s="5" t="s">
        <v>156</v>
      </c>
      <c r="I21" s="5" t="s">
        <v>268</v>
      </c>
      <c r="J21" s="5"/>
      <c r="K21" s="5" t="s">
        <v>28</v>
      </c>
      <c r="L21" s="5" t="s">
        <v>29</v>
      </c>
      <c r="M21" s="5" t="s">
        <v>30</v>
      </c>
      <c r="N21" s="5"/>
    </row>
    <row r="22" ht="15.75" customHeight="1">
      <c r="A22" s="5" t="s">
        <v>19</v>
      </c>
      <c r="B22" s="5" t="s">
        <v>264</v>
      </c>
      <c r="C22" s="5" t="s">
        <v>145</v>
      </c>
      <c r="D22" s="5" t="s">
        <v>63</v>
      </c>
      <c r="E22" s="5" t="s">
        <v>211</v>
      </c>
      <c r="F22" s="5" t="s">
        <v>24</v>
      </c>
      <c r="G22" s="5" t="s">
        <v>48</v>
      </c>
      <c r="H22" s="5" t="s">
        <v>66</v>
      </c>
      <c r="I22" s="5" t="s">
        <v>268</v>
      </c>
      <c r="J22" s="5"/>
      <c r="K22" s="5" t="s">
        <v>28</v>
      </c>
      <c r="L22" s="5" t="s">
        <v>29</v>
      </c>
      <c r="M22" s="5" t="s">
        <v>30</v>
      </c>
      <c r="N22" s="5"/>
    </row>
    <row r="23" ht="15.75" customHeight="1">
      <c r="A23" s="5" t="s">
        <v>19</v>
      </c>
      <c r="B23" s="5" t="s">
        <v>279</v>
      </c>
      <c r="C23" s="5" t="s">
        <v>142</v>
      </c>
      <c r="D23" s="5" t="s">
        <v>99</v>
      </c>
      <c r="E23" s="5" t="s">
        <v>282</v>
      </c>
      <c r="F23" s="5" t="s">
        <v>255</v>
      </c>
      <c r="G23" s="5" t="s">
        <v>140</v>
      </c>
      <c r="H23" s="5" t="s">
        <v>105</v>
      </c>
      <c r="I23" s="5" t="s">
        <v>284</v>
      </c>
      <c r="J23" s="5"/>
      <c r="K23" s="5" t="s">
        <v>107</v>
      </c>
      <c r="L23" s="5" t="s">
        <v>29</v>
      </c>
      <c r="M23" s="5" t="s">
        <v>30</v>
      </c>
      <c r="N23" s="5"/>
    </row>
    <row r="24" ht="15.75" customHeight="1">
      <c r="A24" s="5" t="s">
        <v>19</v>
      </c>
      <c r="B24" s="5" t="s">
        <v>288</v>
      </c>
      <c r="C24" s="5" t="s">
        <v>94</v>
      </c>
      <c r="D24" s="5" t="s">
        <v>63</v>
      </c>
      <c r="E24" s="5" t="s">
        <v>37</v>
      </c>
      <c r="F24" s="5" t="s">
        <v>24</v>
      </c>
      <c r="G24" s="5" t="s">
        <v>48</v>
      </c>
      <c r="H24" s="5" t="s">
        <v>66</v>
      </c>
      <c r="I24" s="5" t="s">
        <v>291</v>
      </c>
      <c r="J24" s="5"/>
      <c r="K24" s="5" t="s">
        <v>28</v>
      </c>
      <c r="L24" s="5" t="s">
        <v>29</v>
      </c>
      <c r="M24" s="5" t="s">
        <v>30</v>
      </c>
      <c r="N24" s="5"/>
    </row>
    <row r="25" ht="15.75" customHeight="1">
      <c r="A25" s="5" t="s">
        <v>19</v>
      </c>
      <c r="B25" s="5" t="s">
        <v>295</v>
      </c>
      <c r="C25" s="5" t="s">
        <v>61</v>
      </c>
      <c r="D25" s="5" t="s">
        <v>99</v>
      </c>
      <c r="E25" s="5" t="s">
        <v>95</v>
      </c>
      <c r="F25" s="5" t="s">
        <v>181</v>
      </c>
      <c r="G25" s="5" t="s">
        <v>100</v>
      </c>
      <c r="H25" s="5" t="s">
        <v>105</v>
      </c>
      <c r="I25" s="5" t="s">
        <v>300</v>
      </c>
      <c r="J25" s="5"/>
      <c r="K25" s="5" t="s">
        <v>107</v>
      </c>
      <c r="L25" s="5" t="s">
        <v>29</v>
      </c>
      <c r="M25" s="5" t="s">
        <v>30</v>
      </c>
      <c r="N25" s="5"/>
    </row>
    <row r="26" ht="15.75" customHeight="1">
      <c r="A26" s="5" t="s">
        <v>19</v>
      </c>
      <c r="B26" s="5" t="s">
        <v>303</v>
      </c>
      <c r="C26" s="5" t="s">
        <v>62</v>
      </c>
      <c r="D26" s="5" t="s">
        <v>307</v>
      </c>
      <c r="E26" s="5" t="s">
        <v>95</v>
      </c>
      <c r="F26" s="5" t="s">
        <v>181</v>
      </c>
      <c r="G26" s="5" t="s">
        <v>100</v>
      </c>
      <c r="H26" s="5" t="s">
        <v>308</v>
      </c>
      <c r="I26" s="5" t="s">
        <v>310</v>
      </c>
      <c r="J26" s="5"/>
      <c r="K26" s="5" t="s">
        <v>28</v>
      </c>
      <c r="L26" s="5" t="s">
        <v>29</v>
      </c>
      <c r="M26" s="5" t="s">
        <v>30</v>
      </c>
      <c r="N26" s="5"/>
    </row>
    <row r="27" ht="15.75" customHeight="1">
      <c r="A27" s="5" t="s">
        <v>19</v>
      </c>
      <c r="B27" s="5" t="s">
        <v>316</v>
      </c>
      <c r="C27" s="5" t="s">
        <v>124</v>
      </c>
      <c r="D27" s="5" t="s">
        <v>153</v>
      </c>
      <c r="E27" s="5" t="s">
        <v>77</v>
      </c>
      <c r="F27" s="5" t="s">
        <v>24</v>
      </c>
      <c r="G27" s="5" t="s">
        <v>48</v>
      </c>
      <c r="H27" s="5" t="s">
        <v>156</v>
      </c>
      <c r="I27" s="5" t="s">
        <v>320</v>
      </c>
      <c r="J27" s="5"/>
      <c r="K27" s="5" t="s">
        <v>28</v>
      </c>
      <c r="L27" s="5" t="s">
        <v>29</v>
      </c>
      <c r="M27" s="5" t="s">
        <v>30</v>
      </c>
      <c r="N27" s="5"/>
    </row>
    <row r="28" ht="15.75" customHeight="1">
      <c r="A28" s="5" t="s">
        <v>19</v>
      </c>
      <c r="B28" s="5" t="s">
        <v>323</v>
      </c>
      <c r="C28" s="5" t="s">
        <v>133</v>
      </c>
      <c r="D28" s="5" t="s">
        <v>22</v>
      </c>
      <c r="E28" s="5" t="s">
        <v>77</v>
      </c>
      <c r="F28" s="5" t="s">
        <v>24</v>
      </c>
      <c r="G28" s="5" t="s">
        <v>48</v>
      </c>
      <c r="H28" s="5" t="s">
        <v>26</v>
      </c>
      <c r="I28" s="5" t="s">
        <v>326</v>
      </c>
      <c r="J28" s="5"/>
      <c r="K28" s="5" t="s">
        <v>28</v>
      </c>
      <c r="L28" s="5" t="s">
        <v>29</v>
      </c>
      <c r="M28" s="5" t="s">
        <v>30</v>
      </c>
      <c r="N28" s="5"/>
    </row>
    <row r="29" ht="15.75" customHeight="1">
      <c r="A29" s="5" t="s">
        <v>19</v>
      </c>
      <c r="B29" s="5" t="s">
        <v>323</v>
      </c>
      <c r="C29" s="5" t="s">
        <v>21</v>
      </c>
      <c r="D29" s="5" t="s">
        <v>187</v>
      </c>
      <c r="E29" s="5" t="s">
        <v>95</v>
      </c>
      <c r="F29" s="5" t="s">
        <v>98</v>
      </c>
      <c r="G29" s="5" t="s">
        <v>100</v>
      </c>
      <c r="H29" s="5" t="s">
        <v>55</v>
      </c>
      <c r="I29" s="5" t="s">
        <v>326</v>
      </c>
      <c r="J29" s="5"/>
      <c r="K29" s="5" t="s">
        <v>28</v>
      </c>
      <c r="L29" s="5" t="s">
        <v>29</v>
      </c>
      <c r="M29" s="5" t="s">
        <v>30</v>
      </c>
      <c r="N29" s="5"/>
    </row>
    <row r="30" ht="15.75" customHeight="1">
      <c r="A30" s="5" t="s">
        <v>19</v>
      </c>
      <c r="B30" s="5" t="s">
        <v>337</v>
      </c>
      <c r="C30" s="5" t="s">
        <v>50</v>
      </c>
      <c r="D30" s="5" t="s">
        <v>338</v>
      </c>
      <c r="E30" s="5" t="s">
        <v>211</v>
      </c>
      <c r="F30" s="5" t="s">
        <v>24</v>
      </c>
      <c r="G30" s="5" t="s">
        <v>48</v>
      </c>
      <c r="H30" s="5" t="s">
        <v>341</v>
      </c>
      <c r="I30" s="5" t="s">
        <v>344</v>
      </c>
      <c r="J30" s="5"/>
      <c r="K30" s="5" t="s">
        <v>28</v>
      </c>
      <c r="L30" s="5" t="s">
        <v>29</v>
      </c>
      <c r="M30" s="5" t="s">
        <v>30</v>
      </c>
      <c r="N30" s="5"/>
    </row>
    <row r="31" ht="15.75" customHeight="1">
      <c r="A31" s="5" t="s">
        <v>19</v>
      </c>
      <c r="B31" s="5" t="s">
        <v>349</v>
      </c>
      <c r="C31" s="5" t="s">
        <v>50</v>
      </c>
      <c r="D31" s="5" t="s">
        <v>153</v>
      </c>
      <c r="E31" s="5" t="s">
        <v>211</v>
      </c>
      <c r="F31" s="5" t="s">
        <v>24</v>
      </c>
      <c r="G31" s="5" t="s">
        <v>48</v>
      </c>
      <c r="H31" s="5" t="s">
        <v>156</v>
      </c>
      <c r="I31" s="5" t="s">
        <v>352</v>
      </c>
      <c r="J31" s="5"/>
      <c r="K31" s="5" t="s">
        <v>28</v>
      </c>
      <c r="L31" s="5" t="s">
        <v>29</v>
      </c>
      <c r="M31" s="5" t="s">
        <v>30</v>
      </c>
      <c r="N31" s="5"/>
    </row>
    <row r="32" ht="15.75" customHeight="1">
      <c r="A32" s="5" t="s">
        <v>19</v>
      </c>
      <c r="B32" s="5" t="s">
        <v>355</v>
      </c>
      <c r="C32" s="5" t="s">
        <v>124</v>
      </c>
      <c r="D32" s="5" t="s">
        <v>356</v>
      </c>
      <c r="E32" s="5" t="s">
        <v>95</v>
      </c>
      <c r="F32" s="5" t="s">
        <v>181</v>
      </c>
      <c r="G32" s="5" t="s">
        <v>100</v>
      </c>
      <c r="H32" s="5" t="s">
        <v>358</v>
      </c>
      <c r="I32" s="5" t="s">
        <v>359</v>
      </c>
      <c r="J32" s="5"/>
      <c r="K32" s="5" t="s">
        <v>40</v>
      </c>
      <c r="L32" s="5" t="s">
        <v>29</v>
      </c>
      <c r="M32" s="5" t="s">
        <v>30</v>
      </c>
      <c r="N32" s="5"/>
    </row>
    <row r="33" ht="15.75" customHeight="1">
      <c r="A33" s="5" t="s">
        <v>19</v>
      </c>
      <c r="B33" s="5" t="s">
        <v>355</v>
      </c>
      <c r="C33" s="5" t="s">
        <v>145</v>
      </c>
      <c r="D33" s="5" t="s">
        <v>99</v>
      </c>
      <c r="E33" s="5" t="s">
        <v>211</v>
      </c>
      <c r="F33" s="5" t="s">
        <v>24</v>
      </c>
      <c r="G33" s="5" t="s">
        <v>48</v>
      </c>
      <c r="H33" s="5" t="s">
        <v>105</v>
      </c>
      <c r="I33" s="5" t="s">
        <v>359</v>
      </c>
      <c r="J33" s="5"/>
      <c r="K33" s="5" t="s">
        <v>107</v>
      </c>
      <c r="L33" s="5" t="s">
        <v>29</v>
      </c>
      <c r="M33" s="5" t="s">
        <v>30</v>
      </c>
      <c r="N33" s="5"/>
    </row>
    <row r="34" ht="15.75" customHeight="1">
      <c r="A34" s="5" t="s">
        <v>19</v>
      </c>
      <c r="B34" s="5" t="s">
        <v>366</v>
      </c>
      <c r="C34" s="5" t="s">
        <v>177</v>
      </c>
      <c r="D34" s="5" t="s">
        <v>63</v>
      </c>
      <c r="E34" s="5" t="s">
        <v>73</v>
      </c>
      <c r="F34" s="5" t="s">
        <v>24</v>
      </c>
      <c r="G34" s="5" t="s">
        <v>48</v>
      </c>
      <c r="H34" s="5" t="s">
        <v>66</v>
      </c>
      <c r="I34" s="5" t="s">
        <v>369</v>
      </c>
      <c r="J34" s="5"/>
      <c r="K34" s="5" t="s">
        <v>28</v>
      </c>
      <c r="L34" s="5" t="s">
        <v>29</v>
      </c>
      <c r="M34" s="5" t="s">
        <v>30</v>
      </c>
      <c r="N34" s="5"/>
    </row>
    <row r="35" ht="15.75" customHeight="1">
      <c r="A35" s="5" t="s">
        <v>19</v>
      </c>
      <c r="B35" s="5" t="s">
        <v>371</v>
      </c>
      <c r="C35" s="5" t="s">
        <v>43</v>
      </c>
      <c r="D35" s="5" t="s">
        <v>64</v>
      </c>
      <c r="E35" s="5" t="s">
        <v>65</v>
      </c>
      <c r="F35" s="5" t="s">
        <v>181</v>
      </c>
      <c r="G35" s="5" t="s">
        <v>100</v>
      </c>
      <c r="H35" s="5" t="s">
        <v>70</v>
      </c>
      <c r="I35" s="5" t="s">
        <v>374</v>
      </c>
      <c r="J35" s="5"/>
      <c r="K35" s="5" t="s">
        <v>40</v>
      </c>
      <c r="L35" s="5" t="s">
        <v>29</v>
      </c>
      <c r="M35" s="5" t="s">
        <v>30</v>
      </c>
      <c r="N35" s="5"/>
    </row>
    <row r="36" ht="15.75" customHeight="1">
      <c r="A36" s="5" t="s">
        <v>19</v>
      </c>
      <c r="B36" s="5" t="s">
        <v>376</v>
      </c>
      <c r="C36" s="5" t="s">
        <v>94</v>
      </c>
      <c r="D36" s="5" t="s">
        <v>36</v>
      </c>
      <c r="E36" s="5" t="s">
        <v>95</v>
      </c>
      <c r="F36" s="5" t="s">
        <v>98</v>
      </c>
      <c r="G36" s="5" t="s">
        <v>100</v>
      </c>
      <c r="H36" s="5" t="s">
        <v>38</v>
      </c>
      <c r="I36" s="5" t="s">
        <v>387</v>
      </c>
      <c r="J36" s="5"/>
      <c r="K36" s="5" t="s">
        <v>40</v>
      </c>
      <c r="L36" s="5" t="s">
        <v>29</v>
      </c>
      <c r="M36" s="5" t="s">
        <v>30</v>
      </c>
      <c r="N36" s="5"/>
    </row>
    <row r="37" ht="15.75" customHeight="1">
      <c r="A37" s="5" t="s">
        <v>19</v>
      </c>
      <c r="B37" s="5" t="s">
        <v>376</v>
      </c>
      <c r="C37" s="5" t="s">
        <v>50</v>
      </c>
      <c r="D37" s="5" t="s">
        <v>125</v>
      </c>
      <c r="E37" s="5" t="s">
        <v>37</v>
      </c>
      <c r="F37" s="5" t="s">
        <v>78</v>
      </c>
      <c r="G37" s="5" t="s">
        <v>48</v>
      </c>
      <c r="H37" s="5" t="s">
        <v>130</v>
      </c>
      <c r="I37" s="5" t="s">
        <v>387</v>
      </c>
      <c r="J37" s="5"/>
      <c r="K37" s="5" t="s">
        <v>28</v>
      </c>
      <c r="L37" s="5" t="s">
        <v>29</v>
      </c>
      <c r="M37" s="5" t="s">
        <v>30</v>
      </c>
      <c r="N37" s="5"/>
    </row>
    <row r="38" ht="15.75" customHeight="1">
      <c r="A38" s="5" t="s">
        <v>19</v>
      </c>
      <c r="B38" s="5" t="s">
        <v>395</v>
      </c>
      <c r="C38" s="5" t="s">
        <v>61</v>
      </c>
      <c r="D38" s="5" t="s">
        <v>187</v>
      </c>
      <c r="E38" s="5" t="s">
        <v>95</v>
      </c>
      <c r="F38" s="5" t="s">
        <v>181</v>
      </c>
      <c r="G38" s="5" t="s">
        <v>100</v>
      </c>
      <c r="H38" s="5" t="s">
        <v>55</v>
      </c>
      <c r="I38" s="5" t="s">
        <v>398</v>
      </c>
      <c r="J38" s="5"/>
      <c r="K38" s="5" t="s">
        <v>28</v>
      </c>
      <c r="L38" s="5" t="s">
        <v>29</v>
      </c>
      <c r="M38" s="5" t="s">
        <v>30</v>
      </c>
      <c r="N38" s="5"/>
    </row>
    <row r="39" ht="15.75" customHeight="1">
      <c r="A39" s="5" t="s">
        <v>19</v>
      </c>
      <c r="B39" s="5" t="s">
        <v>402</v>
      </c>
      <c r="C39" s="5" t="s">
        <v>62</v>
      </c>
      <c r="D39" s="5" t="s">
        <v>44</v>
      </c>
      <c r="E39" s="5" t="s">
        <v>240</v>
      </c>
      <c r="F39" s="5" t="s">
        <v>241</v>
      </c>
      <c r="G39" s="5" t="s">
        <v>243</v>
      </c>
      <c r="H39" s="5" t="s">
        <v>49</v>
      </c>
      <c r="I39" s="5" t="s">
        <v>406</v>
      </c>
      <c r="J39" s="5"/>
      <c r="K39" s="5" t="s">
        <v>28</v>
      </c>
      <c r="L39" s="5" t="s">
        <v>29</v>
      </c>
      <c r="M39" s="5" t="s">
        <v>30</v>
      </c>
      <c r="N39" s="5"/>
    </row>
    <row r="40" ht="15.75" customHeight="1">
      <c r="A40" s="5" t="s">
        <v>19</v>
      </c>
      <c r="B40" s="5" t="s">
        <v>402</v>
      </c>
      <c r="C40" s="5" t="s">
        <v>62</v>
      </c>
      <c r="D40" s="5" t="s">
        <v>44</v>
      </c>
      <c r="E40" s="5" t="s">
        <v>240</v>
      </c>
      <c r="F40" s="5" t="s">
        <v>257</v>
      </c>
      <c r="G40" s="5" t="s">
        <v>259</v>
      </c>
      <c r="H40" s="5" t="s">
        <v>49</v>
      </c>
      <c r="I40" s="5" t="s">
        <v>406</v>
      </c>
      <c r="J40" s="5"/>
      <c r="K40" s="5" t="s">
        <v>28</v>
      </c>
      <c r="L40" s="5" t="s">
        <v>29</v>
      </c>
      <c r="M40" s="5" t="s">
        <v>30</v>
      </c>
      <c r="N40" s="5"/>
    </row>
    <row r="41" ht="15.75" customHeight="1">
      <c r="A41" s="5" t="s">
        <v>19</v>
      </c>
      <c r="B41" s="5" t="s">
        <v>416</v>
      </c>
      <c r="C41" s="5" t="s">
        <v>112</v>
      </c>
      <c r="D41" s="5" t="s">
        <v>63</v>
      </c>
      <c r="E41" s="5" t="s">
        <v>282</v>
      </c>
      <c r="F41" s="5" t="s">
        <v>255</v>
      </c>
      <c r="G41" s="5" t="s">
        <v>140</v>
      </c>
      <c r="H41" s="5" t="s">
        <v>66</v>
      </c>
      <c r="I41" s="5" t="s">
        <v>418</v>
      </c>
      <c r="J41" s="5"/>
      <c r="K41" s="5" t="s">
        <v>28</v>
      </c>
      <c r="L41" s="5" t="s">
        <v>29</v>
      </c>
      <c r="M41" s="5" t="s">
        <v>30</v>
      </c>
      <c r="N41" s="5"/>
    </row>
    <row r="42" ht="15.75" customHeight="1">
      <c r="A42" s="5" t="s">
        <v>19</v>
      </c>
      <c r="B42" s="5" t="s">
        <v>421</v>
      </c>
      <c r="C42" s="5" t="s">
        <v>35</v>
      </c>
      <c r="D42" s="5" t="s">
        <v>99</v>
      </c>
      <c r="E42" s="5" t="s">
        <v>211</v>
      </c>
      <c r="F42" s="5" t="s">
        <v>67</v>
      </c>
      <c r="G42" s="5" t="s">
        <v>68</v>
      </c>
      <c r="H42" s="5" t="s">
        <v>105</v>
      </c>
      <c r="I42" s="5" t="s">
        <v>423</v>
      </c>
      <c r="J42" s="5"/>
      <c r="K42" s="5" t="s">
        <v>107</v>
      </c>
      <c r="L42" s="5" t="s">
        <v>29</v>
      </c>
      <c r="M42" s="5" t="s">
        <v>30</v>
      </c>
      <c r="N42" s="5"/>
    </row>
    <row r="43" ht="15.75" customHeight="1">
      <c r="A43" s="5" t="s">
        <v>19</v>
      </c>
      <c r="B43" s="5" t="s">
        <v>425</v>
      </c>
      <c r="C43" s="5" t="s">
        <v>61</v>
      </c>
      <c r="D43" s="5" t="s">
        <v>36</v>
      </c>
      <c r="E43" s="5" t="s">
        <v>95</v>
      </c>
      <c r="F43" s="5" t="s">
        <v>181</v>
      </c>
      <c r="G43" s="5" t="s">
        <v>100</v>
      </c>
      <c r="H43" s="5" t="s">
        <v>38</v>
      </c>
      <c r="I43" s="5" t="s">
        <v>427</v>
      </c>
      <c r="J43" s="5"/>
      <c r="K43" s="5" t="s">
        <v>40</v>
      </c>
      <c r="L43" s="5" t="s">
        <v>29</v>
      </c>
      <c r="M43" s="5" t="s">
        <v>30</v>
      </c>
      <c r="N43" s="5"/>
    </row>
    <row r="44" ht="15.75" customHeight="1"/>
    <row r="45" ht="15.75" customHeight="1">
      <c r="A45" s="2" t="s">
        <v>170</v>
      </c>
    </row>
    <row r="46" ht="15.75" customHeight="1">
      <c r="A46" s="3" t="s">
        <v>433</v>
      </c>
    </row>
    <row r="47" ht="15.75" customHeight="1">
      <c r="A47" s="4" t="s">
        <v>4</v>
      </c>
      <c r="B47" s="4" t="s">
        <v>6</v>
      </c>
      <c r="C47" s="4" t="s">
        <v>7</v>
      </c>
      <c r="D47" s="4" t="s">
        <v>8</v>
      </c>
      <c r="E47" s="4" t="s">
        <v>9</v>
      </c>
      <c r="F47" s="4" t="s">
        <v>10</v>
      </c>
      <c r="G47" s="4" t="s">
        <v>11</v>
      </c>
      <c r="H47" s="4" t="s">
        <v>12</v>
      </c>
      <c r="I47" s="4" t="s">
        <v>13</v>
      </c>
      <c r="J47" s="4" t="s">
        <v>14</v>
      </c>
      <c r="K47" s="4" t="s">
        <v>15</v>
      </c>
      <c r="L47" s="4" t="s">
        <v>16</v>
      </c>
      <c r="M47" s="4" t="s">
        <v>17</v>
      </c>
      <c r="N47" s="4" t="s">
        <v>18</v>
      </c>
    </row>
    <row r="48" ht="15.75" customHeight="1">
      <c r="A48" s="5" t="s">
        <v>183</v>
      </c>
      <c r="B48" s="5" t="s">
        <v>447</v>
      </c>
      <c r="C48" s="5" t="s">
        <v>262</v>
      </c>
      <c r="D48" s="5" t="s">
        <v>84</v>
      </c>
      <c r="E48" s="5" t="s">
        <v>311</v>
      </c>
      <c r="F48" s="5" t="s">
        <v>85</v>
      </c>
      <c r="G48" s="5" t="s">
        <v>450</v>
      </c>
      <c r="H48" s="5" t="s">
        <v>88</v>
      </c>
      <c r="I48" s="5" t="s">
        <v>451</v>
      </c>
      <c r="J48" s="5"/>
      <c r="K48" s="5" t="s">
        <v>91</v>
      </c>
      <c r="L48" s="5" t="s">
        <v>29</v>
      </c>
      <c r="M48" s="5" t="s">
        <v>30</v>
      </c>
      <c r="N48" s="5"/>
    </row>
    <row r="49" ht="15.75" customHeight="1">
      <c r="A49" s="5" t="s">
        <v>183</v>
      </c>
      <c r="B49" s="5" t="s">
        <v>447</v>
      </c>
      <c r="C49" s="5" t="s">
        <v>262</v>
      </c>
      <c r="D49" s="5" t="s">
        <v>99</v>
      </c>
      <c r="E49" s="5" t="s">
        <v>311</v>
      </c>
      <c r="F49" s="5" t="s">
        <v>24</v>
      </c>
      <c r="G49" s="5" t="s">
        <v>48</v>
      </c>
      <c r="H49" s="5" t="s">
        <v>105</v>
      </c>
      <c r="I49" s="5" t="s">
        <v>451</v>
      </c>
      <c r="J49" s="5"/>
      <c r="K49" s="5" t="s">
        <v>107</v>
      </c>
      <c r="L49" s="5" t="s">
        <v>29</v>
      </c>
      <c r="M49" s="5" t="s">
        <v>30</v>
      </c>
      <c r="N49" s="5"/>
    </row>
    <row r="50" ht="15.75" customHeight="1">
      <c r="A50" s="5" t="s">
        <v>183</v>
      </c>
      <c r="B50" s="5" t="s">
        <v>460</v>
      </c>
      <c r="C50" s="5" t="s">
        <v>21</v>
      </c>
      <c r="D50" s="5" t="s">
        <v>153</v>
      </c>
      <c r="E50" s="5" t="s">
        <v>211</v>
      </c>
      <c r="F50" s="5" t="s">
        <v>24</v>
      </c>
      <c r="G50" s="5" t="s">
        <v>48</v>
      </c>
      <c r="H50" s="5" t="s">
        <v>156</v>
      </c>
      <c r="I50" s="5" t="s">
        <v>463</v>
      </c>
      <c r="J50" s="5"/>
      <c r="K50" s="5" t="s">
        <v>28</v>
      </c>
      <c r="L50" s="5" t="s">
        <v>29</v>
      </c>
      <c r="M50" s="5" t="s">
        <v>30</v>
      </c>
      <c r="N50" s="5"/>
    </row>
    <row r="51" ht="15.75" customHeight="1">
      <c r="A51" s="5" t="s">
        <v>183</v>
      </c>
      <c r="B51" s="5" t="s">
        <v>468</v>
      </c>
      <c r="C51" s="5" t="s">
        <v>50</v>
      </c>
      <c r="D51" s="5" t="s">
        <v>44</v>
      </c>
      <c r="E51" s="5" t="s">
        <v>73</v>
      </c>
      <c r="F51" s="5" t="s">
        <v>24</v>
      </c>
      <c r="G51" s="5" t="s">
        <v>48</v>
      </c>
      <c r="H51" s="5" t="s">
        <v>49</v>
      </c>
      <c r="I51" s="5" t="s">
        <v>474</v>
      </c>
      <c r="J51" s="5"/>
      <c r="K51" s="5" t="s">
        <v>28</v>
      </c>
      <c r="L51" s="5" t="s">
        <v>29</v>
      </c>
      <c r="M51" s="5" t="s">
        <v>30</v>
      </c>
      <c r="N51" s="5"/>
    </row>
    <row r="52" ht="15.75" customHeight="1">
      <c r="A52" s="5" t="s">
        <v>183</v>
      </c>
      <c r="B52" s="5" t="s">
        <v>483</v>
      </c>
      <c r="C52" s="5" t="s">
        <v>61</v>
      </c>
      <c r="D52" s="5" t="s">
        <v>485</v>
      </c>
      <c r="E52" s="5" t="s">
        <v>311</v>
      </c>
      <c r="F52" s="5" t="s">
        <v>24</v>
      </c>
      <c r="G52" s="5" t="s">
        <v>48</v>
      </c>
      <c r="H52" s="5" t="s">
        <v>26</v>
      </c>
      <c r="I52" s="5" t="s">
        <v>488</v>
      </c>
      <c r="J52" s="5"/>
      <c r="K52" s="5" t="s">
        <v>57</v>
      </c>
      <c r="L52" s="5" t="s">
        <v>58</v>
      </c>
      <c r="M52" s="5" t="s">
        <v>59</v>
      </c>
      <c r="N52" s="5"/>
    </row>
    <row r="53" ht="15.75" customHeight="1">
      <c r="A53" s="5" t="s">
        <v>183</v>
      </c>
      <c r="B53" s="5" t="s">
        <v>494</v>
      </c>
      <c r="C53" s="5" t="s">
        <v>111</v>
      </c>
      <c r="D53" s="5" t="s">
        <v>99</v>
      </c>
      <c r="E53" s="5" t="s">
        <v>37</v>
      </c>
      <c r="F53" s="5" t="s">
        <v>24</v>
      </c>
      <c r="G53" s="5" t="s">
        <v>48</v>
      </c>
      <c r="H53" s="5" t="s">
        <v>105</v>
      </c>
      <c r="I53" s="5" t="s">
        <v>498</v>
      </c>
      <c r="J53" s="5"/>
      <c r="K53" s="5" t="s">
        <v>107</v>
      </c>
      <c r="L53" s="5" t="s">
        <v>29</v>
      </c>
      <c r="M53" s="5" t="s">
        <v>30</v>
      </c>
      <c r="N53" s="5"/>
    </row>
    <row r="54" ht="15.75" customHeight="1">
      <c r="A54" s="5" t="s">
        <v>183</v>
      </c>
      <c r="B54" s="5" t="s">
        <v>502</v>
      </c>
      <c r="C54" s="5" t="s">
        <v>43</v>
      </c>
      <c r="D54" s="5" t="s">
        <v>44</v>
      </c>
      <c r="E54" s="5" t="s">
        <v>37</v>
      </c>
      <c r="F54" s="5" t="s">
        <v>24</v>
      </c>
      <c r="G54" s="5" t="s">
        <v>48</v>
      </c>
      <c r="H54" s="5" t="s">
        <v>49</v>
      </c>
      <c r="I54" s="5" t="s">
        <v>506</v>
      </c>
      <c r="J54" s="5"/>
      <c r="K54" s="5" t="s">
        <v>28</v>
      </c>
      <c r="L54" s="5" t="s">
        <v>29</v>
      </c>
      <c r="M54" s="5" t="s">
        <v>30</v>
      </c>
      <c r="N54" s="5"/>
    </row>
    <row r="55" ht="15.75" customHeight="1">
      <c r="A55" s="5" t="s">
        <v>183</v>
      </c>
      <c r="B55" s="5" t="s">
        <v>510</v>
      </c>
      <c r="C55" s="5" t="s">
        <v>62</v>
      </c>
      <c r="D55" s="5" t="s">
        <v>36</v>
      </c>
      <c r="E55" s="5" t="s">
        <v>280</v>
      </c>
      <c r="F55" s="5" t="s">
        <v>181</v>
      </c>
      <c r="G55" s="5" t="s">
        <v>100</v>
      </c>
      <c r="H55" s="5" t="s">
        <v>38</v>
      </c>
      <c r="I55" s="5" t="s">
        <v>514</v>
      </c>
      <c r="J55" s="5"/>
      <c r="K55" s="5" t="s">
        <v>40</v>
      </c>
      <c r="L55" s="5" t="s">
        <v>29</v>
      </c>
      <c r="M55" s="5" t="s">
        <v>30</v>
      </c>
      <c r="N55" s="5"/>
    </row>
    <row r="56" ht="15.75" customHeight="1">
      <c r="A56" s="5" t="s">
        <v>183</v>
      </c>
      <c r="B56" s="5" t="s">
        <v>510</v>
      </c>
      <c r="C56" s="5" t="s">
        <v>133</v>
      </c>
      <c r="D56" s="5" t="s">
        <v>44</v>
      </c>
      <c r="E56" s="5" t="s">
        <v>196</v>
      </c>
      <c r="F56" s="5" t="s">
        <v>138</v>
      </c>
      <c r="G56" s="5" t="s">
        <v>140</v>
      </c>
      <c r="H56" s="5" t="s">
        <v>49</v>
      </c>
      <c r="I56" s="5" t="s">
        <v>514</v>
      </c>
      <c r="J56" s="5"/>
      <c r="K56" s="5" t="s">
        <v>28</v>
      </c>
      <c r="L56" s="5" t="s">
        <v>29</v>
      </c>
      <c r="M56" s="5" t="s">
        <v>30</v>
      </c>
      <c r="N56" s="5"/>
    </row>
    <row r="57" ht="15.75" customHeight="1">
      <c r="A57" s="5" t="s">
        <v>183</v>
      </c>
      <c r="B57" s="5" t="s">
        <v>523</v>
      </c>
      <c r="C57" s="5" t="s">
        <v>262</v>
      </c>
      <c r="D57" s="5" t="s">
        <v>525</v>
      </c>
      <c r="E57" s="5" t="s">
        <v>280</v>
      </c>
      <c r="F57" s="5" t="s">
        <v>181</v>
      </c>
      <c r="G57" s="5" t="s">
        <v>100</v>
      </c>
      <c r="H57" s="5" t="s">
        <v>156</v>
      </c>
      <c r="I57" s="5" t="s">
        <v>530</v>
      </c>
      <c r="J57" s="5"/>
      <c r="K57" s="5" t="s">
        <v>57</v>
      </c>
      <c r="L57" s="5" t="s">
        <v>58</v>
      </c>
      <c r="M57" s="5" t="s">
        <v>30</v>
      </c>
      <c r="N57" s="5"/>
    </row>
    <row r="58" ht="15.75" customHeight="1">
      <c r="A58" s="5" t="s">
        <v>183</v>
      </c>
      <c r="B58" s="5" t="s">
        <v>533</v>
      </c>
      <c r="C58" s="5" t="s">
        <v>61</v>
      </c>
      <c r="D58" s="5" t="s">
        <v>187</v>
      </c>
      <c r="E58" s="5" t="s">
        <v>211</v>
      </c>
      <c r="F58" s="5" t="s">
        <v>78</v>
      </c>
      <c r="G58" s="5" t="s">
        <v>48</v>
      </c>
      <c r="H58" s="5" t="s">
        <v>55</v>
      </c>
      <c r="I58" s="5" t="s">
        <v>538</v>
      </c>
      <c r="J58" s="5"/>
      <c r="K58" s="5" t="s">
        <v>28</v>
      </c>
      <c r="L58" s="5" t="s">
        <v>29</v>
      </c>
      <c r="M58" s="5" t="s">
        <v>30</v>
      </c>
      <c r="N58" s="5"/>
    </row>
    <row r="59" ht="15.75" customHeight="1">
      <c r="A59" s="5" t="s">
        <v>183</v>
      </c>
      <c r="B59" s="5" t="s">
        <v>542</v>
      </c>
      <c r="C59" s="5" t="s">
        <v>133</v>
      </c>
      <c r="D59" s="5" t="s">
        <v>93</v>
      </c>
      <c r="E59" s="5" t="s">
        <v>280</v>
      </c>
      <c r="F59" s="5" t="s">
        <v>98</v>
      </c>
      <c r="G59" s="5" t="s">
        <v>100</v>
      </c>
      <c r="H59" s="5" t="s">
        <v>101</v>
      </c>
      <c r="I59" s="5" t="s">
        <v>547</v>
      </c>
      <c r="J59" s="5"/>
      <c r="K59" s="5" t="s">
        <v>40</v>
      </c>
      <c r="L59" s="5" t="s">
        <v>29</v>
      </c>
      <c r="M59" s="5" t="s">
        <v>30</v>
      </c>
      <c r="N59" s="5"/>
    </row>
    <row r="60" ht="15.75" customHeight="1">
      <c r="A60" s="5" t="s">
        <v>183</v>
      </c>
      <c r="B60" s="5" t="s">
        <v>551</v>
      </c>
      <c r="C60" s="5" t="s">
        <v>62</v>
      </c>
      <c r="D60" s="5" t="s">
        <v>52</v>
      </c>
      <c r="E60" s="5" t="s">
        <v>280</v>
      </c>
      <c r="F60" s="5" t="s">
        <v>98</v>
      </c>
      <c r="G60" s="5" t="s">
        <v>100</v>
      </c>
      <c r="H60" s="5" t="s">
        <v>55</v>
      </c>
      <c r="I60" s="5" t="s">
        <v>557</v>
      </c>
      <c r="J60" s="5"/>
      <c r="K60" s="5" t="s">
        <v>57</v>
      </c>
      <c r="L60" s="5" t="s">
        <v>58</v>
      </c>
      <c r="M60" s="5" t="s">
        <v>30</v>
      </c>
      <c r="N60" s="5"/>
    </row>
    <row r="61" ht="15.75" customHeight="1">
      <c r="A61" s="5" t="s">
        <v>183</v>
      </c>
      <c r="B61" s="5" t="s">
        <v>564</v>
      </c>
      <c r="C61" s="5" t="s">
        <v>124</v>
      </c>
      <c r="D61" s="5" t="s">
        <v>125</v>
      </c>
      <c r="E61" s="5" t="s">
        <v>280</v>
      </c>
      <c r="F61" s="5" t="s">
        <v>98</v>
      </c>
      <c r="G61" s="5" t="s">
        <v>100</v>
      </c>
      <c r="H61" s="5" t="s">
        <v>130</v>
      </c>
      <c r="I61" s="5" t="s">
        <v>567</v>
      </c>
      <c r="J61" s="5" t="s">
        <v>569</v>
      </c>
      <c r="K61" s="5" t="s">
        <v>28</v>
      </c>
      <c r="L61" s="5" t="s">
        <v>29</v>
      </c>
      <c r="M61" s="5" t="s">
        <v>30</v>
      </c>
      <c r="N61" s="5"/>
    </row>
    <row r="62" ht="15.75" customHeight="1">
      <c r="A62" s="5" t="s">
        <v>183</v>
      </c>
      <c r="B62" s="5" t="s">
        <v>572</v>
      </c>
      <c r="C62" s="5" t="s">
        <v>133</v>
      </c>
      <c r="D62" s="5" t="s">
        <v>36</v>
      </c>
      <c r="E62" s="5" t="s">
        <v>280</v>
      </c>
      <c r="F62" s="5" t="s">
        <v>98</v>
      </c>
      <c r="G62" s="5" t="s">
        <v>100</v>
      </c>
      <c r="H62" s="5" t="s">
        <v>38</v>
      </c>
      <c r="I62" s="5" t="s">
        <v>579</v>
      </c>
      <c r="J62" s="5"/>
      <c r="K62" s="5" t="s">
        <v>40</v>
      </c>
      <c r="L62" s="5" t="s">
        <v>29</v>
      </c>
      <c r="M62" s="5" t="s">
        <v>30</v>
      </c>
      <c r="N62" s="5"/>
    </row>
    <row r="63" ht="15.75" customHeight="1">
      <c r="A63" s="5" t="s">
        <v>183</v>
      </c>
      <c r="B63" s="5" t="s">
        <v>572</v>
      </c>
      <c r="C63" s="5" t="s">
        <v>21</v>
      </c>
      <c r="D63" s="5" t="s">
        <v>36</v>
      </c>
      <c r="E63" s="5" t="s">
        <v>280</v>
      </c>
      <c r="F63" s="5" t="s">
        <v>67</v>
      </c>
      <c r="G63" s="5" t="s">
        <v>68</v>
      </c>
      <c r="H63" s="5" t="s">
        <v>38</v>
      </c>
      <c r="I63" s="5" t="s">
        <v>579</v>
      </c>
      <c r="J63" s="5" t="s">
        <v>589</v>
      </c>
      <c r="K63" s="5" t="s">
        <v>40</v>
      </c>
      <c r="L63" s="5" t="s">
        <v>29</v>
      </c>
      <c r="M63" s="5" t="s">
        <v>30</v>
      </c>
      <c r="N63" s="5"/>
    </row>
    <row r="64" ht="15.75" customHeight="1">
      <c r="A64" s="5" t="s">
        <v>183</v>
      </c>
      <c r="B64" s="5" t="s">
        <v>593</v>
      </c>
      <c r="C64" s="5" t="s">
        <v>61</v>
      </c>
      <c r="D64" s="5" t="s">
        <v>153</v>
      </c>
      <c r="E64" s="5" t="s">
        <v>280</v>
      </c>
      <c r="F64" s="5" t="s">
        <v>98</v>
      </c>
      <c r="G64" s="5" t="s">
        <v>100</v>
      </c>
      <c r="H64" s="5" t="s">
        <v>156</v>
      </c>
      <c r="I64" s="5" t="s">
        <v>598</v>
      </c>
      <c r="J64" s="5"/>
      <c r="K64" s="5" t="s">
        <v>28</v>
      </c>
      <c r="L64" s="5" t="s">
        <v>29</v>
      </c>
      <c r="M64" s="5" t="s">
        <v>30</v>
      </c>
      <c r="N64" s="5"/>
    </row>
    <row r="65" ht="15.75" customHeight="1">
      <c r="A65" s="5" t="s">
        <v>183</v>
      </c>
      <c r="B65" s="5" t="s">
        <v>603</v>
      </c>
      <c r="C65" s="5" t="s">
        <v>43</v>
      </c>
      <c r="D65" s="5" t="s">
        <v>63</v>
      </c>
      <c r="E65" s="5" t="s">
        <v>211</v>
      </c>
      <c r="F65" s="5" t="s">
        <v>24</v>
      </c>
      <c r="G65" s="5" t="s">
        <v>48</v>
      </c>
      <c r="H65" s="5" t="s">
        <v>66</v>
      </c>
      <c r="I65" s="5" t="s">
        <v>609</v>
      </c>
      <c r="J65" s="5"/>
      <c r="K65" s="5" t="s">
        <v>28</v>
      </c>
      <c r="L65" s="5" t="s">
        <v>29</v>
      </c>
      <c r="M65" s="5" t="s">
        <v>30</v>
      </c>
      <c r="N65" s="5"/>
    </row>
    <row r="66" ht="15.75" customHeight="1">
      <c r="A66" s="5" t="s">
        <v>183</v>
      </c>
      <c r="B66" s="5" t="s">
        <v>611</v>
      </c>
      <c r="C66" s="5" t="s">
        <v>177</v>
      </c>
      <c r="D66" s="5" t="s">
        <v>44</v>
      </c>
      <c r="E66" s="5" t="s">
        <v>37</v>
      </c>
      <c r="F66" s="5" t="s">
        <v>24</v>
      </c>
      <c r="G66" s="5" t="s">
        <v>48</v>
      </c>
      <c r="H66" s="5" t="s">
        <v>49</v>
      </c>
      <c r="I66" s="5" t="s">
        <v>614</v>
      </c>
      <c r="J66" s="5"/>
      <c r="K66" s="5" t="s">
        <v>28</v>
      </c>
      <c r="L66" s="5" t="s">
        <v>29</v>
      </c>
      <c r="M66" s="5" t="s">
        <v>30</v>
      </c>
      <c r="N66" s="5"/>
    </row>
    <row r="67" ht="15.75" customHeight="1">
      <c r="A67" s="5" t="s">
        <v>183</v>
      </c>
      <c r="B67" s="5" t="s">
        <v>611</v>
      </c>
      <c r="C67" s="5" t="s">
        <v>94</v>
      </c>
      <c r="D67" s="5" t="s">
        <v>125</v>
      </c>
      <c r="E67" s="5" t="s">
        <v>280</v>
      </c>
      <c r="F67" s="5" t="s">
        <v>98</v>
      </c>
      <c r="G67" s="5" t="s">
        <v>100</v>
      </c>
      <c r="H67" s="5" t="s">
        <v>130</v>
      </c>
      <c r="I67" s="5" t="s">
        <v>614</v>
      </c>
      <c r="J67" s="5"/>
      <c r="K67" s="5" t="s">
        <v>28</v>
      </c>
      <c r="L67" s="5" t="s">
        <v>29</v>
      </c>
      <c r="M67" s="5" t="s">
        <v>30</v>
      </c>
      <c r="N67" s="5"/>
    </row>
    <row r="68" ht="15.75" customHeight="1">
      <c r="A68" s="5" t="s">
        <v>183</v>
      </c>
      <c r="B68" s="5" t="s">
        <v>621</v>
      </c>
      <c r="C68" s="5" t="s">
        <v>43</v>
      </c>
      <c r="D68" s="5" t="s">
        <v>99</v>
      </c>
      <c r="E68" s="5" t="s">
        <v>280</v>
      </c>
      <c r="F68" s="5" t="s">
        <v>67</v>
      </c>
      <c r="G68" s="5" t="s">
        <v>68</v>
      </c>
      <c r="H68" s="5" t="s">
        <v>105</v>
      </c>
      <c r="I68" s="5" t="s">
        <v>624</v>
      </c>
      <c r="J68" s="5"/>
      <c r="K68" s="5" t="s">
        <v>107</v>
      </c>
      <c r="L68" s="5" t="s">
        <v>29</v>
      </c>
      <c r="M68" s="5" t="s">
        <v>30</v>
      </c>
      <c r="N68" s="5"/>
    </row>
    <row r="69" ht="15.75" customHeight="1">
      <c r="A69" s="5" t="s">
        <v>183</v>
      </c>
      <c r="B69" s="5" t="s">
        <v>366</v>
      </c>
      <c r="C69" s="5" t="s">
        <v>94</v>
      </c>
      <c r="D69" s="5" t="s">
        <v>153</v>
      </c>
      <c r="E69" s="5" t="s">
        <v>73</v>
      </c>
      <c r="F69" s="5" t="s">
        <v>24</v>
      </c>
      <c r="G69" s="5" t="s">
        <v>48</v>
      </c>
      <c r="H69" s="5" t="s">
        <v>156</v>
      </c>
      <c r="I69" s="5" t="s">
        <v>369</v>
      </c>
      <c r="J69" s="5"/>
      <c r="K69" s="5" t="s">
        <v>28</v>
      </c>
      <c r="L69" s="5" t="s">
        <v>29</v>
      </c>
      <c r="M69" s="5" t="s">
        <v>30</v>
      </c>
      <c r="N69" s="5"/>
    </row>
    <row r="70" ht="15.75" customHeight="1">
      <c r="A70" s="5" t="s">
        <v>183</v>
      </c>
      <c r="B70" s="5" t="s">
        <v>631</v>
      </c>
      <c r="C70" s="5" t="s">
        <v>177</v>
      </c>
      <c r="D70" s="5" t="s">
        <v>187</v>
      </c>
      <c r="E70" s="5" t="s">
        <v>37</v>
      </c>
      <c r="F70" s="5" t="s">
        <v>24</v>
      </c>
      <c r="G70" s="5" t="s">
        <v>48</v>
      </c>
      <c r="H70" s="5" t="s">
        <v>55</v>
      </c>
      <c r="I70" s="5" t="s">
        <v>640</v>
      </c>
      <c r="J70" s="5"/>
      <c r="K70" s="5" t="s">
        <v>28</v>
      </c>
      <c r="L70" s="5" t="s">
        <v>29</v>
      </c>
      <c r="M70" s="5" t="s">
        <v>30</v>
      </c>
      <c r="N70" s="5"/>
    </row>
    <row r="71" ht="15.75" customHeight="1">
      <c r="A71" s="5" t="s">
        <v>183</v>
      </c>
      <c r="B71" s="5" t="s">
        <v>644</v>
      </c>
      <c r="C71" s="5" t="s">
        <v>124</v>
      </c>
      <c r="D71" s="5" t="s">
        <v>187</v>
      </c>
      <c r="E71" s="5" t="s">
        <v>280</v>
      </c>
      <c r="F71" s="5" t="s">
        <v>98</v>
      </c>
      <c r="G71" s="5" t="s">
        <v>100</v>
      </c>
      <c r="H71" s="5" t="s">
        <v>55</v>
      </c>
      <c r="I71" s="5" t="s">
        <v>647</v>
      </c>
      <c r="J71" s="5"/>
      <c r="K71" s="5" t="s">
        <v>28</v>
      </c>
      <c r="L71" s="5" t="s">
        <v>29</v>
      </c>
      <c r="M71" s="5" t="s">
        <v>30</v>
      </c>
      <c r="N71" s="5"/>
    </row>
    <row r="72" ht="15.75" customHeight="1">
      <c r="A72" s="5" t="s">
        <v>183</v>
      </c>
      <c r="B72" s="5" t="s">
        <v>652</v>
      </c>
      <c r="C72" s="5" t="s">
        <v>62</v>
      </c>
      <c r="D72" s="5" t="s">
        <v>187</v>
      </c>
      <c r="E72" s="5" t="s">
        <v>37</v>
      </c>
      <c r="F72" s="5" t="s">
        <v>24</v>
      </c>
      <c r="G72" s="5" t="s">
        <v>48</v>
      </c>
      <c r="H72" s="5" t="s">
        <v>55</v>
      </c>
      <c r="I72" s="5" t="s">
        <v>654</v>
      </c>
      <c r="J72" s="5"/>
      <c r="K72" s="5" t="s">
        <v>28</v>
      </c>
      <c r="L72" s="5" t="s">
        <v>29</v>
      </c>
      <c r="M72" s="5" t="s">
        <v>30</v>
      </c>
      <c r="N72" s="5"/>
    </row>
    <row r="73" ht="15.75" customHeight="1">
      <c r="A73" s="5" t="s">
        <v>183</v>
      </c>
      <c r="B73" s="5" t="s">
        <v>660</v>
      </c>
      <c r="C73" s="5" t="s">
        <v>62</v>
      </c>
      <c r="D73" s="5" t="s">
        <v>187</v>
      </c>
      <c r="E73" s="5" t="s">
        <v>196</v>
      </c>
      <c r="F73" s="5" t="s">
        <v>138</v>
      </c>
      <c r="G73" s="5" t="s">
        <v>140</v>
      </c>
      <c r="H73" s="5" t="s">
        <v>55</v>
      </c>
      <c r="I73" s="5" t="s">
        <v>664</v>
      </c>
      <c r="J73" s="5"/>
      <c r="K73" s="5" t="s">
        <v>28</v>
      </c>
      <c r="L73" s="5" t="s">
        <v>29</v>
      </c>
      <c r="M73" s="5" t="s">
        <v>30</v>
      </c>
      <c r="N73" s="5"/>
    </row>
    <row r="74" ht="15.75" customHeight="1">
      <c r="A74" s="5" t="s">
        <v>183</v>
      </c>
      <c r="B74" s="5" t="s">
        <v>666</v>
      </c>
      <c r="C74" s="5" t="s">
        <v>71</v>
      </c>
      <c r="D74" s="5" t="s">
        <v>64</v>
      </c>
      <c r="E74" s="5" t="s">
        <v>196</v>
      </c>
      <c r="F74" s="5" t="s">
        <v>138</v>
      </c>
      <c r="G74" s="5" t="s">
        <v>140</v>
      </c>
      <c r="H74" s="5" t="s">
        <v>70</v>
      </c>
      <c r="I74" s="5" t="s">
        <v>668</v>
      </c>
      <c r="J74" s="5"/>
      <c r="K74" s="5" t="s">
        <v>40</v>
      </c>
      <c r="L74" s="5" t="s">
        <v>29</v>
      </c>
      <c r="M74" s="5" t="s">
        <v>30</v>
      </c>
      <c r="N74" s="5"/>
    </row>
    <row r="75" ht="15.75" customHeight="1"/>
    <row r="76" ht="15.75" customHeight="1">
      <c r="A76" s="2" t="s">
        <v>286</v>
      </c>
    </row>
    <row r="77" ht="15.75" customHeight="1">
      <c r="A77" s="3" t="s">
        <v>3</v>
      </c>
    </row>
    <row r="78" ht="15.75" customHeight="1">
      <c r="A78" s="4" t="s">
        <v>4</v>
      </c>
      <c r="B78" s="4" t="s">
        <v>6</v>
      </c>
      <c r="C78" s="4" t="s">
        <v>7</v>
      </c>
      <c r="D78" s="4" t="s">
        <v>8</v>
      </c>
      <c r="E78" s="4" t="s">
        <v>9</v>
      </c>
      <c r="F78" s="4" t="s">
        <v>10</v>
      </c>
      <c r="G78" s="4" t="s">
        <v>11</v>
      </c>
      <c r="H78" s="4" t="s">
        <v>12</v>
      </c>
      <c r="I78" s="4" t="s">
        <v>13</v>
      </c>
      <c r="J78" s="4" t="s">
        <v>14</v>
      </c>
      <c r="K78" s="4" t="s">
        <v>15</v>
      </c>
      <c r="L78" s="4" t="s">
        <v>16</v>
      </c>
      <c r="M78" s="4" t="s">
        <v>17</v>
      </c>
      <c r="N78" s="4" t="s">
        <v>18</v>
      </c>
    </row>
    <row r="79" ht="15.75" customHeight="1">
      <c r="A79" s="5" t="s">
        <v>297</v>
      </c>
      <c r="B79" s="5" t="s">
        <v>675</v>
      </c>
      <c r="C79" s="5" t="s">
        <v>43</v>
      </c>
      <c r="D79" s="5" t="s">
        <v>153</v>
      </c>
      <c r="E79" s="5" t="s">
        <v>677</v>
      </c>
      <c r="F79" s="5" t="s">
        <v>113</v>
      </c>
      <c r="G79" s="5" t="s">
        <v>100</v>
      </c>
      <c r="H79" s="5" t="s">
        <v>156</v>
      </c>
      <c r="I79" s="5" t="s">
        <v>680</v>
      </c>
      <c r="J79" s="5" t="s">
        <v>314</v>
      </c>
      <c r="K79" s="5" t="s">
        <v>302</v>
      </c>
      <c r="L79" s="5" t="s">
        <v>304</v>
      </c>
      <c r="M79" s="5" t="s">
        <v>30</v>
      </c>
      <c r="N79" s="5"/>
    </row>
    <row r="80" ht="15.75" customHeight="1"/>
    <row r="81" ht="15.75" customHeight="1">
      <c r="A81" s="3" t="s">
        <v>687</v>
      </c>
    </row>
    <row r="82" ht="15.75" customHeight="1">
      <c r="A82" s="4" t="s">
        <v>4</v>
      </c>
      <c r="B82" s="4" t="s">
        <v>6</v>
      </c>
      <c r="C82" s="4" t="s">
        <v>7</v>
      </c>
      <c r="D82" s="4" t="s">
        <v>8</v>
      </c>
      <c r="E82" s="4" t="s">
        <v>9</v>
      </c>
      <c r="F82" s="4" t="s">
        <v>10</v>
      </c>
      <c r="G82" s="4" t="s">
        <v>11</v>
      </c>
      <c r="H82" s="4" t="s">
        <v>12</v>
      </c>
      <c r="I82" s="4" t="s">
        <v>13</v>
      </c>
      <c r="J82" s="4" t="s">
        <v>14</v>
      </c>
      <c r="K82" s="4" t="s">
        <v>15</v>
      </c>
      <c r="L82" s="4" t="s">
        <v>16</v>
      </c>
      <c r="M82" s="4" t="s">
        <v>17</v>
      </c>
      <c r="N82" s="4" t="s">
        <v>18</v>
      </c>
    </row>
    <row r="83" ht="15.75" customHeight="1">
      <c r="A83" s="5" t="s">
        <v>297</v>
      </c>
      <c r="B83" s="5" t="s">
        <v>697</v>
      </c>
      <c r="C83" s="5" t="s">
        <v>262</v>
      </c>
      <c r="D83" s="5" t="s">
        <v>22</v>
      </c>
      <c r="E83" s="5" t="s">
        <v>37</v>
      </c>
      <c r="F83" s="5" t="s">
        <v>24</v>
      </c>
      <c r="G83" s="5" t="s">
        <v>48</v>
      </c>
      <c r="H83" s="5" t="s">
        <v>26</v>
      </c>
      <c r="I83" s="5" t="s">
        <v>699</v>
      </c>
      <c r="J83" s="5"/>
      <c r="K83" s="5" t="s">
        <v>28</v>
      </c>
      <c r="L83" s="5" t="s">
        <v>29</v>
      </c>
      <c r="M83" s="5" t="s">
        <v>30</v>
      </c>
      <c r="N83" s="5"/>
    </row>
    <row r="84" ht="15.75" customHeight="1">
      <c r="A84" s="5" t="s">
        <v>297</v>
      </c>
      <c r="B84" s="5" t="s">
        <v>701</v>
      </c>
      <c r="C84" s="5" t="s">
        <v>71</v>
      </c>
      <c r="D84" s="5" t="s">
        <v>401</v>
      </c>
      <c r="E84" s="5" t="s">
        <v>224</v>
      </c>
      <c r="F84" s="5" t="s">
        <v>255</v>
      </c>
      <c r="G84" s="5" t="s">
        <v>704</v>
      </c>
      <c r="H84" s="5" t="s">
        <v>101</v>
      </c>
      <c r="I84" s="5" t="s">
        <v>706</v>
      </c>
      <c r="J84" s="5"/>
      <c r="K84" s="5" t="s">
        <v>348</v>
      </c>
      <c r="L84" s="5" t="s">
        <v>304</v>
      </c>
      <c r="M84" s="5" t="s">
        <v>59</v>
      </c>
      <c r="N84" s="5"/>
    </row>
    <row r="85" ht="15.75" customHeight="1">
      <c r="A85" s="5" t="s">
        <v>297</v>
      </c>
      <c r="B85" s="5" t="s">
        <v>447</v>
      </c>
      <c r="C85" s="5" t="s">
        <v>262</v>
      </c>
      <c r="D85" s="5" t="s">
        <v>125</v>
      </c>
      <c r="E85" s="5" t="s">
        <v>311</v>
      </c>
      <c r="F85" s="5" t="s">
        <v>24</v>
      </c>
      <c r="G85" s="5" t="s">
        <v>48</v>
      </c>
      <c r="H85" s="5" t="s">
        <v>130</v>
      </c>
      <c r="I85" s="5" t="s">
        <v>451</v>
      </c>
      <c r="J85" s="5"/>
      <c r="K85" s="5" t="s">
        <v>28</v>
      </c>
      <c r="L85" s="5" t="s">
        <v>29</v>
      </c>
      <c r="M85" s="5" t="s">
        <v>30</v>
      </c>
      <c r="N85" s="5"/>
    </row>
    <row r="86" ht="15.75" customHeight="1">
      <c r="A86" s="5" t="s">
        <v>297</v>
      </c>
      <c r="B86" s="5" t="s">
        <v>725</v>
      </c>
      <c r="C86" s="5" t="s">
        <v>71</v>
      </c>
      <c r="D86" s="5" t="s">
        <v>331</v>
      </c>
      <c r="E86" s="5" t="s">
        <v>37</v>
      </c>
      <c r="F86" s="5" t="s">
        <v>78</v>
      </c>
      <c r="G86" s="5" t="s">
        <v>48</v>
      </c>
      <c r="H86" s="5" t="s">
        <v>130</v>
      </c>
      <c r="I86" s="5" t="s">
        <v>728</v>
      </c>
      <c r="J86" s="5"/>
      <c r="K86" s="5" t="s">
        <v>302</v>
      </c>
      <c r="L86" s="5" t="s">
        <v>304</v>
      </c>
      <c r="M86" s="5" t="s">
        <v>59</v>
      </c>
      <c r="N86" s="5"/>
    </row>
    <row r="87" ht="15.75" customHeight="1">
      <c r="A87" s="5" t="s">
        <v>297</v>
      </c>
      <c r="B87" s="5" t="s">
        <v>468</v>
      </c>
      <c r="C87" s="5" t="s">
        <v>35</v>
      </c>
      <c r="D87" s="5" t="s">
        <v>731</v>
      </c>
      <c r="E87" s="5" t="s">
        <v>73</v>
      </c>
      <c r="F87" s="5" t="s">
        <v>24</v>
      </c>
      <c r="G87" s="5" t="s">
        <v>48</v>
      </c>
      <c r="H87" s="5" t="s">
        <v>38</v>
      </c>
      <c r="I87" s="5" t="s">
        <v>474</v>
      </c>
      <c r="J87" s="5"/>
      <c r="K87" s="5" t="s">
        <v>348</v>
      </c>
      <c r="L87" s="5" t="s">
        <v>304</v>
      </c>
      <c r="M87" s="5" t="s">
        <v>59</v>
      </c>
      <c r="N87" s="5"/>
    </row>
    <row r="88" ht="15.75" customHeight="1">
      <c r="A88" s="5" t="s">
        <v>297</v>
      </c>
      <c r="B88" s="5" t="s">
        <v>483</v>
      </c>
      <c r="C88" s="5" t="s">
        <v>133</v>
      </c>
      <c r="D88" s="5" t="s">
        <v>526</v>
      </c>
      <c r="E88" s="5" t="s">
        <v>311</v>
      </c>
      <c r="F88" s="5" t="s">
        <v>24</v>
      </c>
      <c r="G88" s="5" t="s">
        <v>48</v>
      </c>
      <c r="H88" s="5" t="s">
        <v>66</v>
      </c>
      <c r="I88" s="5" t="s">
        <v>488</v>
      </c>
      <c r="J88" s="5"/>
      <c r="K88" s="5" t="s">
        <v>302</v>
      </c>
      <c r="L88" s="5" t="s">
        <v>304</v>
      </c>
      <c r="M88" s="5" t="s">
        <v>59</v>
      </c>
      <c r="N88" s="5"/>
    </row>
    <row r="89" ht="15.75" customHeight="1">
      <c r="A89" s="5" t="s">
        <v>297</v>
      </c>
      <c r="B89" s="5" t="s">
        <v>741</v>
      </c>
      <c r="C89" s="5" t="s">
        <v>94</v>
      </c>
      <c r="D89" s="5" t="s">
        <v>731</v>
      </c>
      <c r="E89" s="5" t="s">
        <v>325</v>
      </c>
      <c r="F89" s="5" t="s">
        <v>138</v>
      </c>
      <c r="G89" s="5" t="s">
        <v>140</v>
      </c>
      <c r="H89" s="5" t="s">
        <v>38</v>
      </c>
      <c r="I89" s="5" t="s">
        <v>744</v>
      </c>
      <c r="J89" s="5"/>
      <c r="K89" s="5" t="s">
        <v>348</v>
      </c>
      <c r="L89" s="5" t="s">
        <v>304</v>
      </c>
      <c r="M89" s="5" t="s">
        <v>59</v>
      </c>
      <c r="N89" s="5"/>
    </row>
    <row r="90" ht="15.75" customHeight="1">
      <c r="A90" s="5" t="s">
        <v>297</v>
      </c>
      <c r="B90" s="5" t="s">
        <v>748</v>
      </c>
      <c r="C90" s="5" t="s">
        <v>177</v>
      </c>
      <c r="D90" s="5" t="s">
        <v>361</v>
      </c>
      <c r="E90" s="5" t="s">
        <v>280</v>
      </c>
      <c r="F90" s="5" t="s">
        <v>24</v>
      </c>
      <c r="G90" s="5" t="s">
        <v>48</v>
      </c>
      <c r="H90" s="5" t="s">
        <v>105</v>
      </c>
      <c r="I90" s="5" t="s">
        <v>751</v>
      </c>
      <c r="J90" s="5"/>
      <c r="K90" s="5" t="s">
        <v>363</v>
      </c>
      <c r="L90" s="5" t="s">
        <v>304</v>
      </c>
      <c r="M90" s="5" t="s">
        <v>30</v>
      </c>
      <c r="N90" s="5"/>
    </row>
    <row r="91" ht="15.75" customHeight="1">
      <c r="A91" s="5" t="s">
        <v>297</v>
      </c>
      <c r="B91" s="5" t="s">
        <v>748</v>
      </c>
      <c r="C91" s="5" t="s">
        <v>94</v>
      </c>
      <c r="D91" s="5" t="s">
        <v>443</v>
      </c>
      <c r="E91" s="5" t="s">
        <v>224</v>
      </c>
      <c r="F91" s="5" t="s">
        <v>255</v>
      </c>
      <c r="G91" s="5" t="s">
        <v>140</v>
      </c>
      <c r="H91" s="5" t="s">
        <v>70</v>
      </c>
      <c r="I91" s="5" t="s">
        <v>751</v>
      </c>
      <c r="J91" s="5"/>
      <c r="K91" s="5" t="s">
        <v>348</v>
      </c>
      <c r="L91" s="5" t="s">
        <v>304</v>
      </c>
      <c r="M91" s="5" t="s">
        <v>30</v>
      </c>
      <c r="N91" s="5"/>
    </row>
    <row r="92" ht="15.75" customHeight="1">
      <c r="A92" s="5" t="s">
        <v>297</v>
      </c>
      <c r="B92" s="5" t="s">
        <v>494</v>
      </c>
      <c r="C92" s="5" t="s">
        <v>111</v>
      </c>
      <c r="D92" s="5" t="s">
        <v>331</v>
      </c>
      <c r="E92" s="5" t="s">
        <v>211</v>
      </c>
      <c r="F92" s="5" t="s">
        <v>24</v>
      </c>
      <c r="G92" s="5" t="s">
        <v>48</v>
      </c>
      <c r="H92" s="5" t="s">
        <v>130</v>
      </c>
      <c r="I92" s="5" t="s">
        <v>498</v>
      </c>
      <c r="J92" s="5"/>
      <c r="K92" s="5" t="s">
        <v>302</v>
      </c>
      <c r="L92" s="5" t="s">
        <v>304</v>
      </c>
      <c r="M92" s="5" t="s">
        <v>59</v>
      </c>
      <c r="N92" s="5"/>
    </row>
    <row r="93" ht="15.75" customHeight="1">
      <c r="A93" s="5" t="s">
        <v>297</v>
      </c>
      <c r="B93" s="5" t="s">
        <v>502</v>
      </c>
      <c r="C93" s="5" t="s">
        <v>43</v>
      </c>
      <c r="D93" s="5" t="s">
        <v>36</v>
      </c>
      <c r="E93" s="5" t="s">
        <v>37</v>
      </c>
      <c r="F93" s="5" t="s">
        <v>24</v>
      </c>
      <c r="G93" s="5" t="s">
        <v>48</v>
      </c>
      <c r="H93" s="5" t="s">
        <v>38</v>
      </c>
      <c r="I93" s="5" t="s">
        <v>506</v>
      </c>
      <c r="J93" s="5"/>
      <c r="K93" s="5" t="s">
        <v>40</v>
      </c>
      <c r="L93" s="5" t="s">
        <v>29</v>
      </c>
      <c r="M93" s="5" t="s">
        <v>30</v>
      </c>
      <c r="N93" s="5"/>
    </row>
    <row r="94" ht="15.75" customHeight="1">
      <c r="A94" s="5" t="s">
        <v>297</v>
      </c>
      <c r="B94" s="5" t="s">
        <v>778</v>
      </c>
      <c r="C94" s="5" t="s">
        <v>262</v>
      </c>
      <c r="D94" s="5" t="s">
        <v>443</v>
      </c>
      <c r="E94" s="5" t="s">
        <v>280</v>
      </c>
      <c r="F94" s="5" t="s">
        <v>98</v>
      </c>
      <c r="G94" s="5" t="s">
        <v>100</v>
      </c>
      <c r="H94" s="5" t="s">
        <v>70</v>
      </c>
      <c r="I94" s="5" t="s">
        <v>782</v>
      </c>
      <c r="J94" s="5"/>
      <c r="K94" s="5" t="s">
        <v>348</v>
      </c>
      <c r="L94" s="5" t="s">
        <v>304</v>
      </c>
      <c r="M94" s="5" t="s">
        <v>59</v>
      </c>
      <c r="N94" s="5"/>
    </row>
    <row r="95" ht="15.75" customHeight="1">
      <c r="A95" s="5" t="s">
        <v>297</v>
      </c>
      <c r="B95" s="5" t="s">
        <v>778</v>
      </c>
      <c r="C95" s="5" t="s">
        <v>145</v>
      </c>
      <c r="D95" s="5" t="s">
        <v>790</v>
      </c>
      <c r="E95" s="5" t="s">
        <v>136</v>
      </c>
      <c r="F95" s="5" t="s">
        <v>138</v>
      </c>
      <c r="G95" s="5" t="s">
        <v>140</v>
      </c>
      <c r="H95" s="5" t="s">
        <v>143</v>
      </c>
      <c r="I95" s="5" t="s">
        <v>782</v>
      </c>
      <c r="J95" s="5"/>
      <c r="K95" s="5" t="s">
        <v>348</v>
      </c>
      <c r="L95" s="5" t="s">
        <v>304</v>
      </c>
      <c r="M95" s="5" t="s">
        <v>59</v>
      </c>
      <c r="N95" s="5"/>
    </row>
    <row r="96" ht="15.75" customHeight="1">
      <c r="A96" s="5" t="s">
        <v>297</v>
      </c>
      <c r="B96" s="5" t="s">
        <v>795</v>
      </c>
      <c r="C96" s="5" t="s">
        <v>71</v>
      </c>
      <c r="D96" s="5" t="s">
        <v>365</v>
      </c>
      <c r="E96" s="5" t="s">
        <v>95</v>
      </c>
      <c r="F96" s="5" t="s">
        <v>113</v>
      </c>
      <c r="G96" s="5" t="s">
        <v>100</v>
      </c>
      <c r="H96" s="5" t="s">
        <v>49</v>
      </c>
      <c r="I96" s="5" t="s">
        <v>803</v>
      </c>
      <c r="J96" s="5" t="s">
        <v>804</v>
      </c>
      <c r="K96" s="5" t="s">
        <v>302</v>
      </c>
      <c r="L96" s="5" t="s">
        <v>304</v>
      </c>
      <c r="M96" s="5" t="s">
        <v>373</v>
      </c>
      <c r="N96" s="5"/>
    </row>
    <row r="97" ht="15.75" customHeight="1">
      <c r="A97" s="5" t="s">
        <v>297</v>
      </c>
      <c r="B97" s="5" t="s">
        <v>808</v>
      </c>
      <c r="C97" s="5" t="s">
        <v>235</v>
      </c>
      <c r="D97" s="5" t="s">
        <v>365</v>
      </c>
      <c r="E97" s="5" t="s">
        <v>95</v>
      </c>
      <c r="F97" s="5" t="s">
        <v>98</v>
      </c>
      <c r="G97" s="5" t="s">
        <v>100</v>
      </c>
      <c r="H97" s="5" t="s">
        <v>49</v>
      </c>
      <c r="I97" s="5" t="s">
        <v>813</v>
      </c>
      <c r="J97" s="5"/>
      <c r="K97" s="5" t="s">
        <v>302</v>
      </c>
      <c r="L97" s="5" t="s">
        <v>304</v>
      </c>
      <c r="M97" s="5" t="s">
        <v>59</v>
      </c>
      <c r="N97" s="5"/>
    </row>
    <row r="98" ht="15.75" customHeight="1">
      <c r="A98" s="5" t="s">
        <v>297</v>
      </c>
      <c r="B98" s="5" t="s">
        <v>816</v>
      </c>
      <c r="C98" s="5" t="s">
        <v>133</v>
      </c>
      <c r="D98" s="5" t="s">
        <v>817</v>
      </c>
      <c r="E98" s="5" t="s">
        <v>311</v>
      </c>
      <c r="F98" s="5" t="s">
        <v>24</v>
      </c>
      <c r="G98" s="5" t="s">
        <v>48</v>
      </c>
      <c r="H98" s="5" t="s">
        <v>308</v>
      </c>
      <c r="I98" s="5" t="s">
        <v>819</v>
      </c>
      <c r="J98" s="5"/>
      <c r="K98" s="5" t="s">
        <v>302</v>
      </c>
      <c r="L98" s="5" t="s">
        <v>304</v>
      </c>
      <c r="M98" s="5" t="s">
        <v>59</v>
      </c>
      <c r="N98" s="5"/>
    </row>
    <row r="99" ht="15.75" customHeight="1">
      <c r="A99" s="5" t="s">
        <v>297</v>
      </c>
      <c r="B99" s="5" t="s">
        <v>822</v>
      </c>
      <c r="C99" s="5" t="s">
        <v>71</v>
      </c>
      <c r="D99" s="5" t="s">
        <v>299</v>
      </c>
      <c r="E99" s="5" t="s">
        <v>95</v>
      </c>
      <c r="F99" s="5" t="s">
        <v>98</v>
      </c>
      <c r="G99" s="5" t="s">
        <v>100</v>
      </c>
      <c r="H99" s="5" t="s">
        <v>156</v>
      </c>
      <c r="I99" s="5" t="s">
        <v>826</v>
      </c>
      <c r="J99" s="5"/>
      <c r="K99" s="5" t="s">
        <v>302</v>
      </c>
      <c r="L99" s="5" t="s">
        <v>304</v>
      </c>
      <c r="M99" s="5" t="s">
        <v>30</v>
      </c>
      <c r="N99" s="5"/>
    </row>
    <row r="100" ht="15.75" customHeight="1">
      <c r="A100" s="5" t="s">
        <v>297</v>
      </c>
      <c r="B100" s="5" t="s">
        <v>830</v>
      </c>
      <c r="C100" s="5" t="s">
        <v>177</v>
      </c>
      <c r="D100" s="5" t="s">
        <v>499</v>
      </c>
      <c r="E100" s="5" t="s">
        <v>311</v>
      </c>
      <c r="F100" s="5" t="s">
        <v>24</v>
      </c>
      <c r="G100" s="5" t="s">
        <v>48</v>
      </c>
      <c r="H100" s="5" t="s">
        <v>26</v>
      </c>
      <c r="I100" s="5" t="s">
        <v>834</v>
      </c>
      <c r="J100" s="5"/>
      <c r="K100" s="5" t="s">
        <v>302</v>
      </c>
      <c r="L100" s="5" t="s">
        <v>304</v>
      </c>
      <c r="M100" s="5" t="s">
        <v>59</v>
      </c>
      <c r="N100" s="5"/>
    </row>
    <row r="101" ht="15.75" customHeight="1">
      <c r="A101" s="5" t="s">
        <v>297</v>
      </c>
      <c r="B101" s="5" t="s">
        <v>836</v>
      </c>
      <c r="C101" s="5" t="s">
        <v>94</v>
      </c>
      <c r="D101" s="5" t="s">
        <v>443</v>
      </c>
      <c r="E101" s="5" t="s">
        <v>311</v>
      </c>
      <c r="F101" s="5" t="s">
        <v>24</v>
      </c>
      <c r="G101" s="5" t="s">
        <v>48</v>
      </c>
      <c r="H101" s="5" t="s">
        <v>70</v>
      </c>
      <c r="I101" s="5" t="s">
        <v>839</v>
      </c>
      <c r="J101" s="5" t="s">
        <v>841</v>
      </c>
      <c r="K101" s="5" t="s">
        <v>348</v>
      </c>
      <c r="L101" s="5" t="s">
        <v>304</v>
      </c>
      <c r="M101" s="5" t="s">
        <v>59</v>
      </c>
      <c r="N101" s="5"/>
    </row>
    <row r="102" ht="15.75" customHeight="1">
      <c r="A102" s="5" t="s">
        <v>297</v>
      </c>
      <c r="B102" s="5" t="s">
        <v>523</v>
      </c>
      <c r="C102" s="5" t="s">
        <v>262</v>
      </c>
      <c r="D102" s="5" t="s">
        <v>365</v>
      </c>
      <c r="E102" s="5" t="s">
        <v>280</v>
      </c>
      <c r="F102" s="5" t="s">
        <v>181</v>
      </c>
      <c r="G102" s="5" t="s">
        <v>100</v>
      </c>
      <c r="H102" s="5" t="s">
        <v>49</v>
      </c>
      <c r="I102" s="5" t="s">
        <v>530</v>
      </c>
      <c r="J102" s="5"/>
      <c r="K102" s="5" t="s">
        <v>302</v>
      </c>
      <c r="L102" s="5" t="s">
        <v>304</v>
      </c>
      <c r="M102" s="5" t="s">
        <v>59</v>
      </c>
      <c r="N102" s="5"/>
    </row>
    <row r="103" ht="15.75" customHeight="1">
      <c r="A103" s="5" t="s">
        <v>297</v>
      </c>
      <c r="B103" s="5" t="s">
        <v>849</v>
      </c>
      <c r="C103" s="5" t="s">
        <v>71</v>
      </c>
      <c r="D103" s="5" t="s">
        <v>401</v>
      </c>
      <c r="E103" s="5" t="s">
        <v>95</v>
      </c>
      <c r="F103" s="5" t="s">
        <v>98</v>
      </c>
      <c r="G103" s="5" t="s">
        <v>100</v>
      </c>
      <c r="H103" s="5" t="s">
        <v>101</v>
      </c>
      <c r="I103" s="5" t="s">
        <v>851</v>
      </c>
      <c r="J103" s="5"/>
      <c r="K103" s="5" t="s">
        <v>348</v>
      </c>
      <c r="L103" s="5" t="s">
        <v>304</v>
      </c>
      <c r="M103" s="5" t="s">
        <v>30</v>
      </c>
      <c r="N103" s="5"/>
    </row>
    <row r="104" ht="15.75" customHeight="1">
      <c r="A104" s="5" t="s">
        <v>297</v>
      </c>
      <c r="B104" s="5" t="s">
        <v>856</v>
      </c>
      <c r="C104" s="5" t="s">
        <v>21</v>
      </c>
      <c r="D104" s="5" t="s">
        <v>857</v>
      </c>
      <c r="E104" s="5" t="s">
        <v>280</v>
      </c>
      <c r="F104" s="5" t="s">
        <v>181</v>
      </c>
      <c r="G104" s="5" t="s">
        <v>100</v>
      </c>
      <c r="H104" s="5" t="s">
        <v>860</v>
      </c>
      <c r="I104" s="5" t="s">
        <v>861</v>
      </c>
      <c r="J104" s="5"/>
      <c r="K104" s="5" t="s">
        <v>302</v>
      </c>
      <c r="L104" s="5" t="s">
        <v>304</v>
      </c>
      <c r="M104" s="5" t="s">
        <v>59</v>
      </c>
      <c r="N104" s="5"/>
    </row>
    <row r="105" ht="15.75" customHeight="1">
      <c r="A105" s="5" t="s">
        <v>297</v>
      </c>
      <c r="B105" s="5" t="s">
        <v>865</v>
      </c>
      <c r="C105" s="5" t="s">
        <v>124</v>
      </c>
      <c r="D105" s="5" t="s">
        <v>526</v>
      </c>
      <c r="E105" s="5" t="s">
        <v>280</v>
      </c>
      <c r="F105" s="5" t="s">
        <v>181</v>
      </c>
      <c r="G105" s="5" t="s">
        <v>100</v>
      </c>
      <c r="H105" s="5" t="s">
        <v>66</v>
      </c>
      <c r="I105" s="5" t="s">
        <v>867</v>
      </c>
      <c r="J105" s="5"/>
      <c r="K105" s="5" t="s">
        <v>302</v>
      </c>
      <c r="L105" s="5" t="s">
        <v>304</v>
      </c>
      <c r="M105" s="5" t="s">
        <v>59</v>
      </c>
      <c r="N105" s="5"/>
    </row>
    <row r="106" ht="15.75" customHeight="1">
      <c r="A106" s="5" t="s">
        <v>297</v>
      </c>
      <c r="B106" s="5" t="s">
        <v>551</v>
      </c>
      <c r="C106" s="5" t="s">
        <v>62</v>
      </c>
      <c r="D106" s="5" t="s">
        <v>499</v>
      </c>
      <c r="E106" s="5" t="s">
        <v>280</v>
      </c>
      <c r="F106" s="5" t="s">
        <v>98</v>
      </c>
      <c r="G106" s="5" t="s">
        <v>100</v>
      </c>
      <c r="H106" s="5" t="s">
        <v>26</v>
      </c>
      <c r="I106" s="5" t="s">
        <v>557</v>
      </c>
      <c r="J106" s="5"/>
      <c r="K106" s="5" t="s">
        <v>302</v>
      </c>
      <c r="L106" s="5" t="s">
        <v>304</v>
      </c>
      <c r="M106" s="5" t="s">
        <v>59</v>
      </c>
      <c r="N106" s="5"/>
    </row>
    <row r="107" ht="15.75" customHeight="1">
      <c r="A107" s="5" t="s">
        <v>297</v>
      </c>
      <c r="B107" s="5" t="s">
        <v>874</v>
      </c>
      <c r="C107" s="5" t="s">
        <v>133</v>
      </c>
      <c r="D107" s="5" t="s">
        <v>499</v>
      </c>
      <c r="E107" s="5" t="s">
        <v>282</v>
      </c>
      <c r="F107" s="5" t="s">
        <v>255</v>
      </c>
      <c r="G107" s="5" t="s">
        <v>140</v>
      </c>
      <c r="H107" s="5" t="s">
        <v>26</v>
      </c>
      <c r="I107" s="5">
        <v>9.01234206E8</v>
      </c>
      <c r="J107" s="5"/>
      <c r="K107" s="5" t="s">
        <v>302</v>
      </c>
      <c r="L107" s="5" t="s">
        <v>304</v>
      </c>
      <c r="M107" s="5" t="s">
        <v>59</v>
      </c>
      <c r="N107" s="5"/>
    </row>
    <row r="108" ht="15.75" customHeight="1">
      <c r="A108" s="5" t="s">
        <v>297</v>
      </c>
      <c r="B108" s="5" t="s">
        <v>877</v>
      </c>
      <c r="C108" s="5" t="s">
        <v>235</v>
      </c>
      <c r="D108" s="5" t="s">
        <v>401</v>
      </c>
      <c r="E108" s="5" t="s">
        <v>311</v>
      </c>
      <c r="F108" s="5" t="s">
        <v>24</v>
      </c>
      <c r="G108" s="5" t="s">
        <v>48</v>
      </c>
      <c r="H108" s="5" t="s">
        <v>101</v>
      </c>
      <c r="I108" s="5" t="s">
        <v>879</v>
      </c>
      <c r="J108" s="5"/>
      <c r="K108" s="5" t="s">
        <v>348</v>
      </c>
      <c r="L108" s="5" t="s">
        <v>304</v>
      </c>
      <c r="M108" s="5" t="s">
        <v>59</v>
      </c>
      <c r="N108" s="5"/>
    </row>
    <row r="109" ht="15.75" customHeight="1">
      <c r="A109" s="5" t="s">
        <v>297</v>
      </c>
      <c r="B109" s="5" t="s">
        <v>288</v>
      </c>
      <c r="C109" s="5" t="s">
        <v>177</v>
      </c>
      <c r="D109" s="5" t="s">
        <v>299</v>
      </c>
      <c r="E109" s="5" t="s">
        <v>37</v>
      </c>
      <c r="F109" s="5" t="s">
        <v>24</v>
      </c>
      <c r="G109" s="5" t="s">
        <v>48</v>
      </c>
      <c r="H109" s="5" t="s">
        <v>156</v>
      </c>
      <c r="I109" s="5" t="s">
        <v>291</v>
      </c>
      <c r="J109" s="5"/>
      <c r="K109" s="5" t="s">
        <v>302</v>
      </c>
      <c r="L109" s="5" t="s">
        <v>304</v>
      </c>
      <c r="M109" s="5" t="s">
        <v>59</v>
      </c>
      <c r="N109" s="5"/>
    </row>
    <row r="110" ht="15.75" customHeight="1">
      <c r="A110" s="5" t="s">
        <v>297</v>
      </c>
      <c r="B110" s="5" t="s">
        <v>887</v>
      </c>
      <c r="C110" s="5" t="s">
        <v>235</v>
      </c>
      <c r="D110" s="5" t="s">
        <v>731</v>
      </c>
      <c r="E110" s="5" t="s">
        <v>53</v>
      </c>
      <c r="F110" s="5" t="s">
        <v>24</v>
      </c>
      <c r="G110" s="5" t="s">
        <v>48</v>
      </c>
      <c r="H110" s="5" t="s">
        <v>38</v>
      </c>
      <c r="I110" s="5" t="s">
        <v>890</v>
      </c>
      <c r="J110" s="5"/>
      <c r="K110" s="5" t="s">
        <v>348</v>
      </c>
      <c r="L110" s="5" t="s">
        <v>304</v>
      </c>
      <c r="M110" s="5" t="s">
        <v>59</v>
      </c>
      <c r="N110" s="5"/>
    </row>
    <row r="111" ht="15.75" customHeight="1">
      <c r="A111" s="5" t="s">
        <v>297</v>
      </c>
      <c r="B111" s="5" t="s">
        <v>572</v>
      </c>
      <c r="C111" s="5" t="s">
        <v>124</v>
      </c>
      <c r="D111" s="5" t="s">
        <v>894</v>
      </c>
      <c r="E111" s="5" t="s">
        <v>343</v>
      </c>
      <c r="F111" s="5" t="s">
        <v>138</v>
      </c>
      <c r="G111" s="5" t="s">
        <v>140</v>
      </c>
      <c r="H111" s="5" t="s">
        <v>896</v>
      </c>
      <c r="I111" s="5" t="s">
        <v>579</v>
      </c>
      <c r="J111" s="5"/>
      <c r="K111" s="5" t="s">
        <v>302</v>
      </c>
      <c r="L111" s="5" t="s">
        <v>304</v>
      </c>
      <c r="M111" s="5" t="s">
        <v>59</v>
      </c>
      <c r="N111" s="5"/>
    </row>
    <row r="112" ht="15.75" customHeight="1">
      <c r="A112" s="5" t="s">
        <v>297</v>
      </c>
      <c r="B112" s="5" t="s">
        <v>901</v>
      </c>
      <c r="C112" s="5" t="s">
        <v>235</v>
      </c>
      <c r="D112" s="5" t="s">
        <v>365</v>
      </c>
      <c r="E112" s="5" t="s">
        <v>343</v>
      </c>
      <c r="F112" s="5" t="s">
        <v>138</v>
      </c>
      <c r="G112" s="5" t="s">
        <v>140</v>
      </c>
      <c r="H112" s="5" t="s">
        <v>49</v>
      </c>
      <c r="I112" s="5" t="s">
        <v>902</v>
      </c>
      <c r="J112" s="5"/>
      <c r="K112" s="5" t="s">
        <v>302</v>
      </c>
      <c r="L112" s="5" t="s">
        <v>304</v>
      </c>
      <c r="M112" s="5" t="s">
        <v>373</v>
      </c>
      <c r="N112" s="5"/>
    </row>
    <row r="113" ht="15.75" customHeight="1">
      <c r="A113" s="5" t="s">
        <v>297</v>
      </c>
      <c r="B113" s="5" t="s">
        <v>904</v>
      </c>
      <c r="C113" s="5" t="s">
        <v>43</v>
      </c>
      <c r="D113" s="5" t="s">
        <v>499</v>
      </c>
      <c r="E113" s="5" t="s">
        <v>280</v>
      </c>
      <c r="F113" s="5" t="s">
        <v>113</v>
      </c>
      <c r="G113" s="5" t="s">
        <v>100</v>
      </c>
      <c r="H113" s="5" t="s">
        <v>26</v>
      </c>
      <c r="I113" s="5" t="s">
        <v>906</v>
      </c>
      <c r="J113" s="5"/>
      <c r="K113" s="5" t="s">
        <v>302</v>
      </c>
      <c r="L113" s="5" t="s">
        <v>304</v>
      </c>
      <c r="M113" s="5" t="s">
        <v>59</v>
      </c>
      <c r="N113" s="5"/>
    </row>
    <row r="114" ht="15.75" customHeight="1">
      <c r="A114" s="5" t="s">
        <v>297</v>
      </c>
      <c r="B114" s="5" t="s">
        <v>909</v>
      </c>
      <c r="C114" s="5" t="s">
        <v>43</v>
      </c>
      <c r="D114" s="5" t="s">
        <v>731</v>
      </c>
      <c r="E114" s="5" t="s">
        <v>280</v>
      </c>
      <c r="F114" s="5" t="s">
        <v>181</v>
      </c>
      <c r="G114" s="5" t="s">
        <v>100</v>
      </c>
      <c r="H114" s="5" t="s">
        <v>38</v>
      </c>
      <c r="I114" s="5" t="s">
        <v>913</v>
      </c>
      <c r="J114" s="5"/>
      <c r="K114" s="5" t="s">
        <v>348</v>
      </c>
      <c r="L114" s="5" t="s">
        <v>304</v>
      </c>
      <c r="M114" s="5" t="s">
        <v>59</v>
      </c>
      <c r="N114" s="5"/>
    </row>
    <row r="115" ht="15.75" customHeight="1">
      <c r="A115" s="5" t="s">
        <v>297</v>
      </c>
      <c r="B115" s="5" t="s">
        <v>918</v>
      </c>
      <c r="C115" s="5" t="s">
        <v>61</v>
      </c>
      <c r="D115" s="5" t="s">
        <v>443</v>
      </c>
      <c r="E115" s="5" t="s">
        <v>280</v>
      </c>
      <c r="F115" s="5" t="s">
        <v>181</v>
      </c>
      <c r="G115" s="5" t="s">
        <v>100</v>
      </c>
      <c r="H115" s="5" t="s">
        <v>70</v>
      </c>
      <c r="I115" s="5" t="s">
        <v>919</v>
      </c>
      <c r="J115" s="5"/>
      <c r="K115" s="5" t="s">
        <v>348</v>
      </c>
      <c r="L115" s="5" t="s">
        <v>304</v>
      </c>
      <c r="M115" s="5" t="s">
        <v>59</v>
      </c>
      <c r="N115" s="5"/>
    </row>
    <row r="116" ht="15.75" customHeight="1">
      <c r="A116" s="5" t="s">
        <v>297</v>
      </c>
      <c r="B116" s="5" t="s">
        <v>621</v>
      </c>
      <c r="C116" s="5" t="s">
        <v>43</v>
      </c>
      <c r="D116" s="5" t="s">
        <v>299</v>
      </c>
      <c r="E116" s="5" t="s">
        <v>280</v>
      </c>
      <c r="F116" s="5" t="s">
        <v>181</v>
      </c>
      <c r="G116" s="5" t="s">
        <v>100</v>
      </c>
      <c r="H116" s="5" t="s">
        <v>156</v>
      </c>
      <c r="I116" s="5" t="s">
        <v>624</v>
      </c>
      <c r="J116" s="5"/>
      <c r="K116" s="5" t="s">
        <v>302</v>
      </c>
      <c r="L116" s="5" t="s">
        <v>304</v>
      </c>
      <c r="M116" s="5" t="s">
        <v>59</v>
      </c>
      <c r="N116" s="5"/>
    </row>
    <row r="117" ht="15.75" customHeight="1">
      <c r="A117" s="5" t="s">
        <v>297</v>
      </c>
      <c r="B117" s="5" t="s">
        <v>355</v>
      </c>
      <c r="C117" s="5" t="s">
        <v>133</v>
      </c>
      <c r="D117" s="5" t="s">
        <v>331</v>
      </c>
      <c r="E117" s="5" t="s">
        <v>211</v>
      </c>
      <c r="F117" s="5" t="s">
        <v>24</v>
      </c>
      <c r="G117" s="5" t="s">
        <v>48</v>
      </c>
      <c r="H117" s="5" t="s">
        <v>130</v>
      </c>
      <c r="I117" s="5" t="s">
        <v>359</v>
      </c>
      <c r="J117" s="5"/>
      <c r="K117" s="5" t="s">
        <v>302</v>
      </c>
      <c r="L117" s="5" t="s">
        <v>304</v>
      </c>
      <c r="M117" s="5" t="s">
        <v>59</v>
      </c>
      <c r="N117" s="5"/>
    </row>
    <row r="118" ht="15.75" customHeight="1">
      <c r="A118" s="5" t="s">
        <v>297</v>
      </c>
      <c r="B118" s="5" t="s">
        <v>924</v>
      </c>
      <c r="C118" s="5" t="s">
        <v>112</v>
      </c>
      <c r="D118" s="5" t="s">
        <v>925</v>
      </c>
      <c r="E118" s="5" t="s">
        <v>343</v>
      </c>
      <c r="F118" s="5" t="s">
        <v>138</v>
      </c>
      <c r="G118" s="5" t="s">
        <v>140</v>
      </c>
      <c r="H118" s="5" t="s">
        <v>162</v>
      </c>
      <c r="I118" s="5" t="s">
        <v>927</v>
      </c>
      <c r="J118" s="5"/>
      <c r="K118" s="5" t="s">
        <v>302</v>
      </c>
      <c r="L118" s="5" t="s">
        <v>304</v>
      </c>
      <c r="M118" s="5" t="s">
        <v>59</v>
      </c>
      <c r="N118" s="5"/>
    </row>
    <row r="119" ht="15.75" customHeight="1">
      <c r="A119" s="5" t="s">
        <v>297</v>
      </c>
      <c r="B119" s="5" t="s">
        <v>929</v>
      </c>
      <c r="C119" s="5" t="s">
        <v>21</v>
      </c>
      <c r="D119" s="5" t="s">
        <v>931</v>
      </c>
      <c r="E119" s="5" t="s">
        <v>280</v>
      </c>
      <c r="F119" s="5" t="s">
        <v>98</v>
      </c>
      <c r="G119" s="5" t="s">
        <v>100</v>
      </c>
      <c r="H119" s="5" t="s">
        <v>933</v>
      </c>
      <c r="I119" s="5" t="s">
        <v>934</v>
      </c>
      <c r="J119" s="5"/>
      <c r="K119" s="5" t="s">
        <v>302</v>
      </c>
      <c r="L119" s="5" t="s">
        <v>304</v>
      </c>
      <c r="M119" s="5" t="s">
        <v>59</v>
      </c>
      <c r="N119" s="5"/>
    </row>
    <row r="120" ht="15.75" customHeight="1"/>
    <row r="121" ht="15.75" customHeight="1">
      <c r="A121" s="6" t="s">
        <v>414</v>
      </c>
    </row>
    <row r="122" ht="15.75" customHeight="1">
      <c r="A122" s="6" t="s">
        <v>938</v>
      </c>
    </row>
    <row r="123" ht="15.75" customHeight="1">
      <c r="A123" s="6" t="s">
        <v>4</v>
      </c>
      <c r="B123" s="6" t="s">
        <v>6</v>
      </c>
      <c r="C123" s="6" t="s">
        <v>7</v>
      </c>
      <c r="D123" s="6" t="s">
        <v>8</v>
      </c>
      <c r="E123" s="6" t="s">
        <v>9</v>
      </c>
      <c r="F123" s="6" t="s">
        <v>10</v>
      </c>
      <c r="G123" s="6" t="s">
        <v>11</v>
      </c>
      <c r="H123" s="6" t="s">
        <v>12</v>
      </c>
      <c r="I123" s="6" t="s">
        <v>13</v>
      </c>
      <c r="J123" s="6" t="s">
        <v>14</v>
      </c>
      <c r="K123" s="6" t="s">
        <v>15</v>
      </c>
      <c r="L123" s="6" t="s">
        <v>16</v>
      </c>
      <c r="M123" s="6" t="s">
        <v>17</v>
      </c>
      <c r="N123" s="6" t="s">
        <v>18</v>
      </c>
    </row>
    <row r="124" ht="15.75" customHeight="1">
      <c r="A124" s="8" t="s">
        <v>424</v>
      </c>
      <c r="B124" s="8" t="s">
        <v>42</v>
      </c>
      <c r="C124" s="8" t="s">
        <v>565</v>
      </c>
      <c r="D124" s="8" t="s">
        <v>429</v>
      </c>
      <c r="E124" s="8" t="s">
        <v>946</v>
      </c>
      <c r="F124" s="8" t="s">
        <v>24</v>
      </c>
      <c r="G124" s="8" t="s">
        <v>947</v>
      </c>
      <c r="H124" s="8" t="s">
        <v>38</v>
      </c>
      <c r="I124" s="8" t="s">
        <v>51</v>
      </c>
      <c r="J124" s="8"/>
      <c r="K124" s="8"/>
      <c r="L124" s="8"/>
      <c r="M124" s="8" t="s">
        <v>30</v>
      </c>
      <c r="N124" s="8"/>
    </row>
    <row r="125" ht="15.75" customHeight="1">
      <c r="A125" s="8" t="s">
        <v>424</v>
      </c>
      <c r="B125" s="8" t="s">
        <v>42</v>
      </c>
      <c r="C125" s="8" t="s">
        <v>616</v>
      </c>
      <c r="D125" s="8" t="s">
        <v>429</v>
      </c>
      <c r="E125" s="8" t="s">
        <v>946</v>
      </c>
      <c r="F125" s="8" t="s">
        <v>172</v>
      </c>
      <c r="G125" s="8" t="s">
        <v>952</v>
      </c>
      <c r="H125" s="8" t="s">
        <v>66</v>
      </c>
      <c r="I125" s="8" t="s">
        <v>51</v>
      </c>
      <c r="J125" s="8"/>
      <c r="K125" s="8"/>
      <c r="L125" s="8"/>
      <c r="M125" s="8" t="s">
        <v>30</v>
      </c>
      <c r="N125" s="8"/>
    </row>
    <row r="126" ht="15.75" customHeight="1">
      <c r="A126" s="8" t="s">
        <v>424</v>
      </c>
      <c r="B126" s="8" t="s">
        <v>90</v>
      </c>
      <c r="C126" s="8" t="s">
        <v>596</v>
      </c>
      <c r="D126" s="8" t="s">
        <v>429</v>
      </c>
      <c r="E126" s="8" t="s">
        <v>438</v>
      </c>
      <c r="F126" s="8" t="s">
        <v>98</v>
      </c>
      <c r="G126" s="8" t="s">
        <v>956</v>
      </c>
      <c r="H126" s="8" t="s">
        <v>105</v>
      </c>
      <c r="I126" s="8" t="s">
        <v>103</v>
      </c>
      <c r="J126" s="8"/>
      <c r="K126" s="8"/>
      <c r="L126" s="8"/>
      <c r="M126" s="8" t="s">
        <v>30</v>
      </c>
      <c r="N126" s="8" t="s">
        <v>958</v>
      </c>
    </row>
    <row r="127" ht="15.75" customHeight="1">
      <c r="A127" s="8" t="s">
        <v>424</v>
      </c>
      <c r="B127" s="8" t="s">
        <v>460</v>
      </c>
      <c r="C127" s="8" t="s">
        <v>588</v>
      </c>
      <c r="D127" s="8" t="s">
        <v>429</v>
      </c>
      <c r="E127" s="8" t="s">
        <v>430</v>
      </c>
      <c r="F127" s="8" t="s">
        <v>24</v>
      </c>
      <c r="G127" s="8" t="s">
        <v>947</v>
      </c>
      <c r="H127" s="8" t="s">
        <v>49</v>
      </c>
      <c r="I127" s="8" t="s">
        <v>463</v>
      </c>
      <c r="J127" s="8"/>
      <c r="K127" s="8"/>
      <c r="L127" s="8"/>
      <c r="M127" s="8" t="s">
        <v>59</v>
      </c>
      <c r="N127" s="8"/>
    </row>
    <row r="128" ht="15.75" customHeight="1">
      <c r="A128" s="8" t="s">
        <v>424</v>
      </c>
      <c r="B128" s="8" t="s">
        <v>126</v>
      </c>
      <c r="C128" s="8" t="s">
        <v>482</v>
      </c>
      <c r="D128" s="8" t="s">
        <v>429</v>
      </c>
      <c r="E128" s="8" t="s">
        <v>136</v>
      </c>
      <c r="F128" s="8" t="s">
        <v>138</v>
      </c>
      <c r="G128" s="8" t="s">
        <v>961</v>
      </c>
      <c r="H128" s="8" t="s">
        <v>963</v>
      </c>
      <c r="I128" s="8" t="s">
        <v>144</v>
      </c>
      <c r="J128" s="8"/>
      <c r="K128" s="8"/>
      <c r="L128" s="8"/>
      <c r="M128" s="8" t="s">
        <v>30</v>
      </c>
      <c r="N128" s="8"/>
    </row>
    <row r="129" ht="15.75" customHeight="1">
      <c r="A129" s="8" t="s">
        <v>424</v>
      </c>
      <c r="B129" s="8" t="s">
        <v>108</v>
      </c>
      <c r="C129" s="8" t="s">
        <v>501</v>
      </c>
      <c r="D129" s="8" t="s">
        <v>429</v>
      </c>
      <c r="E129" s="8" t="s">
        <v>438</v>
      </c>
      <c r="F129" s="8" t="s">
        <v>113</v>
      </c>
      <c r="G129" s="8" t="s">
        <v>956</v>
      </c>
      <c r="H129" s="8" t="s">
        <v>66</v>
      </c>
      <c r="I129" s="8" t="s">
        <v>116</v>
      </c>
      <c r="J129" s="8"/>
      <c r="K129" s="8"/>
      <c r="L129" s="8"/>
      <c r="M129" s="8" t="s">
        <v>30</v>
      </c>
      <c r="N129" s="8"/>
    </row>
    <row r="130" ht="15.75" customHeight="1">
      <c r="A130" s="8" t="s">
        <v>424</v>
      </c>
      <c r="B130" s="8" t="s">
        <v>158</v>
      </c>
      <c r="C130" s="8" t="s">
        <v>596</v>
      </c>
      <c r="D130" s="8" t="s">
        <v>429</v>
      </c>
      <c r="E130" s="8" t="s">
        <v>438</v>
      </c>
      <c r="F130" s="8" t="s">
        <v>98</v>
      </c>
      <c r="G130" s="8" t="s">
        <v>956</v>
      </c>
      <c r="H130" s="8" t="s">
        <v>969</v>
      </c>
      <c r="I130" s="8" t="s">
        <v>164</v>
      </c>
      <c r="J130" s="8"/>
      <c r="K130" s="8"/>
      <c r="L130" s="8"/>
      <c r="M130" s="8" t="s">
        <v>30</v>
      </c>
      <c r="N130" s="8"/>
    </row>
    <row r="131" ht="15.75" customHeight="1">
      <c r="A131" s="8" t="s">
        <v>424</v>
      </c>
      <c r="B131" s="8" t="s">
        <v>972</v>
      </c>
      <c r="C131" s="8" t="s">
        <v>973</v>
      </c>
      <c r="D131" s="8" t="s">
        <v>429</v>
      </c>
      <c r="E131" s="8" t="s">
        <v>430</v>
      </c>
      <c r="F131" s="8" t="s">
        <v>78</v>
      </c>
      <c r="G131" s="8" t="s">
        <v>947</v>
      </c>
      <c r="H131" s="8" t="s">
        <v>70</v>
      </c>
      <c r="I131" s="8" t="s">
        <v>974</v>
      </c>
      <c r="J131" s="8"/>
      <c r="K131" s="8"/>
      <c r="L131" s="8"/>
      <c r="M131" s="8" t="s">
        <v>30</v>
      </c>
      <c r="N131" s="8"/>
    </row>
    <row r="132" ht="15.75" customHeight="1">
      <c r="A132" s="8" t="s">
        <v>424</v>
      </c>
      <c r="B132" s="8" t="s">
        <v>972</v>
      </c>
      <c r="C132" s="8" t="s">
        <v>639</v>
      </c>
      <c r="D132" s="8" t="s">
        <v>429</v>
      </c>
      <c r="E132" s="8" t="s">
        <v>430</v>
      </c>
      <c r="F132" s="8" t="s">
        <v>67</v>
      </c>
      <c r="G132" s="8" t="s">
        <v>976</v>
      </c>
      <c r="H132" s="8" t="s">
        <v>101</v>
      </c>
      <c r="I132" s="8" t="s">
        <v>974</v>
      </c>
      <c r="J132" s="8"/>
      <c r="K132" s="8"/>
      <c r="L132" s="8"/>
      <c r="M132" s="8" t="s">
        <v>30</v>
      </c>
      <c r="N132" s="8"/>
    </row>
    <row r="133" ht="15.75" customHeight="1">
      <c r="A133" s="8" t="s">
        <v>424</v>
      </c>
      <c r="B133" s="8" t="s">
        <v>977</v>
      </c>
      <c r="C133" s="8" t="s">
        <v>979</v>
      </c>
      <c r="D133" s="8" t="s">
        <v>429</v>
      </c>
      <c r="E133" s="8" t="s">
        <v>240</v>
      </c>
      <c r="F133" s="8" t="s">
        <v>241</v>
      </c>
      <c r="G133" s="8" t="s">
        <v>980</v>
      </c>
      <c r="H133" s="8" t="s">
        <v>49</v>
      </c>
      <c r="I133" s="8" t="s">
        <v>982</v>
      </c>
      <c r="J133" s="8"/>
      <c r="K133" s="8"/>
      <c r="L133" s="8"/>
      <c r="M133" s="8" t="s">
        <v>30</v>
      </c>
      <c r="N133" s="8"/>
    </row>
    <row r="134" ht="15.75" customHeight="1">
      <c r="A134" s="8" t="s">
        <v>424</v>
      </c>
      <c r="B134" s="8" t="s">
        <v>977</v>
      </c>
      <c r="C134" s="8" t="s">
        <v>979</v>
      </c>
      <c r="D134" s="8" t="s">
        <v>429</v>
      </c>
      <c r="E134" s="8" t="s">
        <v>240</v>
      </c>
      <c r="F134" s="8" t="s">
        <v>241</v>
      </c>
      <c r="G134" s="8" t="s">
        <v>980</v>
      </c>
      <c r="H134" s="8" t="s">
        <v>66</v>
      </c>
      <c r="I134" s="8" t="s">
        <v>982</v>
      </c>
      <c r="J134" s="8"/>
      <c r="K134" s="8"/>
      <c r="L134" s="8"/>
      <c r="M134" s="8" t="s">
        <v>30</v>
      </c>
      <c r="N134" s="8"/>
    </row>
    <row r="135" ht="15.75" customHeight="1">
      <c r="A135" s="8" t="s">
        <v>424</v>
      </c>
      <c r="B135" s="8" t="s">
        <v>494</v>
      </c>
      <c r="C135" s="8" t="s">
        <v>445</v>
      </c>
      <c r="D135" s="8" t="s">
        <v>429</v>
      </c>
      <c r="E135" s="8" t="s">
        <v>430</v>
      </c>
      <c r="F135" s="8" t="s">
        <v>24</v>
      </c>
      <c r="G135" s="8" t="s">
        <v>947</v>
      </c>
      <c r="H135" s="8" t="s">
        <v>55</v>
      </c>
      <c r="I135" s="8" t="s">
        <v>498</v>
      </c>
      <c r="J135" s="8"/>
      <c r="K135" s="8"/>
      <c r="L135" s="8"/>
      <c r="M135" s="8" t="s">
        <v>30</v>
      </c>
      <c r="N135" s="8"/>
    </row>
    <row r="136" ht="15.75" customHeight="1">
      <c r="A136" s="8" t="s">
        <v>424</v>
      </c>
      <c r="B136" s="8" t="s">
        <v>169</v>
      </c>
      <c r="C136" s="8" t="s">
        <v>639</v>
      </c>
      <c r="D136" s="8" t="s">
        <v>429</v>
      </c>
      <c r="E136" s="8" t="s">
        <v>459</v>
      </c>
      <c r="F136" s="8" t="s">
        <v>172</v>
      </c>
      <c r="G136" s="8" t="s">
        <v>952</v>
      </c>
      <c r="H136" s="8" t="s">
        <v>130</v>
      </c>
      <c r="I136" s="8" t="s">
        <v>176</v>
      </c>
      <c r="J136" s="8"/>
      <c r="K136" s="8"/>
      <c r="L136" s="8"/>
      <c r="M136" s="8" t="s">
        <v>30</v>
      </c>
      <c r="N136" s="8"/>
    </row>
    <row r="137" ht="15.75" customHeight="1">
      <c r="A137" s="8" t="s">
        <v>424</v>
      </c>
      <c r="B137" s="8" t="s">
        <v>180</v>
      </c>
      <c r="C137" s="8" t="s">
        <v>596</v>
      </c>
      <c r="D137" s="8" t="s">
        <v>429</v>
      </c>
      <c r="E137" s="8" t="s">
        <v>438</v>
      </c>
      <c r="F137" s="8" t="s">
        <v>181</v>
      </c>
      <c r="G137" s="8" t="s">
        <v>956</v>
      </c>
      <c r="H137" s="8" t="s">
        <v>49</v>
      </c>
      <c r="I137" s="8" t="s">
        <v>186</v>
      </c>
      <c r="J137" s="8"/>
      <c r="K137" s="8"/>
      <c r="L137" s="8"/>
      <c r="M137" s="8" t="s">
        <v>30</v>
      </c>
      <c r="N137" s="8"/>
    </row>
    <row r="138" ht="15.75" customHeight="1">
      <c r="A138" s="8" t="s">
        <v>424</v>
      </c>
      <c r="B138" s="8" t="s">
        <v>991</v>
      </c>
      <c r="C138" s="8" t="s">
        <v>457</v>
      </c>
      <c r="D138" s="8" t="s">
        <v>429</v>
      </c>
      <c r="E138" s="8" t="s">
        <v>946</v>
      </c>
      <c r="F138" s="8" t="s">
        <v>172</v>
      </c>
      <c r="G138" s="8" t="s">
        <v>952</v>
      </c>
      <c r="H138" s="8" t="s">
        <v>358</v>
      </c>
      <c r="I138" s="8" t="s">
        <v>993</v>
      </c>
      <c r="J138" s="8"/>
      <c r="K138" s="8"/>
      <c r="L138" s="8"/>
      <c r="M138" s="8" t="s">
        <v>30</v>
      </c>
      <c r="N138" s="8"/>
    </row>
    <row r="139" ht="15.75" customHeight="1">
      <c r="A139" s="6" t="s">
        <v>424</v>
      </c>
      <c r="B139" s="6" t="s">
        <v>994</v>
      </c>
      <c r="C139" s="6" t="s">
        <v>996</v>
      </c>
      <c r="D139" s="6" t="s">
        <v>553</v>
      </c>
      <c r="E139" s="6" t="s">
        <v>240</v>
      </c>
      <c r="F139" s="6" t="s">
        <v>241</v>
      </c>
      <c r="G139" s="6" t="s">
        <v>997</v>
      </c>
      <c r="H139" s="6" t="s">
        <v>558</v>
      </c>
      <c r="I139" s="6" t="s">
        <v>998</v>
      </c>
      <c r="M139" s="6" t="s">
        <v>561</v>
      </c>
    </row>
    <row r="140" ht="15.75" customHeight="1">
      <c r="A140" s="6" t="s">
        <v>424</v>
      </c>
      <c r="B140" s="6" t="s">
        <v>994</v>
      </c>
      <c r="C140" s="6" t="s">
        <v>996</v>
      </c>
      <c r="D140" s="6" t="s">
        <v>553</v>
      </c>
      <c r="E140" s="6" t="s">
        <v>240</v>
      </c>
      <c r="F140" s="6" t="s">
        <v>257</v>
      </c>
      <c r="G140" s="6" t="s">
        <v>1001</v>
      </c>
      <c r="H140" s="6" t="s">
        <v>558</v>
      </c>
      <c r="I140" s="6" t="s">
        <v>998</v>
      </c>
      <c r="M140" s="6" t="s">
        <v>561</v>
      </c>
    </row>
    <row r="141" ht="15.75" customHeight="1">
      <c r="A141" s="8" t="s">
        <v>424</v>
      </c>
      <c r="B141" s="8" t="s">
        <v>1002</v>
      </c>
      <c r="C141" s="8" t="s">
        <v>596</v>
      </c>
      <c r="D141" s="8" t="s">
        <v>429</v>
      </c>
      <c r="E141" s="8" t="s">
        <v>508</v>
      </c>
      <c r="F141" s="8" t="s">
        <v>24</v>
      </c>
      <c r="G141" s="8" t="s">
        <v>947</v>
      </c>
      <c r="H141" s="8" t="s">
        <v>70</v>
      </c>
      <c r="I141" s="8" t="s">
        <v>1003</v>
      </c>
      <c r="J141" s="8"/>
      <c r="K141" s="8"/>
      <c r="L141" s="8"/>
      <c r="M141" s="8" t="s">
        <v>30</v>
      </c>
      <c r="N141" s="8"/>
    </row>
    <row r="142" ht="15.75" customHeight="1">
      <c r="A142" s="8" t="s">
        <v>424</v>
      </c>
      <c r="B142" s="8" t="s">
        <v>1004</v>
      </c>
      <c r="C142" s="8" t="s">
        <v>501</v>
      </c>
      <c r="D142" s="8" t="s">
        <v>429</v>
      </c>
      <c r="E142" s="8" t="s">
        <v>459</v>
      </c>
      <c r="F142" s="8" t="s">
        <v>24</v>
      </c>
      <c r="G142" s="8" t="s">
        <v>947</v>
      </c>
      <c r="H142" s="8" t="s">
        <v>49</v>
      </c>
      <c r="I142" s="8" t="s">
        <v>1005</v>
      </c>
      <c r="J142" s="8"/>
      <c r="K142" s="8"/>
      <c r="L142" s="8"/>
      <c r="M142" s="8" t="s">
        <v>30</v>
      </c>
      <c r="N142" s="8"/>
    </row>
    <row r="143" ht="15.75" customHeight="1">
      <c r="A143" s="8" t="s">
        <v>424</v>
      </c>
      <c r="B143" s="8" t="s">
        <v>264</v>
      </c>
      <c r="C143" s="8" t="s">
        <v>596</v>
      </c>
      <c r="D143" s="8" t="s">
        <v>429</v>
      </c>
      <c r="E143" s="8" t="s">
        <v>438</v>
      </c>
      <c r="F143" s="8" t="s">
        <v>98</v>
      </c>
      <c r="G143" s="8" t="s">
        <v>956</v>
      </c>
      <c r="H143" s="8" t="s">
        <v>49</v>
      </c>
      <c r="I143" s="8" t="s">
        <v>268</v>
      </c>
      <c r="J143" s="8"/>
      <c r="K143" s="8"/>
      <c r="L143" s="8"/>
      <c r="M143" s="8" t="s">
        <v>30</v>
      </c>
      <c r="N143" s="8"/>
    </row>
    <row r="144" ht="15.75" customHeight="1">
      <c r="A144" s="8" t="s">
        <v>424</v>
      </c>
      <c r="B144" s="8" t="s">
        <v>1007</v>
      </c>
      <c r="C144" s="8" t="s">
        <v>639</v>
      </c>
      <c r="D144" s="8" t="s">
        <v>429</v>
      </c>
      <c r="E144" s="8" t="s">
        <v>438</v>
      </c>
      <c r="F144" s="8" t="s">
        <v>98</v>
      </c>
      <c r="G144" s="8" t="s">
        <v>956</v>
      </c>
      <c r="H144" s="8" t="s">
        <v>101</v>
      </c>
      <c r="I144" s="8" t="s">
        <v>1010</v>
      </c>
      <c r="J144" s="8"/>
      <c r="K144" s="8"/>
      <c r="L144" s="8"/>
      <c r="M144" s="8" t="s">
        <v>30</v>
      </c>
      <c r="N144" s="8"/>
    </row>
    <row r="145" ht="13.5" customHeight="1">
      <c r="A145" s="7" t="s">
        <v>424</v>
      </c>
      <c r="B145" s="7" t="s">
        <v>1012</v>
      </c>
      <c r="C145" s="7" t="s">
        <v>1013</v>
      </c>
      <c r="D145" s="7" t="s">
        <v>429</v>
      </c>
      <c r="E145" s="7" t="s">
        <v>240</v>
      </c>
      <c r="F145" s="7" t="s">
        <v>241</v>
      </c>
      <c r="G145" s="7" t="s">
        <v>980</v>
      </c>
      <c r="H145" s="7" t="s">
        <v>101</v>
      </c>
      <c r="I145" s="7" t="s">
        <v>1015</v>
      </c>
      <c r="J145" s="7"/>
      <c r="K145" s="7"/>
      <c r="L145" s="7"/>
      <c r="M145" s="7" t="s">
        <v>373</v>
      </c>
      <c r="N145" s="7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7" t="s">
        <v>424</v>
      </c>
      <c r="B146" s="7" t="s">
        <v>1012</v>
      </c>
      <c r="C146" s="7" t="s">
        <v>1013</v>
      </c>
      <c r="D146" s="7" t="s">
        <v>429</v>
      </c>
      <c r="E146" s="7" t="s">
        <v>240</v>
      </c>
      <c r="F146" s="7" t="s">
        <v>257</v>
      </c>
      <c r="G146" s="7" t="s">
        <v>1018</v>
      </c>
      <c r="H146" s="7" t="s">
        <v>70</v>
      </c>
      <c r="I146" s="7" t="s">
        <v>1015</v>
      </c>
      <c r="J146" s="7"/>
      <c r="K146" s="7"/>
      <c r="L146" s="7"/>
      <c r="M146" s="7" t="s">
        <v>373</v>
      </c>
      <c r="N146" s="7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13" t="s">
        <v>424</v>
      </c>
      <c r="B147" s="13" t="s">
        <v>1021</v>
      </c>
      <c r="C147" s="13" t="s">
        <v>539</v>
      </c>
      <c r="D147" s="13" t="s">
        <v>30</v>
      </c>
      <c r="E147" s="13" t="s">
        <v>541</v>
      </c>
      <c r="F147" s="13" t="s">
        <v>24</v>
      </c>
      <c r="G147" s="13" t="s">
        <v>947</v>
      </c>
      <c r="H147" s="13" t="s">
        <v>105</v>
      </c>
      <c r="I147" s="13"/>
      <c r="J147" s="13"/>
      <c r="K147" s="13"/>
      <c r="L147" s="13"/>
      <c r="M147" s="13" t="s">
        <v>30</v>
      </c>
      <c r="N147" s="13"/>
    </row>
    <row r="148" ht="15.75" customHeight="1">
      <c r="A148" s="13" t="s">
        <v>424</v>
      </c>
      <c r="B148" s="13" t="s">
        <v>1021</v>
      </c>
      <c r="C148" s="13" t="s">
        <v>539</v>
      </c>
      <c r="D148" s="13" t="s">
        <v>30</v>
      </c>
      <c r="E148" s="13" t="s">
        <v>541</v>
      </c>
      <c r="F148" s="13" t="s">
        <v>85</v>
      </c>
      <c r="G148" s="13" t="s">
        <v>1024</v>
      </c>
      <c r="H148" s="13" t="s">
        <v>88</v>
      </c>
      <c r="I148" s="13"/>
      <c r="J148" s="13" t="s">
        <v>1025</v>
      </c>
      <c r="K148" s="13"/>
      <c r="L148" s="13"/>
      <c r="M148" s="13" t="s">
        <v>30</v>
      </c>
      <c r="N148" s="13"/>
    </row>
    <row r="149" ht="15.75" customHeight="1">
      <c r="A149" s="8" t="s">
        <v>424</v>
      </c>
      <c r="B149" s="8" t="s">
        <v>1027</v>
      </c>
      <c r="C149" s="8" t="s">
        <v>596</v>
      </c>
      <c r="D149" s="8" t="s">
        <v>429</v>
      </c>
      <c r="E149" s="8" t="s">
        <v>224</v>
      </c>
      <c r="F149" s="8" t="s">
        <v>138</v>
      </c>
      <c r="G149" s="8" t="s">
        <v>961</v>
      </c>
      <c r="H149" s="8" t="s">
        <v>209</v>
      </c>
      <c r="I149" s="8" t="s">
        <v>1028</v>
      </c>
      <c r="J149" s="8"/>
      <c r="K149" s="8"/>
      <c r="L149" s="8"/>
      <c r="M149" s="8" t="s">
        <v>30</v>
      </c>
      <c r="N149" s="8"/>
    </row>
    <row r="150" ht="15.75" customHeight="1">
      <c r="A150" s="8" t="s">
        <v>424</v>
      </c>
      <c r="B150" s="8" t="s">
        <v>887</v>
      </c>
      <c r="C150" s="8" t="s">
        <v>482</v>
      </c>
      <c r="D150" s="8" t="s">
        <v>429</v>
      </c>
      <c r="E150" s="8" t="s">
        <v>508</v>
      </c>
      <c r="F150" s="8" t="s">
        <v>24</v>
      </c>
      <c r="G150" s="8" t="s">
        <v>947</v>
      </c>
      <c r="H150" s="8" t="s">
        <v>70</v>
      </c>
      <c r="I150" s="8" t="s">
        <v>890</v>
      </c>
      <c r="J150" s="8"/>
      <c r="K150" s="8"/>
      <c r="L150" s="8"/>
      <c r="M150" s="8" t="s">
        <v>30</v>
      </c>
      <c r="N150" s="8"/>
    </row>
    <row r="151" ht="15.75" customHeight="1">
      <c r="A151" s="8" t="s">
        <v>424</v>
      </c>
      <c r="B151" s="8" t="s">
        <v>1030</v>
      </c>
      <c r="C151" s="8" t="s">
        <v>588</v>
      </c>
      <c r="D151" s="8" t="s">
        <v>429</v>
      </c>
      <c r="E151" s="8" t="s">
        <v>438</v>
      </c>
      <c r="F151" s="8" t="s">
        <v>98</v>
      </c>
      <c r="G151" s="8" t="s">
        <v>956</v>
      </c>
      <c r="H151" s="8" t="s">
        <v>55</v>
      </c>
      <c r="I151" s="8" t="s">
        <v>1032</v>
      </c>
      <c r="J151" s="8"/>
      <c r="K151" s="8"/>
      <c r="L151" s="8"/>
      <c r="M151" s="8" t="s">
        <v>30</v>
      </c>
      <c r="N151" s="8"/>
    </row>
    <row r="152" ht="15.75" customHeight="1">
      <c r="A152" s="8" t="s">
        <v>424</v>
      </c>
      <c r="B152" s="8" t="s">
        <v>295</v>
      </c>
      <c r="C152" s="8" t="s">
        <v>616</v>
      </c>
      <c r="D152" s="8" t="s">
        <v>429</v>
      </c>
      <c r="E152" s="8" t="s">
        <v>438</v>
      </c>
      <c r="F152" s="8" t="s">
        <v>181</v>
      </c>
      <c r="G152" s="8" t="s">
        <v>956</v>
      </c>
      <c r="H152" s="8" t="s">
        <v>130</v>
      </c>
      <c r="I152" s="8" t="s">
        <v>300</v>
      </c>
      <c r="J152" s="8"/>
      <c r="K152" s="8"/>
      <c r="L152" s="8"/>
      <c r="M152" s="8" t="s">
        <v>30</v>
      </c>
      <c r="N152" s="8"/>
    </row>
    <row r="153" ht="15.75" customHeight="1">
      <c r="A153" s="7" t="s">
        <v>424</v>
      </c>
      <c r="B153" s="7" t="s">
        <v>303</v>
      </c>
      <c r="C153" s="7" t="s">
        <v>501</v>
      </c>
      <c r="D153" s="7" t="s">
        <v>429</v>
      </c>
      <c r="E153" s="7" t="s">
        <v>438</v>
      </c>
      <c r="F153" s="7" t="s">
        <v>181</v>
      </c>
      <c r="G153" s="7" t="s">
        <v>956</v>
      </c>
      <c r="H153" s="7" t="s">
        <v>341</v>
      </c>
      <c r="I153" s="7" t="s">
        <v>310</v>
      </c>
      <c r="J153" s="7"/>
      <c r="K153" s="7"/>
      <c r="L153" s="7"/>
      <c r="M153" s="7" t="s">
        <v>373</v>
      </c>
      <c r="N153" s="7"/>
    </row>
    <row r="154" ht="15.75" customHeight="1">
      <c r="A154" s="8" t="s">
        <v>424</v>
      </c>
      <c r="B154" s="8" t="s">
        <v>316</v>
      </c>
      <c r="C154" s="8" t="s">
        <v>457</v>
      </c>
      <c r="D154" s="8" t="s">
        <v>429</v>
      </c>
      <c r="E154" s="8" t="s">
        <v>541</v>
      </c>
      <c r="F154" s="8" t="s">
        <v>24</v>
      </c>
      <c r="G154" s="8" t="s">
        <v>947</v>
      </c>
      <c r="H154" s="8" t="s">
        <v>49</v>
      </c>
      <c r="I154" s="8" t="s">
        <v>320</v>
      </c>
      <c r="J154" s="8"/>
      <c r="K154" s="8"/>
      <c r="L154" s="8"/>
      <c r="M154" s="8" t="s">
        <v>30</v>
      </c>
      <c r="N154" s="8"/>
    </row>
    <row r="155" ht="15.75" customHeight="1">
      <c r="A155" s="8" t="s">
        <v>424</v>
      </c>
      <c r="B155" s="8" t="s">
        <v>323</v>
      </c>
      <c r="C155" s="8" t="s">
        <v>445</v>
      </c>
      <c r="D155" s="8" t="s">
        <v>429</v>
      </c>
      <c r="E155" s="8" t="s">
        <v>541</v>
      </c>
      <c r="F155" s="8" t="s">
        <v>24</v>
      </c>
      <c r="G155" s="8" t="s">
        <v>947</v>
      </c>
      <c r="H155" s="8" t="s">
        <v>66</v>
      </c>
      <c r="I155" s="8" t="s">
        <v>326</v>
      </c>
      <c r="J155" s="8"/>
      <c r="K155" s="8"/>
      <c r="L155" s="8"/>
      <c r="M155" s="8" t="s">
        <v>30</v>
      </c>
      <c r="N155" s="8"/>
    </row>
    <row r="156" ht="15.75" customHeight="1">
      <c r="A156" s="8" t="s">
        <v>424</v>
      </c>
      <c r="B156" s="8" t="s">
        <v>323</v>
      </c>
      <c r="C156" s="8" t="s">
        <v>428</v>
      </c>
      <c r="D156" s="8" t="s">
        <v>429</v>
      </c>
      <c r="E156" s="8" t="s">
        <v>438</v>
      </c>
      <c r="F156" s="8" t="s">
        <v>98</v>
      </c>
      <c r="G156" s="8" t="s">
        <v>956</v>
      </c>
      <c r="H156" s="8" t="s">
        <v>26</v>
      </c>
      <c r="I156" s="8" t="s">
        <v>326</v>
      </c>
      <c r="J156" s="8"/>
      <c r="K156" s="8"/>
      <c r="L156" s="8"/>
      <c r="M156" s="8" t="s">
        <v>30</v>
      </c>
      <c r="N156" s="8"/>
    </row>
    <row r="157" ht="15.75" customHeight="1">
      <c r="A157" s="8" t="s">
        <v>424</v>
      </c>
      <c r="B157" s="8" t="s">
        <v>1038</v>
      </c>
      <c r="C157" s="8" t="s">
        <v>596</v>
      </c>
      <c r="D157" s="8" t="s">
        <v>429</v>
      </c>
      <c r="E157" s="8" t="s">
        <v>430</v>
      </c>
      <c r="F157" s="8" t="s">
        <v>24</v>
      </c>
      <c r="G157" s="8" t="s">
        <v>947</v>
      </c>
      <c r="H157" s="8" t="s">
        <v>1039</v>
      </c>
      <c r="I157" s="8" t="s">
        <v>344</v>
      </c>
      <c r="J157" s="8"/>
      <c r="K157" s="8"/>
      <c r="L157" s="8"/>
      <c r="M157" s="8" t="s">
        <v>30</v>
      </c>
      <c r="N157" s="8"/>
    </row>
    <row r="158" ht="15.75" customHeight="1">
      <c r="A158" s="8" t="s">
        <v>424</v>
      </c>
      <c r="B158" s="8" t="s">
        <v>349</v>
      </c>
      <c r="C158" s="8" t="s">
        <v>596</v>
      </c>
      <c r="D158" s="8" t="s">
        <v>429</v>
      </c>
      <c r="E158" s="8" t="s">
        <v>430</v>
      </c>
      <c r="F158" s="8" t="s">
        <v>24</v>
      </c>
      <c r="G158" s="8" t="s">
        <v>947</v>
      </c>
      <c r="H158" s="8" t="s">
        <v>49</v>
      </c>
      <c r="I158" s="8" t="s">
        <v>352</v>
      </c>
      <c r="J158" s="8"/>
      <c r="K158" s="8"/>
      <c r="L158" s="8"/>
      <c r="M158" s="8" t="s">
        <v>30</v>
      </c>
      <c r="N158" s="8"/>
    </row>
    <row r="159" ht="15.75" customHeight="1">
      <c r="A159" s="8" t="s">
        <v>424</v>
      </c>
      <c r="B159" s="8" t="s">
        <v>1040</v>
      </c>
      <c r="C159" s="8" t="s">
        <v>482</v>
      </c>
      <c r="D159" s="8" t="s">
        <v>429</v>
      </c>
      <c r="E159" s="8" t="s">
        <v>438</v>
      </c>
      <c r="F159" s="8" t="s">
        <v>98</v>
      </c>
      <c r="G159" s="8" t="s">
        <v>956</v>
      </c>
      <c r="H159" s="8" t="s">
        <v>70</v>
      </c>
      <c r="I159" s="8" t="s">
        <v>1041</v>
      </c>
      <c r="J159" s="8"/>
      <c r="K159" s="8"/>
      <c r="L159" s="8"/>
      <c r="M159" s="8" t="s">
        <v>30</v>
      </c>
      <c r="N159" s="8"/>
    </row>
    <row r="160" ht="15.75" customHeight="1">
      <c r="A160" s="8" t="s">
        <v>424</v>
      </c>
      <c r="B160" s="8" t="s">
        <v>355</v>
      </c>
      <c r="C160" s="8" t="s">
        <v>445</v>
      </c>
      <c r="D160" s="8" t="s">
        <v>429</v>
      </c>
      <c r="E160" s="8" t="s">
        <v>438</v>
      </c>
      <c r="F160" s="8" t="s">
        <v>181</v>
      </c>
      <c r="G160" s="8" t="s">
        <v>956</v>
      </c>
      <c r="H160" s="8" t="s">
        <v>143</v>
      </c>
      <c r="I160" s="8" t="s">
        <v>359</v>
      </c>
      <c r="J160" s="8"/>
      <c r="K160" s="8"/>
      <c r="L160" s="8"/>
      <c r="M160" s="8" t="s">
        <v>30</v>
      </c>
      <c r="N160" s="8"/>
    </row>
    <row r="161" ht="15.75" customHeight="1">
      <c r="A161" s="8" t="s">
        <v>424</v>
      </c>
      <c r="B161" s="8" t="s">
        <v>355</v>
      </c>
      <c r="C161" s="8" t="s">
        <v>428</v>
      </c>
      <c r="D161" s="8" t="s">
        <v>429</v>
      </c>
      <c r="E161" s="8" t="s">
        <v>430</v>
      </c>
      <c r="F161" s="8" t="s">
        <v>24</v>
      </c>
      <c r="G161" s="8" t="s">
        <v>947</v>
      </c>
      <c r="H161" s="8" t="s">
        <v>55</v>
      </c>
      <c r="I161" s="8" t="s">
        <v>359</v>
      </c>
      <c r="J161" s="8"/>
      <c r="K161" s="8"/>
      <c r="L161" s="8"/>
      <c r="M161" s="8" t="s">
        <v>30</v>
      </c>
      <c r="N161" s="8"/>
    </row>
    <row r="162" ht="15.75" customHeight="1">
      <c r="A162" s="8" t="s">
        <v>424</v>
      </c>
      <c r="B162" s="8" t="s">
        <v>395</v>
      </c>
      <c r="C162" s="8" t="s">
        <v>616</v>
      </c>
      <c r="D162" s="8" t="s">
        <v>429</v>
      </c>
      <c r="E162" s="8" t="s">
        <v>438</v>
      </c>
      <c r="F162" s="8" t="s">
        <v>181</v>
      </c>
      <c r="G162" s="8" t="s">
        <v>956</v>
      </c>
      <c r="H162" s="8" t="s">
        <v>26</v>
      </c>
      <c r="I162" s="8" t="s">
        <v>398</v>
      </c>
      <c r="J162" s="8"/>
      <c r="K162" s="8"/>
      <c r="L162" s="8"/>
      <c r="M162" s="8" t="s">
        <v>30</v>
      </c>
      <c r="N162" s="8"/>
    </row>
    <row r="163" ht="15.75" customHeight="1">
      <c r="A163" s="8" t="s">
        <v>424</v>
      </c>
      <c r="B163" s="8" t="s">
        <v>924</v>
      </c>
      <c r="C163" s="8" t="s">
        <v>591</v>
      </c>
      <c r="D163" s="8" t="s">
        <v>429</v>
      </c>
      <c r="E163" s="8" t="s">
        <v>343</v>
      </c>
      <c r="F163" s="8" t="s">
        <v>138</v>
      </c>
      <c r="G163" s="8" t="s">
        <v>961</v>
      </c>
      <c r="H163" s="8" t="s">
        <v>969</v>
      </c>
      <c r="I163" s="8" t="s">
        <v>927</v>
      </c>
      <c r="J163" s="8"/>
      <c r="K163" s="8"/>
      <c r="L163" s="8"/>
      <c r="M163" s="8" t="s">
        <v>30</v>
      </c>
      <c r="N163" s="8"/>
    </row>
    <row r="164" ht="15.75" customHeight="1">
      <c r="A164" s="8" t="s">
        <v>424</v>
      </c>
      <c r="B164" s="8" t="s">
        <v>1051</v>
      </c>
      <c r="C164" s="8" t="s">
        <v>539</v>
      </c>
      <c r="D164" s="8" t="s">
        <v>429</v>
      </c>
      <c r="E164" s="8" t="s">
        <v>459</v>
      </c>
      <c r="F164" s="8" t="s">
        <v>24</v>
      </c>
      <c r="G164" s="8" t="s">
        <v>947</v>
      </c>
      <c r="H164" s="8" t="s">
        <v>26</v>
      </c>
      <c r="I164" s="8" t="s">
        <v>1052</v>
      </c>
      <c r="J164" s="8"/>
      <c r="K164" s="8"/>
      <c r="L164" s="8"/>
      <c r="M164" s="8" t="s">
        <v>30</v>
      </c>
      <c r="N164" s="8"/>
    </row>
    <row r="165" ht="15.75" customHeight="1">
      <c r="A165" s="8" t="s">
        <v>424</v>
      </c>
      <c r="B165" s="8" t="s">
        <v>660</v>
      </c>
      <c r="C165" s="8" t="s">
        <v>501</v>
      </c>
      <c r="D165" s="8" t="s">
        <v>429</v>
      </c>
      <c r="E165" s="8" t="s">
        <v>946</v>
      </c>
      <c r="F165" s="8" t="s">
        <v>67</v>
      </c>
      <c r="G165" s="8" t="s">
        <v>976</v>
      </c>
      <c r="H165" s="8" t="s">
        <v>130</v>
      </c>
      <c r="I165" s="8" t="s">
        <v>664</v>
      </c>
      <c r="J165" s="8"/>
      <c r="K165" s="8"/>
      <c r="L165" s="8"/>
      <c r="M165" s="8" t="s">
        <v>30</v>
      </c>
      <c r="N165" s="8"/>
    </row>
    <row r="166" ht="15.75" customHeight="1">
      <c r="A166" s="8" t="s">
        <v>424</v>
      </c>
      <c r="B166" s="8" t="s">
        <v>660</v>
      </c>
      <c r="C166" s="8" t="s">
        <v>445</v>
      </c>
      <c r="D166" s="8" t="s">
        <v>429</v>
      </c>
      <c r="E166" s="8" t="s">
        <v>946</v>
      </c>
      <c r="F166" s="8" t="s">
        <v>24</v>
      </c>
      <c r="G166" s="8" t="s">
        <v>947</v>
      </c>
      <c r="H166" s="8" t="s">
        <v>55</v>
      </c>
      <c r="I166" s="8" t="s">
        <v>664</v>
      </c>
      <c r="J166" s="8"/>
      <c r="K166" s="8"/>
      <c r="L166" s="8"/>
      <c r="M166" s="8" t="s">
        <v>30</v>
      </c>
      <c r="N166" s="8"/>
    </row>
    <row r="167" ht="15.75" customHeight="1">
      <c r="A167" s="8" t="s">
        <v>424</v>
      </c>
      <c r="B167" s="8" t="s">
        <v>666</v>
      </c>
      <c r="C167" s="8" t="s">
        <v>435</v>
      </c>
      <c r="D167" s="8" t="s">
        <v>429</v>
      </c>
      <c r="E167" s="8" t="s">
        <v>438</v>
      </c>
      <c r="F167" s="8" t="s">
        <v>113</v>
      </c>
      <c r="G167" s="8" t="s">
        <v>956</v>
      </c>
      <c r="H167" s="8" t="s">
        <v>130</v>
      </c>
      <c r="I167" s="8" t="s">
        <v>668</v>
      </c>
      <c r="J167" s="8"/>
      <c r="K167" s="8"/>
      <c r="L167" s="8"/>
      <c r="M167" s="8" t="s">
        <v>30</v>
      </c>
      <c r="N167" s="8"/>
    </row>
    <row r="168" ht="15.75" customHeight="1">
      <c r="A168" s="13" t="s">
        <v>424</v>
      </c>
      <c r="B168" s="13" t="s">
        <v>1064</v>
      </c>
      <c r="C168" s="13" t="s">
        <v>565</v>
      </c>
      <c r="D168" s="13" t="s">
        <v>30</v>
      </c>
      <c r="E168" s="13" t="s">
        <v>556</v>
      </c>
      <c r="F168" s="13" t="s">
        <v>98</v>
      </c>
      <c r="G168" s="13" t="s">
        <v>956</v>
      </c>
      <c r="H168" s="13" t="s">
        <v>130</v>
      </c>
      <c r="I168" s="13" t="s">
        <v>1066</v>
      </c>
      <c r="J168" s="13"/>
      <c r="K168" s="13"/>
      <c r="L168" s="13"/>
      <c r="M168" s="13" t="s">
        <v>30</v>
      </c>
      <c r="N168" s="13"/>
    </row>
    <row r="169" ht="15.75" customHeight="1">
      <c r="A169" s="8" t="s">
        <v>424</v>
      </c>
      <c r="B169" s="8" t="s">
        <v>425</v>
      </c>
      <c r="C169" s="8" t="s">
        <v>616</v>
      </c>
      <c r="D169" s="8" t="s">
        <v>429</v>
      </c>
      <c r="E169" s="8" t="s">
        <v>438</v>
      </c>
      <c r="F169" s="8" t="s">
        <v>181</v>
      </c>
      <c r="G169" s="8" t="s">
        <v>956</v>
      </c>
      <c r="H169" s="8" t="s">
        <v>70</v>
      </c>
      <c r="I169" s="8" t="s">
        <v>427</v>
      </c>
      <c r="J169" s="8"/>
      <c r="K169" s="8"/>
      <c r="L169" s="8"/>
      <c r="M169" s="8" t="s">
        <v>30</v>
      </c>
      <c r="N169" s="8"/>
    </row>
    <row r="170" ht="15.75" customHeight="1"/>
    <row r="171" ht="15.75" customHeight="1">
      <c r="A171" s="6" t="s">
        <v>515</v>
      </c>
    </row>
    <row r="172" ht="15.75" customHeight="1">
      <c r="A172" s="6" t="s">
        <v>1068</v>
      </c>
    </row>
    <row r="173" ht="15.75" customHeight="1">
      <c r="A173" s="6" t="s">
        <v>4</v>
      </c>
      <c r="B173" s="6" t="s">
        <v>6</v>
      </c>
      <c r="C173" s="6" t="s">
        <v>7</v>
      </c>
      <c r="D173" s="6" t="s">
        <v>8</v>
      </c>
      <c r="E173" s="6" t="s">
        <v>9</v>
      </c>
      <c r="F173" s="6" t="s">
        <v>10</v>
      </c>
      <c r="G173" s="6" t="s">
        <v>11</v>
      </c>
      <c r="H173" s="6" t="s">
        <v>12</v>
      </c>
      <c r="I173" s="6" t="s">
        <v>13</v>
      </c>
      <c r="J173" s="6" t="s">
        <v>14</v>
      </c>
      <c r="K173" s="6" t="s">
        <v>15</v>
      </c>
      <c r="L173" s="6" t="s">
        <v>16</v>
      </c>
      <c r="M173" s="6" t="s">
        <v>17</v>
      </c>
      <c r="N173" s="6" t="s">
        <v>18</v>
      </c>
    </row>
    <row r="174" ht="15.75" customHeight="1">
      <c r="A174" s="8" t="s">
        <v>521</v>
      </c>
      <c r="B174" s="8" t="s">
        <v>697</v>
      </c>
      <c r="C174" s="8" t="s">
        <v>539</v>
      </c>
      <c r="D174" s="8" t="s">
        <v>429</v>
      </c>
      <c r="E174" s="8" t="s">
        <v>459</v>
      </c>
      <c r="F174" s="8" t="s">
        <v>24</v>
      </c>
      <c r="G174" s="8" t="s">
        <v>947</v>
      </c>
      <c r="H174" s="8" t="s">
        <v>66</v>
      </c>
      <c r="I174" s="8" t="s">
        <v>699</v>
      </c>
      <c r="J174" s="8"/>
      <c r="K174" s="8"/>
      <c r="L174" s="8"/>
      <c r="M174" s="8" t="s">
        <v>30</v>
      </c>
      <c r="N174" s="8"/>
    </row>
    <row r="175" ht="15.75" customHeight="1">
      <c r="A175" s="7" t="s">
        <v>521</v>
      </c>
      <c r="B175" s="7" t="s">
        <v>725</v>
      </c>
      <c r="C175" s="7" t="s">
        <v>591</v>
      </c>
      <c r="D175" s="7" t="s">
        <v>429</v>
      </c>
      <c r="E175" s="22" t="s">
        <v>524</v>
      </c>
      <c r="F175" s="7" t="s">
        <v>78</v>
      </c>
      <c r="G175" s="7" t="s">
        <v>947</v>
      </c>
      <c r="H175" s="7" t="s">
        <v>55</v>
      </c>
      <c r="I175" s="7" t="s">
        <v>728</v>
      </c>
      <c r="J175" s="7"/>
      <c r="K175" s="7"/>
      <c r="L175" s="7"/>
      <c r="M175" s="7" t="s">
        <v>373</v>
      </c>
      <c r="N175" s="7"/>
    </row>
    <row r="176" ht="15.75" customHeight="1">
      <c r="A176" s="8" t="s">
        <v>521</v>
      </c>
      <c r="B176" s="8" t="s">
        <v>1072</v>
      </c>
      <c r="C176" s="8" t="s">
        <v>482</v>
      </c>
      <c r="D176" s="8" t="s">
        <v>429</v>
      </c>
      <c r="E176" s="8" t="s">
        <v>224</v>
      </c>
      <c r="F176" s="8" t="s">
        <v>255</v>
      </c>
      <c r="G176" s="8" t="s">
        <v>961</v>
      </c>
      <c r="H176" s="8" t="s">
        <v>130</v>
      </c>
      <c r="I176" s="8" t="s">
        <v>1073</v>
      </c>
      <c r="J176" s="8"/>
      <c r="K176" s="8"/>
      <c r="L176" s="8"/>
      <c r="M176" s="8" t="s">
        <v>30</v>
      </c>
      <c r="N176" s="8"/>
    </row>
    <row r="177" ht="15.75" customHeight="1">
      <c r="A177" s="8" t="s">
        <v>521</v>
      </c>
      <c r="B177" s="8" t="s">
        <v>468</v>
      </c>
      <c r="C177" s="8" t="s">
        <v>482</v>
      </c>
      <c r="D177" s="8" t="s">
        <v>429</v>
      </c>
      <c r="E177" s="8" t="s">
        <v>524</v>
      </c>
      <c r="F177" s="8" t="s">
        <v>24</v>
      </c>
      <c r="G177" s="8" t="s">
        <v>947</v>
      </c>
      <c r="H177" s="8" t="s">
        <v>70</v>
      </c>
      <c r="I177" s="8" t="s">
        <v>474</v>
      </c>
      <c r="J177" s="8"/>
      <c r="K177" s="8"/>
      <c r="L177" s="8"/>
      <c r="M177" s="8" t="s">
        <v>30</v>
      </c>
      <c r="N177" s="8"/>
    </row>
    <row r="178" ht="15.75" customHeight="1">
      <c r="A178" s="8" t="s">
        <v>521</v>
      </c>
      <c r="B178" s="8" t="s">
        <v>1077</v>
      </c>
      <c r="C178" s="8" t="s">
        <v>588</v>
      </c>
      <c r="D178" s="8" t="s">
        <v>429</v>
      </c>
      <c r="E178" s="8" t="s">
        <v>714</v>
      </c>
      <c r="F178" s="8" t="s">
        <v>85</v>
      </c>
      <c r="G178" s="8" t="s">
        <v>1080</v>
      </c>
      <c r="H178" s="8" t="s">
        <v>88</v>
      </c>
      <c r="I178" s="8" t="s">
        <v>1081</v>
      </c>
      <c r="J178" s="8"/>
      <c r="K178" s="8"/>
      <c r="L178" s="8"/>
      <c r="M178" s="8" t="s">
        <v>30</v>
      </c>
      <c r="N178" s="8"/>
    </row>
    <row r="179" ht="15.75" customHeight="1">
      <c r="A179" s="8" t="s">
        <v>521</v>
      </c>
      <c r="B179" s="8" t="s">
        <v>1077</v>
      </c>
      <c r="C179" s="8" t="s">
        <v>588</v>
      </c>
      <c r="D179" s="8" t="s">
        <v>429</v>
      </c>
      <c r="E179" s="8" t="s">
        <v>714</v>
      </c>
      <c r="F179" s="8" t="s">
        <v>98</v>
      </c>
      <c r="G179" s="8" t="s">
        <v>956</v>
      </c>
      <c r="H179" s="8" t="s">
        <v>105</v>
      </c>
      <c r="I179" s="8" t="s">
        <v>1081</v>
      </c>
      <c r="J179" s="8"/>
      <c r="K179" s="8"/>
      <c r="L179" s="8"/>
      <c r="M179" s="8" t="s">
        <v>30</v>
      </c>
      <c r="N179" s="8"/>
    </row>
    <row r="180" ht="15.75" customHeight="1">
      <c r="A180" s="8" t="s">
        <v>521</v>
      </c>
      <c r="B180" s="8" t="s">
        <v>1082</v>
      </c>
      <c r="C180" s="8" t="s">
        <v>445</v>
      </c>
      <c r="D180" s="8" t="s">
        <v>429</v>
      </c>
      <c r="E180" s="8" t="s">
        <v>714</v>
      </c>
      <c r="F180" s="8" t="s">
        <v>98</v>
      </c>
      <c r="G180" s="8" t="s">
        <v>956</v>
      </c>
      <c r="H180" s="8" t="s">
        <v>130</v>
      </c>
      <c r="I180" s="8" t="s">
        <v>1083</v>
      </c>
      <c r="J180" s="8"/>
      <c r="K180" s="8"/>
      <c r="L180" s="8"/>
      <c r="M180" s="8" t="s">
        <v>30</v>
      </c>
      <c r="N180" s="8"/>
    </row>
    <row r="181" ht="15.75" customHeight="1">
      <c r="A181" s="8" t="s">
        <v>521</v>
      </c>
      <c r="B181" s="8" t="s">
        <v>494</v>
      </c>
      <c r="C181" s="8" t="s">
        <v>608</v>
      </c>
      <c r="D181" s="8" t="s">
        <v>429</v>
      </c>
      <c r="E181" s="8" t="s">
        <v>430</v>
      </c>
      <c r="F181" s="8" t="s">
        <v>24</v>
      </c>
      <c r="G181" s="8" t="s">
        <v>947</v>
      </c>
      <c r="H181" s="8" t="s">
        <v>26</v>
      </c>
      <c r="I181" s="8" t="s">
        <v>498</v>
      </c>
      <c r="J181" s="8"/>
      <c r="K181" s="8"/>
      <c r="L181" s="8"/>
      <c r="M181" s="8" t="s">
        <v>30</v>
      </c>
      <c r="N181" s="8"/>
    </row>
    <row r="182" ht="15.75" customHeight="1">
      <c r="A182" s="8" t="s">
        <v>521</v>
      </c>
      <c r="B182" s="8" t="s">
        <v>502</v>
      </c>
      <c r="C182" s="8" t="s">
        <v>565</v>
      </c>
      <c r="D182" s="8" t="s">
        <v>429</v>
      </c>
      <c r="E182" s="8" t="s">
        <v>459</v>
      </c>
      <c r="F182" s="8" t="s">
        <v>24</v>
      </c>
      <c r="G182" s="8" t="s">
        <v>947</v>
      </c>
      <c r="H182" s="8" t="s">
        <v>70</v>
      </c>
      <c r="I182" s="8" t="s">
        <v>506</v>
      </c>
      <c r="J182" s="8"/>
      <c r="K182" s="8"/>
      <c r="L182" s="8"/>
      <c r="M182" s="8" t="s">
        <v>30</v>
      </c>
      <c r="N182" s="8"/>
    </row>
    <row r="183" ht="15.75" customHeight="1">
      <c r="A183" s="8" t="s">
        <v>521</v>
      </c>
      <c r="B183" s="8" t="s">
        <v>795</v>
      </c>
      <c r="C183" s="8" t="s">
        <v>469</v>
      </c>
      <c r="D183" s="8" t="s">
        <v>429</v>
      </c>
      <c r="E183" s="8" t="s">
        <v>438</v>
      </c>
      <c r="F183" s="8" t="s">
        <v>113</v>
      </c>
      <c r="G183" s="8" t="s">
        <v>956</v>
      </c>
      <c r="H183" s="8" t="s">
        <v>49</v>
      </c>
      <c r="I183" s="8" t="s">
        <v>803</v>
      </c>
      <c r="J183" s="8" t="s">
        <v>804</v>
      </c>
      <c r="K183" s="8"/>
      <c r="L183" s="8"/>
      <c r="M183" s="8" t="s">
        <v>30</v>
      </c>
      <c r="N183" s="8"/>
    </row>
    <row r="184" ht="15.75" customHeight="1">
      <c r="A184" s="8" t="s">
        <v>521</v>
      </c>
      <c r="B184" s="8" t="s">
        <v>816</v>
      </c>
      <c r="C184" s="8" t="s">
        <v>445</v>
      </c>
      <c r="D184" s="8" t="s">
        <v>429</v>
      </c>
      <c r="E184" s="8" t="s">
        <v>592</v>
      </c>
      <c r="F184" s="8" t="s">
        <v>24</v>
      </c>
      <c r="G184" s="8" t="s">
        <v>947</v>
      </c>
      <c r="H184" s="8" t="s">
        <v>341</v>
      </c>
      <c r="I184" s="8" t="s">
        <v>819</v>
      </c>
      <c r="J184" s="8"/>
      <c r="K184" s="8"/>
      <c r="L184" s="8"/>
      <c r="M184" s="8" t="s">
        <v>30</v>
      </c>
      <c r="N184" s="8"/>
    </row>
    <row r="185" ht="15.75" customHeight="1">
      <c r="A185" s="8" t="s">
        <v>521</v>
      </c>
      <c r="B185" s="8" t="s">
        <v>1084</v>
      </c>
      <c r="C185" s="8" t="s">
        <v>428</v>
      </c>
      <c r="D185" s="8" t="s">
        <v>429</v>
      </c>
      <c r="E185" s="8" t="s">
        <v>282</v>
      </c>
      <c r="F185" s="8" t="s">
        <v>255</v>
      </c>
      <c r="G185" s="8" t="s">
        <v>961</v>
      </c>
      <c r="H185" s="8" t="s">
        <v>156</v>
      </c>
      <c r="I185" s="8" t="s">
        <v>1085</v>
      </c>
      <c r="J185" s="8"/>
      <c r="K185" s="8"/>
      <c r="L185" s="8"/>
      <c r="M185" s="8" t="s">
        <v>30</v>
      </c>
      <c r="N185" s="8"/>
    </row>
    <row r="186" ht="15.75" customHeight="1">
      <c r="A186" s="8" t="s">
        <v>521</v>
      </c>
      <c r="B186" s="8" t="s">
        <v>830</v>
      </c>
      <c r="C186" s="8" t="s">
        <v>639</v>
      </c>
      <c r="D186" s="8" t="s">
        <v>429</v>
      </c>
      <c r="E186" s="8" t="s">
        <v>592</v>
      </c>
      <c r="F186" s="8" t="s">
        <v>24</v>
      </c>
      <c r="G186" s="8" t="s">
        <v>947</v>
      </c>
      <c r="H186" s="8" t="s">
        <v>66</v>
      </c>
      <c r="I186" s="8" t="s">
        <v>834</v>
      </c>
      <c r="J186" s="8"/>
      <c r="K186" s="8"/>
      <c r="L186" s="8"/>
      <c r="M186" s="8" t="s">
        <v>30</v>
      </c>
      <c r="N186" s="8"/>
    </row>
    <row r="187" ht="15.75" customHeight="1">
      <c r="A187" s="8" t="s">
        <v>521</v>
      </c>
      <c r="B187" s="8" t="s">
        <v>836</v>
      </c>
      <c r="C187" s="8" t="s">
        <v>596</v>
      </c>
      <c r="D187" s="8" t="s">
        <v>429</v>
      </c>
      <c r="E187" s="8" t="s">
        <v>592</v>
      </c>
      <c r="F187" s="8" t="s">
        <v>24</v>
      </c>
      <c r="G187" s="8" t="s">
        <v>947</v>
      </c>
      <c r="H187" s="8" t="s">
        <v>101</v>
      </c>
      <c r="I187" s="8" t="s">
        <v>839</v>
      </c>
      <c r="J187" s="8" t="s">
        <v>841</v>
      </c>
      <c r="K187" s="8"/>
      <c r="L187" s="8"/>
      <c r="M187" s="8" t="s">
        <v>30</v>
      </c>
      <c r="N187" s="8"/>
    </row>
    <row r="188" ht="15.75" customHeight="1">
      <c r="A188" s="8" t="s">
        <v>521</v>
      </c>
      <c r="B188" s="8" t="s">
        <v>533</v>
      </c>
      <c r="C188" s="8" t="s">
        <v>445</v>
      </c>
      <c r="D188" s="8" t="s">
        <v>429</v>
      </c>
      <c r="E188" s="8" t="s">
        <v>430</v>
      </c>
      <c r="F188" s="8" t="s">
        <v>78</v>
      </c>
      <c r="G188" s="8" t="s">
        <v>947</v>
      </c>
      <c r="H188" s="8" t="s">
        <v>26</v>
      </c>
      <c r="I188" s="8" t="s">
        <v>538</v>
      </c>
      <c r="J188" s="8"/>
      <c r="K188" s="8"/>
      <c r="L188" s="8"/>
      <c r="M188" s="8" t="s">
        <v>30</v>
      </c>
      <c r="N188" s="8"/>
    </row>
    <row r="189" ht="15.75" customHeight="1">
      <c r="A189" s="8" t="s">
        <v>521</v>
      </c>
      <c r="B189" s="8" t="s">
        <v>1087</v>
      </c>
      <c r="C189" s="8" t="s">
        <v>482</v>
      </c>
      <c r="D189" s="8" t="s">
        <v>429</v>
      </c>
      <c r="E189" s="8" t="s">
        <v>438</v>
      </c>
      <c r="F189" s="8" t="s">
        <v>98</v>
      </c>
      <c r="G189" s="8" t="s">
        <v>956</v>
      </c>
      <c r="H189" s="8" t="s">
        <v>70</v>
      </c>
      <c r="I189" s="8" t="s">
        <v>1088</v>
      </c>
      <c r="J189" s="8"/>
      <c r="K189" s="8"/>
      <c r="L189" s="8"/>
      <c r="M189" s="8" t="s">
        <v>30</v>
      </c>
      <c r="N189" s="8"/>
    </row>
    <row r="190" ht="15.75" customHeight="1">
      <c r="A190" s="8" t="s">
        <v>521</v>
      </c>
      <c r="B190" s="8" t="s">
        <v>856</v>
      </c>
      <c r="C190" s="8" t="s">
        <v>428</v>
      </c>
      <c r="D190" s="8" t="s">
        <v>429</v>
      </c>
      <c r="E190" s="8" t="s">
        <v>714</v>
      </c>
      <c r="F190" s="8" t="s">
        <v>181</v>
      </c>
      <c r="G190" s="8" t="s">
        <v>956</v>
      </c>
      <c r="H190" s="8" t="s">
        <v>1089</v>
      </c>
      <c r="I190" s="8" t="s">
        <v>861</v>
      </c>
      <c r="J190" s="8"/>
      <c r="K190" s="8"/>
      <c r="L190" s="8"/>
      <c r="M190" s="8" t="s">
        <v>30</v>
      </c>
      <c r="N190" s="8"/>
    </row>
    <row r="191" ht="15.75" customHeight="1">
      <c r="A191" s="7" t="s">
        <v>521</v>
      </c>
      <c r="B191" s="7" t="s">
        <v>542</v>
      </c>
      <c r="C191" s="7" t="s">
        <v>445</v>
      </c>
      <c r="D191" s="7" t="s">
        <v>678</v>
      </c>
      <c r="E191" s="7" t="s">
        <v>714</v>
      </c>
      <c r="F191" s="7" t="s">
        <v>98</v>
      </c>
      <c r="G191" s="7" t="s">
        <v>956</v>
      </c>
      <c r="H191" s="7" t="s">
        <v>105</v>
      </c>
      <c r="I191" s="7" t="s">
        <v>547</v>
      </c>
      <c r="J191" s="7"/>
      <c r="K191" s="7"/>
      <c r="L191" s="7"/>
      <c r="M191" s="7" t="s">
        <v>373</v>
      </c>
      <c r="N191" s="8"/>
    </row>
    <row r="192" ht="15.75" customHeight="1">
      <c r="A192" s="8" t="s">
        <v>521</v>
      </c>
      <c r="B192" s="8" t="s">
        <v>1090</v>
      </c>
      <c r="C192" s="8" t="s">
        <v>445</v>
      </c>
      <c r="D192" s="8" t="s">
        <v>429</v>
      </c>
      <c r="E192" s="8" t="s">
        <v>714</v>
      </c>
      <c r="F192" s="8" t="s">
        <v>98</v>
      </c>
      <c r="G192" s="8" t="s">
        <v>956</v>
      </c>
      <c r="H192" s="8" t="s">
        <v>66</v>
      </c>
      <c r="I192" s="8" t="s">
        <v>557</v>
      </c>
      <c r="J192" s="8"/>
      <c r="K192" s="8"/>
      <c r="L192" s="8"/>
      <c r="M192" s="8" t="s">
        <v>30</v>
      </c>
      <c r="N192" s="8"/>
    </row>
    <row r="193" ht="15.75" customHeight="1">
      <c r="A193" s="8" t="s">
        <v>521</v>
      </c>
      <c r="B193" s="8" t="s">
        <v>1091</v>
      </c>
      <c r="C193" s="8" t="s">
        <v>576</v>
      </c>
      <c r="D193" s="8" t="s">
        <v>429</v>
      </c>
      <c r="E193" s="8" t="s">
        <v>224</v>
      </c>
      <c r="F193" s="8" t="s">
        <v>255</v>
      </c>
      <c r="G193" s="8" t="s">
        <v>961</v>
      </c>
      <c r="H193" s="8" t="s">
        <v>105</v>
      </c>
      <c r="I193" s="8" t="s">
        <v>1092</v>
      </c>
      <c r="J193" s="8"/>
      <c r="K193" s="8"/>
      <c r="L193" s="8"/>
      <c r="M193" s="8" t="s">
        <v>30</v>
      </c>
      <c r="N193" s="8"/>
    </row>
    <row r="194" ht="15.75" customHeight="1">
      <c r="A194" s="8" t="s">
        <v>521</v>
      </c>
      <c r="B194" s="8" t="s">
        <v>1093</v>
      </c>
      <c r="C194" s="8" t="s">
        <v>996</v>
      </c>
      <c r="D194" s="8" t="s">
        <v>429</v>
      </c>
      <c r="E194" s="8" t="s">
        <v>136</v>
      </c>
      <c r="F194" s="8" t="s">
        <v>138</v>
      </c>
      <c r="G194" s="8" t="s">
        <v>961</v>
      </c>
      <c r="H194" s="8" t="s">
        <v>66</v>
      </c>
      <c r="I194" s="8" t="s">
        <v>1094</v>
      </c>
      <c r="J194" s="8"/>
      <c r="K194" s="8"/>
      <c r="L194" s="8"/>
      <c r="M194" s="8" t="s">
        <v>30</v>
      </c>
      <c r="N194" s="8"/>
    </row>
    <row r="195" ht="15.75" customHeight="1">
      <c r="A195" s="8" t="s">
        <v>521</v>
      </c>
      <c r="B195" s="8" t="s">
        <v>1095</v>
      </c>
      <c r="C195" s="8" t="s">
        <v>428</v>
      </c>
      <c r="D195" s="8" t="s">
        <v>429</v>
      </c>
      <c r="E195" s="8" t="s">
        <v>714</v>
      </c>
      <c r="F195" s="8" t="s">
        <v>98</v>
      </c>
      <c r="G195" s="8" t="s">
        <v>956</v>
      </c>
      <c r="H195" s="8" t="s">
        <v>101</v>
      </c>
      <c r="I195" s="8" t="s">
        <v>1096</v>
      </c>
      <c r="J195" s="8"/>
      <c r="K195" s="8"/>
      <c r="L195" s="8"/>
      <c r="M195" s="8" t="s">
        <v>30</v>
      </c>
      <c r="N195" s="8"/>
    </row>
    <row r="196" ht="15.75" customHeight="1">
      <c r="A196" s="8" t="s">
        <v>521</v>
      </c>
      <c r="B196" s="8" t="s">
        <v>1097</v>
      </c>
      <c r="C196" s="8" t="s">
        <v>616</v>
      </c>
      <c r="D196" s="8" t="s">
        <v>429</v>
      </c>
      <c r="E196" s="8" t="s">
        <v>714</v>
      </c>
      <c r="F196" s="8" t="s">
        <v>181</v>
      </c>
      <c r="G196" s="8" t="s">
        <v>956</v>
      </c>
      <c r="H196" s="8" t="s">
        <v>1098</v>
      </c>
      <c r="I196" s="8" t="s">
        <v>1099</v>
      </c>
      <c r="J196" s="8" t="s">
        <v>1100</v>
      </c>
      <c r="K196" s="8"/>
      <c r="L196" s="8"/>
      <c r="M196" s="8" t="s">
        <v>30</v>
      </c>
      <c r="N196" s="8"/>
    </row>
    <row r="197" ht="15.75" customHeight="1">
      <c r="A197" s="8" t="s">
        <v>521</v>
      </c>
      <c r="B197" s="8" t="s">
        <v>593</v>
      </c>
      <c r="C197" s="8" t="s">
        <v>616</v>
      </c>
      <c r="D197" s="8" t="s">
        <v>429</v>
      </c>
      <c r="E197" s="8" t="s">
        <v>714</v>
      </c>
      <c r="F197" s="8" t="s">
        <v>98</v>
      </c>
      <c r="G197" s="8" t="s">
        <v>956</v>
      </c>
      <c r="H197" s="8" t="s">
        <v>49</v>
      </c>
      <c r="I197" s="8" t="s">
        <v>598</v>
      </c>
      <c r="J197" s="8"/>
      <c r="K197" s="8"/>
      <c r="L197" s="8"/>
      <c r="M197" s="8" t="s">
        <v>30</v>
      </c>
      <c r="N197" s="8"/>
    </row>
    <row r="198" ht="15.75" customHeight="1">
      <c r="A198" s="8" t="s">
        <v>521</v>
      </c>
      <c r="B198" s="8" t="s">
        <v>1101</v>
      </c>
      <c r="C198" s="8" t="s">
        <v>539</v>
      </c>
      <c r="D198" s="8" t="s">
        <v>429</v>
      </c>
      <c r="E198" s="8" t="s">
        <v>282</v>
      </c>
      <c r="F198" s="8" t="s">
        <v>138</v>
      </c>
      <c r="G198" s="8" t="s">
        <v>961</v>
      </c>
      <c r="H198" s="8" t="s">
        <v>105</v>
      </c>
      <c r="I198" s="8" t="s">
        <v>1102</v>
      </c>
      <c r="J198" s="8"/>
      <c r="K198" s="8"/>
      <c r="L198" s="8"/>
      <c r="M198" s="8" t="s">
        <v>30</v>
      </c>
      <c r="N198" s="8"/>
    </row>
    <row r="199" ht="15.75" customHeight="1">
      <c r="A199" s="8" t="s">
        <v>521</v>
      </c>
      <c r="B199" s="8" t="s">
        <v>904</v>
      </c>
      <c r="C199" s="8" t="s">
        <v>565</v>
      </c>
      <c r="D199" s="8" t="s">
        <v>429</v>
      </c>
      <c r="E199" s="8" t="s">
        <v>714</v>
      </c>
      <c r="F199" s="8" t="s">
        <v>113</v>
      </c>
      <c r="G199" s="8" t="s">
        <v>956</v>
      </c>
      <c r="H199" s="8" t="s">
        <v>66</v>
      </c>
      <c r="I199" s="8" t="s">
        <v>906</v>
      </c>
      <c r="J199" s="8"/>
      <c r="K199" s="8"/>
      <c r="L199" s="8"/>
      <c r="M199" s="8" t="s">
        <v>30</v>
      </c>
      <c r="N199" s="8"/>
    </row>
    <row r="200" ht="15.75" customHeight="1">
      <c r="A200" s="8" t="s">
        <v>521</v>
      </c>
      <c r="B200" s="8" t="s">
        <v>1103</v>
      </c>
      <c r="C200" s="8" t="s">
        <v>576</v>
      </c>
      <c r="D200" s="8" t="s">
        <v>429</v>
      </c>
      <c r="E200" s="8" t="s">
        <v>438</v>
      </c>
      <c r="F200" s="8" t="s">
        <v>85</v>
      </c>
      <c r="G200" s="8" t="s">
        <v>1080</v>
      </c>
      <c r="H200" s="8" t="s">
        <v>88</v>
      </c>
      <c r="I200" s="8" t="s">
        <v>1104</v>
      </c>
      <c r="J200" s="8"/>
      <c r="K200" s="8"/>
      <c r="L200" s="8"/>
      <c r="M200" s="8" t="s">
        <v>30</v>
      </c>
      <c r="N200" s="8"/>
    </row>
    <row r="201" ht="15.75" customHeight="1">
      <c r="A201" s="8" t="s">
        <v>521</v>
      </c>
      <c r="B201" s="8" t="s">
        <v>1103</v>
      </c>
      <c r="C201" s="8" t="s">
        <v>576</v>
      </c>
      <c r="D201" s="8" t="s">
        <v>429</v>
      </c>
      <c r="E201" s="8" t="s">
        <v>438</v>
      </c>
      <c r="F201" s="8" t="s">
        <v>98</v>
      </c>
      <c r="G201" s="8" t="s">
        <v>956</v>
      </c>
      <c r="H201" s="8" t="s">
        <v>105</v>
      </c>
      <c r="I201" s="8" t="s">
        <v>1104</v>
      </c>
      <c r="J201" s="8"/>
      <c r="K201" s="8"/>
      <c r="L201" s="8"/>
      <c r="M201" s="8" t="s">
        <v>30</v>
      </c>
      <c r="N201" s="8"/>
    </row>
    <row r="202" ht="15.75" customHeight="1">
      <c r="A202" s="8" t="s">
        <v>521</v>
      </c>
      <c r="B202" s="8" t="s">
        <v>603</v>
      </c>
      <c r="C202" s="8" t="s">
        <v>608</v>
      </c>
      <c r="D202" s="8" t="s">
        <v>429</v>
      </c>
      <c r="E202" s="8" t="s">
        <v>714</v>
      </c>
      <c r="F202" s="8" t="s">
        <v>181</v>
      </c>
      <c r="G202" s="8" t="s">
        <v>956</v>
      </c>
      <c r="H202" s="8" t="s">
        <v>247</v>
      </c>
      <c r="I202" s="8" t="s">
        <v>609</v>
      </c>
      <c r="J202" s="8"/>
      <c r="K202" s="8"/>
      <c r="L202" s="8"/>
      <c r="M202" s="8" t="s">
        <v>30</v>
      </c>
      <c r="N202" s="8"/>
    </row>
    <row r="203" ht="15.75" customHeight="1">
      <c r="A203" s="8" t="s">
        <v>521</v>
      </c>
      <c r="B203" s="8" t="s">
        <v>603</v>
      </c>
      <c r="C203" s="8" t="s">
        <v>539</v>
      </c>
      <c r="D203" s="8" t="s">
        <v>429</v>
      </c>
      <c r="E203" s="8" t="s">
        <v>430</v>
      </c>
      <c r="F203" s="8" t="s">
        <v>24</v>
      </c>
      <c r="G203" s="8" t="s">
        <v>947</v>
      </c>
      <c r="H203" s="8" t="s">
        <v>156</v>
      </c>
      <c r="I203" s="8" t="s">
        <v>609</v>
      </c>
      <c r="J203" s="8"/>
      <c r="K203" s="8"/>
      <c r="L203" s="8"/>
      <c r="M203" s="8" t="s">
        <v>30</v>
      </c>
      <c r="N203" s="8"/>
    </row>
    <row r="204" ht="15.75" customHeight="1">
      <c r="A204" s="8" t="s">
        <v>521</v>
      </c>
      <c r="B204" s="8" t="s">
        <v>918</v>
      </c>
      <c r="C204" s="8" t="s">
        <v>616</v>
      </c>
      <c r="D204" s="8" t="s">
        <v>429</v>
      </c>
      <c r="E204" s="8" t="s">
        <v>714</v>
      </c>
      <c r="F204" s="8" t="s">
        <v>181</v>
      </c>
      <c r="G204" s="8" t="s">
        <v>956</v>
      </c>
      <c r="H204" s="8" t="s">
        <v>101</v>
      </c>
      <c r="I204" s="8" t="s">
        <v>919</v>
      </c>
      <c r="J204" s="8"/>
      <c r="K204" s="8"/>
      <c r="L204" s="8"/>
      <c r="M204" s="8" t="s">
        <v>30</v>
      </c>
      <c r="N204" s="8"/>
    </row>
    <row r="205" ht="15.75" customHeight="1">
      <c r="A205" s="8" t="s">
        <v>521</v>
      </c>
      <c r="B205" s="8" t="s">
        <v>621</v>
      </c>
      <c r="C205" s="8" t="s">
        <v>565</v>
      </c>
      <c r="D205" s="8" t="s">
        <v>429</v>
      </c>
      <c r="E205" s="8" t="s">
        <v>714</v>
      </c>
      <c r="F205" s="8" t="s">
        <v>181</v>
      </c>
      <c r="G205" s="8" t="s">
        <v>956</v>
      </c>
      <c r="H205" s="8" t="s">
        <v>49</v>
      </c>
      <c r="I205" s="8" t="s">
        <v>624</v>
      </c>
      <c r="J205" s="8"/>
      <c r="K205" s="8"/>
      <c r="L205" s="8"/>
      <c r="M205" s="8" t="s">
        <v>30</v>
      </c>
      <c r="N205" s="8"/>
    </row>
    <row r="206" ht="15.75" customHeight="1">
      <c r="A206" s="6" t="s">
        <v>521</v>
      </c>
      <c r="B206" s="6" t="s">
        <v>355</v>
      </c>
      <c r="C206" s="6" t="s">
        <v>482</v>
      </c>
      <c r="D206" s="6" t="s">
        <v>553</v>
      </c>
      <c r="E206" s="6" t="s">
        <v>438</v>
      </c>
      <c r="F206" s="6" t="s">
        <v>181</v>
      </c>
      <c r="G206" s="6" t="s">
        <v>956</v>
      </c>
      <c r="H206" s="6" t="s">
        <v>1105</v>
      </c>
      <c r="I206" s="6" t="s">
        <v>359</v>
      </c>
      <c r="M206" s="6" t="s">
        <v>373</v>
      </c>
    </row>
    <row r="207" ht="15.75" customHeight="1">
      <c r="A207" s="8" t="s">
        <v>521</v>
      </c>
      <c r="B207" s="8" t="s">
        <v>366</v>
      </c>
      <c r="C207" s="8" t="s">
        <v>639</v>
      </c>
      <c r="D207" s="8" t="s">
        <v>429</v>
      </c>
      <c r="E207" s="8" t="s">
        <v>524</v>
      </c>
      <c r="F207" s="8" t="s">
        <v>24</v>
      </c>
      <c r="G207" s="8" t="s">
        <v>947</v>
      </c>
      <c r="H207" s="8" t="s">
        <v>49</v>
      </c>
      <c r="I207" s="8" t="s">
        <v>369</v>
      </c>
      <c r="J207" s="8"/>
      <c r="K207" s="8"/>
      <c r="L207" s="8"/>
      <c r="M207" s="8" t="s">
        <v>30</v>
      </c>
      <c r="N207" s="8"/>
    </row>
    <row r="208" ht="15.75" customHeight="1">
      <c r="A208" s="7" t="s">
        <v>521</v>
      </c>
      <c r="B208" s="7" t="s">
        <v>924</v>
      </c>
      <c r="C208" s="7" t="s">
        <v>616</v>
      </c>
      <c r="D208" s="7" t="s">
        <v>429</v>
      </c>
      <c r="E208" s="7" t="s">
        <v>714</v>
      </c>
      <c r="F208" s="7" t="s">
        <v>98</v>
      </c>
      <c r="G208" s="7" t="s">
        <v>956</v>
      </c>
      <c r="H208" s="7" t="s">
        <v>1106</v>
      </c>
      <c r="I208" s="7" t="s">
        <v>927</v>
      </c>
      <c r="J208" s="7" t="s">
        <v>1107</v>
      </c>
      <c r="K208" s="7"/>
      <c r="L208" s="7"/>
      <c r="M208" s="7" t="s">
        <v>373</v>
      </c>
      <c r="N208" s="8"/>
    </row>
    <row r="209" ht="15.75" customHeight="1">
      <c r="A209" s="8" t="s">
        <v>521</v>
      </c>
      <c r="B209" s="8" t="s">
        <v>929</v>
      </c>
      <c r="C209" s="8" t="s">
        <v>428</v>
      </c>
      <c r="D209" s="8" t="s">
        <v>429</v>
      </c>
      <c r="E209" s="8" t="s">
        <v>714</v>
      </c>
      <c r="F209" s="8" t="s">
        <v>98</v>
      </c>
      <c r="G209" s="8" t="s">
        <v>956</v>
      </c>
      <c r="H209" s="8" t="s">
        <v>1108</v>
      </c>
      <c r="I209" s="8" t="s">
        <v>934</v>
      </c>
      <c r="J209" s="8"/>
      <c r="K209" s="8"/>
      <c r="L209" s="8"/>
      <c r="M209" s="8" t="s">
        <v>30</v>
      </c>
      <c r="N209" s="8"/>
    </row>
    <row r="210" ht="15.75" customHeight="1">
      <c r="A210" s="8" t="s">
        <v>521</v>
      </c>
      <c r="B210" s="8" t="s">
        <v>652</v>
      </c>
      <c r="C210" s="8" t="s">
        <v>501</v>
      </c>
      <c r="D210" s="8" t="s">
        <v>429</v>
      </c>
      <c r="E210" s="8" t="s">
        <v>459</v>
      </c>
      <c r="F210" s="8" t="s">
        <v>24</v>
      </c>
      <c r="G210" s="8" t="s">
        <v>947</v>
      </c>
      <c r="H210" s="8" t="s">
        <v>26</v>
      </c>
      <c r="I210" s="8" t="s">
        <v>654</v>
      </c>
      <c r="J210" s="8"/>
      <c r="K210" s="8"/>
      <c r="L210" s="8"/>
      <c r="M210" s="8" t="s">
        <v>30</v>
      </c>
      <c r="N210" s="8"/>
    </row>
    <row r="211" ht="15.75" customHeight="1">
      <c r="A211" s="7" t="s">
        <v>521</v>
      </c>
      <c r="B211" s="7" t="s">
        <v>1109</v>
      </c>
      <c r="C211" s="7" t="s">
        <v>591</v>
      </c>
      <c r="D211" s="7" t="s">
        <v>429</v>
      </c>
      <c r="E211" s="7" t="s">
        <v>438</v>
      </c>
      <c r="F211" s="7" t="s">
        <v>98</v>
      </c>
      <c r="G211" s="7" t="s">
        <v>956</v>
      </c>
      <c r="H211" s="7" t="s">
        <v>26</v>
      </c>
      <c r="I211" s="7" t="s">
        <v>1110</v>
      </c>
      <c r="J211" s="7"/>
      <c r="K211" s="7"/>
      <c r="L211" s="7"/>
      <c r="M211" s="7" t="s">
        <v>373</v>
      </c>
      <c r="N211" s="8"/>
    </row>
    <row r="212" ht="15.75" customHeight="1">
      <c r="A212" s="8" t="s">
        <v>521</v>
      </c>
      <c r="B212" s="8" t="s">
        <v>1111</v>
      </c>
      <c r="C212" s="8" t="s">
        <v>565</v>
      </c>
      <c r="D212" s="8" t="s">
        <v>429</v>
      </c>
      <c r="E212" s="8" t="s">
        <v>282</v>
      </c>
      <c r="F212" s="8" t="s">
        <v>255</v>
      </c>
      <c r="G212" s="8" t="s">
        <v>961</v>
      </c>
      <c r="H212" s="8" t="s">
        <v>156</v>
      </c>
      <c r="I212" s="8" t="s">
        <v>1112</v>
      </c>
      <c r="J212" s="8"/>
      <c r="K212" s="8"/>
      <c r="L212" s="8"/>
      <c r="M212" s="8" t="s">
        <v>30</v>
      </c>
      <c r="N212" s="8"/>
    </row>
    <row r="213" ht="15.75" customHeight="1"/>
    <row r="214" ht="15.75" customHeight="1">
      <c r="A214" s="6" t="s">
        <v>515</v>
      </c>
    </row>
    <row r="215" ht="15.75" customHeight="1">
      <c r="A215" s="6" t="s">
        <v>3</v>
      </c>
    </row>
    <row r="216" ht="15.75" customHeight="1">
      <c r="A216" s="6" t="s">
        <v>4</v>
      </c>
      <c r="B216" s="6" t="s">
        <v>6</v>
      </c>
      <c r="C216" s="6" t="s">
        <v>7</v>
      </c>
      <c r="D216" s="6" t="s">
        <v>8</v>
      </c>
      <c r="E216" s="6" t="s">
        <v>9</v>
      </c>
      <c r="F216" s="6" t="s">
        <v>10</v>
      </c>
      <c r="G216" s="6" t="s">
        <v>11</v>
      </c>
      <c r="H216" s="6" t="s">
        <v>12</v>
      </c>
      <c r="I216" s="6" t="s">
        <v>13</v>
      </c>
      <c r="J216" s="6" t="s">
        <v>14</v>
      </c>
      <c r="K216" s="6" t="s">
        <v>15</v>
      </c>
      <c r="L216" s="6" t="s">
        <v>16</v>
      </c>
      <c r="M216" s="6" t="s">
        <v>17</v>
      </c>
      <c r="N216" s="6" t="s">
        <v>18</v>
      </c>
    </row>
    <row r="217" ht="15.75" customHeight="1">
      <c r="A217" s="8" t="s">
        <v>521</v>
      </c>
      <c r="B217" s="8" t="s">
        <v>675</v>
      </c>
      <c r="C217" s="8" t="s">
        <v>565</v>
      </c>
      <c r="D217" s="8" t="s">
        <v>44</v>
      </c>
      <c r="E217" s="8" t="s">
        <v>1113</v>
      </c>
      <c r="F217" s="8" t="s">
        <v>113</v>
      </c>
      <c r="G217" s="8" t="s">
        <v>956</v>
      </c>
      <c r="H217" s="8" t="s">
        <v>49</v>
      </c>
      <c r="I217" s="8" t="s">
        <v>680</v>
      </c>
      <c r="J217" s="8" t="s">
        <v>314</v>
      </c>
      <c r="K217" s="8"/>
      <c r="L217" s="8"/>
      <c r="M217" s="8" t="s">
        <v>30</v>
      </c>
      <c r="N217" s="8"/>
    </row>
    <row r="218" ht="15.75" customHeight="1"/>
    <row r="219" ht="15.75" customHeight="1">
      <c r="A219" s="6" t="s">
        <v>605</v>
      </c>
    </row>
    <row r="220" ht="15.75" customHeight="1">
      <c r="A220" s="6" t="s">
        <v>5</v>
      </c>
    </row>
    <row r="221" ht="15.75" customHeight="1">
      <c r="A221" s="6" t="s">
        <v>4</v>
      </c>
      <c r="B221" s="6" t="s">
        <v>6</v>
      </c>
      <c r="C221" s="6" t="s">
        <v>7</v>
      </c>
      <c r="D221" s="6" t="s">
        <v>8</v>
      </c>
      <c r="E221" s="6" t="s">
        <v>9</v>
      </c>
      <c r="F221" s="6" t="s">
        <v>10</v>
      </c>
      <c r="G221" s="6" t="s">
        <v>11</v>
      </c>
      <c r="H221" s="6" t="s">
        <v>12</v>
      </c>
      <c r="I221" s="6" t="s">
        <v>13</v>
      </c>
      <c r="J221" s="6" t="s">
        <v>14</v>
      </c>
      <c r="K221" s="6" t="s">
        <v>15</v>
      </c>
      <c r="L221" s="6" t="s">
        <v>16</v>
      </c>
      <c r="M221" s="6" t="s">
        <v>17</v>
      </c>
      <c r="N221" s="6" t="s">
        <v>18</v>
      </c>
    </row>
    <row r="222" ht="15.75" customHeight="1">
      <c r="A222" s="6" t="s">
        <v>613</v>
      </c>
      <c r="B222" s="6" t="s">
        <v>90</v>
      </c>
      <c r="C222" s="6" t="s">
        <v>596</v>
      </c>
      <c r="D222" s="6" t="s">
        <v>331</v>
      </c>
      <c r="E222" s="6" t="s">
        <v>438</v>
      </c>
      <c r="F222" s="6" t="s">
        <v>98</v>
      </c>
      <c r="G222" s="6" t="s">
        <v>100</v>
      </c>
      <c r="H222" s="6" t="s">
        <v>130</v>
      </c>
      <c r="I222" s="6" t="s">
        <v>103</v>
      </c>
      <c r="J222" s="6"/>
      <c r="K222" s="6"/>
      <c r="L222" s="6" t="s">
        <v>304</v>
      </c>
      <c r="M222" s="6" t="s">
        <v>59</v>
      </c>
      <c r="N222" s="6"/>
    </row>
    <row r="223" ht="15.75" customHeight="1">
      <c r="A223" s="6" t="s">
        <v>613</v>
      </c>
      <c r="B223" s="6" t="s">
        <v>126</v>
      </c>
      <c r="C223" s="6" t="s">
        <v>996</v>
      </c>
      <c r="D223" s="6" t="s">
        <v>1114</v>
      </c>
      <c r="E223" s="6" t="s">
        <v>136</v>
      </c>
      <c r="F223" s="6" t="s">
        <v>138</v>
      </c>
      <c r="G223" s="6" t="s">
        <v>140</v>
      </c>
      <c r="H223" s="6" t="s">
        <v>1115</v>
      </c>
      <c r="I223" s="6" t="s">
        <v>144</v>
      </c>
      <c r="J223" s="6"/>
      <c r="K223" s="6" t="s">
        <v>724</v>
      </c>
      <c r="L223" s="6" t="s">
        <v>304</v>
      </c>
      <c r="M223" s="6" t="s">
        <v>59</v>
      </c>
      <c r="N223" s="6"/>
    </row>
    <row r="224" ht="15.75" customHeight="1">
      <c r="A224" s="6" t="s">
        <v>613</v>
      </c>
      <c r="B224" s="6" t="s">
        <v>108</v>
      </c>
      <c r="C224" s="6" t="s">
        <v>501</v>
      </c>
      <c r="D224" s="6" t="s">
        <v>299</v>
      </c>
      <c r="E224" s="6" t="s">
        <v>438</v>
      </c>
      <c r="F224" s="6" t="s">
        <v>113</v>
      </c>
      <c r="G224" s="6" t="s">
        <v>100</v>
      </c>
      <c r="H224" s="6" t="s">
        <v>156</v>
      </c>
      <c r="I224" s="6" t="s">
        <v>116</v>
      </c>
      <c r="J224" s="6"/>
      <c r="K224" s="6"/>
      <c r="L224" s="6" t="s">
        <v>304</v>
      </c>
      <c r="M224" s="6" t="s">
        <v>59</v>
      </c>
      <c r="N224" s="6"/>
    </row>
    <row r="225" ht="15.75" customHeight="1">
      <c r="A225" s="6" t="s">
        <v>613</v>
      </c>
      <c r="B225" s="6" t="s">
        <v>158</v>
      </c>
      <c r="C225" s="6" t="s">
        <v>596</v>
      </c>
      <c r="D225" s="6" t="s">
        <v>1116</v>
      </c>
      <c r="E225" s="6" t="s">
        <v>438</v>
      </c>
      <c r="F225" s="6" t="s">
        <v>98</v>
      </c>
      <c r="G225" s="6" t="s">
        <v>100</v>
      </c>
      <c r="H225" s="6" t="s">
        <v>384</v>
      </c>
      <c r="I225" s="6" t="s">
        <v>164</v>
      </c>
      <c r="J225" s="6"/>
      <c r="K225" s="6"/>
      <c r="L225" s="6" t="s">
        <v>304</v>
      </c>
      <c r="M225" s="6" t="s">
        <v>59</v>
      </c>
      <c r="N225" s="6"/>
    </row>
    <row r="226" ht="15.75" customHeight="1">
      <c r="A226" s="6" t="s">
        <v>613</v>
      </c>
      <c r="B226" s="6" t="s">
        <v>169</v>
      </c>
      <c r="C226" s="6" t="s">
        <v>501</v>
      </c>
      <c r="D226" s="6" t="s">
        <v>821</v>
      </c>
      <c r="E226" s="6" t="s">
        <v>459</v>
      </c>
      <c r="F226" s="6" t="s">
        <v>172</v>
      </c>
      <c r="G226" s="6" t="s">
        <v>173</v>
      </c>
      <c r="H226" s="6" t="s">
        <v>55</v>
      </c>
      <c r="I226" s="6" t="s">
        <v>176</v>
      </c>
      <c r="J226" s="6"/>
      <c r="K226" s="6"/>
      <c r="L226" s="6" t="s">
        <v>304</v>
      </c>
      <c r="M226" s="6" t="s">
        <v>59</v>
      </c>
      <c r="N226" s="6"/>
    </row>
    <row r="227" ht="15.75" customHeight="1">
      <c r="A227" s="6" t="s">
        <v>613</v>
      </c>
      <c r="B227" s="6" t="s">
        <v>180</v>
      </c>
      <c r="C227" s="6" t="s">
        <v>457</v>
      </c>
      <c r="D227" s="6" t="s">
        <v>731</v>
      </c>
      <c r="E227" s="6" t="s">
        <v>438</v>
      </c>
      <c r="F227" s="6" t="s">
        <v>181</v>
      </c>
      <c r="G227" s="6" t="s">
        <v>100</v>
      </c>
      <c r="H227" s="6" t="s">
        <v>38</v>
      </c>
      <c r="I227" s="6" t="s">
        <v>186</v>
      </c>
      <c r="J227" s="6"/>
      <c r="K227" s="6" t="s">
        <v>638</v>
      </c>
      <c r="L227" s="6" t="s">
        <v>304</v>
      </c>
      <c r="M227" s="6" t="s">
        <v>59</v>
      </c>
      <c r="N227" s="6"/>
    </row>
    <row r="228" ht="15.75" customHeight="1">
      <c r="A228" s="6" t="s">
        <v>613</v>
      </c>
      <c r="B228" s="6" t="s">
        <v>778</v>
      </c>
      <c r="C228" s="6" t="s">
        <v>482</v>
      </c>
      <c r="D228" s="6" t="s">
        <v>1117</v>
      </c>
      <c r="E228" s="6" t="s">
        <v>136</v>
      </c>
      <c r="F228" s="6" t="s">
        <v>138</v>
      </c>
      <c r="G228" s="6" t="s">
        <v>140</v>
      </c>
      <c r="H228" s="6" t="s">
        <v>963</v>
      </c>
      <c r="I228" s="6" t="s">
        <v>782</v>
      </c>
      <c r="J228" s="6"/>
      <c r="K228" s="6" t="s">
        <v>638</v>
      </c>
      <c r="L228" s="6" t="s">
        <v>304</v>
      </c>
      <c r="M228" s="6" t="s">
        <v>59</v>
      </c>
      <c r="N228" s="6"/>
    </row>
    <row r="229" ht="15.75" customHeight="1">
      <c r="A229" s="6" t="s">
        <v>613</v>
      </c>
      <c r="B229" s="6" t="s">
        <v>808</v>
      </c>
      <c r="C229" s="6" t="s">
        <v>596</v>
      </c>
      <c r="D229" s="6" t="s">
        <v>731</v>
      </c>
      <c r="E229" s="6" t="s">
        <v>438</v>
      </c>
      <c r="F229" s="6" t="s">
        <v>98</v>
      </c>
      <c r="G229" s="6" t="s">
        <v>100</v>
      </c>
      <c r="H229" s="6" t="s">
        <v>38</v>
      </c>
      <c r="I229" s="6" t="s">
        <v>813</v>
      </c>
      <c r="J229" s="6"/>
      <c r="K229" s="6" t="s">
        <v>638</v>
      </c>
      <c r="L229" s="6" t="s">
        <v>304</v>
      </c>
      <c r="M229" s="6" t="s">
        <v>59</v>
      </c>
      <c r="N229" s="6"/>
    </row>
    <row r="230" ht="15.75" customHeight="1">
      <c r="A230" s="6" t="s">
        <v>613</v>
      </c>
      <c r="B230" s="6" t="s">
        <v>1002</v>
      </c>
      <c r="C230" s="6" t="s">
        <v>596</v>
      </c>
      <c r="D230" s="6" t="s">
        <v>401</v>
      </c>
      <c r="E230" s="6" t="s">
        <v>508</v>
      </c>
      <c r="F230" s="6" t="s">
        <v>24</v>
      </c>
      <c r="G230" s="6" t="s">
        <v>48</v>
      </c>
      <c r="H230" s="6" t="s">
        <v>101</v>
      </c>
      <c r="I230" s="6" t="s">
        <v>1003</v>
      </c>
      <c r="K230" s="6" t="s">
        <v>638</v>
      </c>
      <c r="L230" s="6" t="s">
        <v>304</v>
      </c>
      <c r="M230" s="6" t="s">
        <v>373</v>
      </c>
    </row>
    <row r="231" ht="15.75" customHeight="1">
      <c r="A231" s="6" t="s">
        <v>613</v>
      </c>
      <c r="B231" s="6" t="s">
        <v>205</v>
      </c>
      <c r="C231" s="6" t="s">
        <v>445</v>
      </c>
      <c r="D231" s="6" t="s">
        <v>365</v>
      </c>
      <c r="E231" s="6" t="s">
        <v>438</v>
      </c>
      <c r="F231" s="6" t="s">
        <v>181</v>
      </c>
      <c r="G231" s="6" t="s">
        <v>100</v>
      </c>
      <c r="H231" s="6" t="s">
        <v>49</v>
      </c>
      <c r="I231" s="6" t="s">
        <v>210</v>
      </c>
      <c r="J231" s="6" t="s">
        <v>213</v>
      </c>
      <c r="K231" s="6"/>
      <c r="L231" s="6" t="s">
        <v>304</v>
      </c>
      <c r="M231" s="6" t="s">
        <v>59</v>
      </c>
      <c r="N231" s="6"/>
    </row>
    <row r="232" ht="15.75" customHeight="1">
      <c r="A232" s="6" t="s">
        <v>613</v>
      </c>
      <c r="B232" s="6" t="s">
        <v>1118</v>
      </c>
      <c r="C232" s="6" t="s">
        <v>588</v>
      </c>
      <c r="D232" s="6" t="s">
        <v>821</v>
      </c>
      <c r="E232" s="6" t="s">
        <v>282</v>
      </c>
      <c r="F232" s="6" t="s">
        <v>255</v>
      </c>
      <c r="G232" s="6" t="s">
        <v>140</v>
      </c>
      <c r="H232" s="6" t="s">
        <v>55</v>
      </c>
      <c r="I232" s="6" t="s">
        <v>1119</v>
      </c>
      <c r="J232" s="6"/>
      <c r="K232" s="6"/>
      <c r="L232" s="6" t="s">
        <v>304</v>
      </c>
      <c r="M232" s="6" t="s">
        <v>59</v>
      </c>
      <c r="N232" s="6"/>
    </row>
    <row r="233" ht="15.75" customHeight="1">
      <c r="A233" s="6" t="s">
        <v>613</v>
      </c>
      <c r="B233" s="6" t="s">
        <v>229</v>
      </c>
      <c r="C233" s="6" t="s">
        <v>639</v>
      </c>
      <c r="D233" s="6" t="s">
        <v>499</v>
      </c>
      <c r="E233" s="6" t="s">
        <v>524</v>
      </c>
      <c r="F233" s="6" t="s">
        <v>24</v>
      </c>
      <c r="G233" s="6" t="s">
        <v>48</v>
      </c>
      <c r="H233" s="6" t="s">
        <v>26</v>
      </c>
      <c r="I233" s="6" t="s">
        <v>233</v>
      </c>
      <c r="J233" s="6"/>
      <c r="K233" s="6"/>
      <c r="L233" s="6" t="s">
        <v>304</v>
      </c>
      <c r="M233" s="6" t="s">
        <v>59</v>
      </c>
      <c r="N233" s="6"/>
    </row>
    <row r="234" ht="15.75" customHeight="1">
      <c r="A234" s="6" t="s">
        <v>613</v>
      </c>
      <c r="B234" s="6" t="s">
        <v>264</v>
      </c>
      <c r="C234" s="6" t="s">
        <v>457</v>
      </c>
      <c r="D234" s="6" t="s">
        <v>731</v>
      </c>
      <c r="E234" s="6" t="s">
        <v>438</v>
      </c>
      <c r="F234" s="6" t="s">
        <v>98</v>
      </c>
      <c r="G234" s="6" t="s">
        <v>100</v>
      </c>
      <c r="H234" s="6" t="s">
        <v>38</v>
      </c>
      <c r="I234" s="6" t="s">
        <v>268</v>
      </c>
      <c r="J234" s="6"/>
      <c r="K234" s="6" t="s">
        <v>638</v>
      </c>
      <c r="L234" s="6" t="s">
        <v>304</v>
      </c>
      <c r="M234" s="6" t="s">
        <v>30</v>
      </c>
      <c r="N234" s="6"/>
    </row>
    <row r="235" ht="15.75" customHeight="1">
      <c r="A235" s="6" t="s">
        <v>613</v>
      </c>
      <c r="B235" s="6" t="s">
        <v>264</v>
      </c>
      <c r="C235" s="6" t="s">
        <v>973</v>
      </c>
      <c r="D235" s="6" t="s">
        <v>299</v>
      </c>
      <c r="E235" s="6" t="s">
        <v>430</v>
      </c>
      <c r="F235" s="6" t="s">
        <v>24</v>
      </c>
      <c r="G235" s="6" t="s">
        <v>48</v>
      </c>
      <c r="H235" s="6" t="s">
        <v>156</v>
      </c>
      <c r="I235" s="6" t="s">
        <v>268</v>
      </c>
      <c r="J235" s="6"/>
      <c r="K235" s="6"/>
      <c r="L235" s="6" t="s">
        <v>304</v>
      </c>
      <c r="M235" s="6" t="s">
        <v>30</v>
      </c>
      <c r="N235" s="6"/>
    </row>
    <row r="236" ht="15.75" customHeight="1">
      <c r="A236" s="6" t="s">
        <v>613</v>
      </c>
      <c r="B236" s="6" t="s">
        <v>279</v>
      </c>
      <c r="C236" s="6" t="s">
        <v>435</v>
      </c>
      <c r="D236" s="6" t="s">
        <v>331</v>
      </c>
      <c r="E236" s="6" t="s">
        <v>282</v>
      </c>
      <c r="F236" s="6" t="s">
        <v>255</v>
      </c>
      <c r="G236" s="6" t="s">
        <v>140</v>
      </c>
      <c r="H236" s="6" t="s">
        <v>130</v>
      </c>
      <c r="I236" s="6" t="s">
        <v>284</v>
      </c>
      <c r="J236" s="6"/>
      <c r="K236" s="6"/>
      <c r="L236" s="6" t="s">
        <v>304</v>
      </c>
      <c r="M236" s="6" t="s">
        <v>59</v>
      </c>
      <c r="N236" s="6"/>
    </row>
    <row r="237" ht="15.75" customHeight="1">
      <c r="A237" s="6" t="s">
        <v>613</v>
      </c>
      <c r="B237" s="6" t="s">
        <v>288</v>
      </c>
      <c r="C237" s="6" t="s">
        <v>588</v>
      </c>
      <c r="D237" s="6" t="s">
        <v>365</v>
      </c>
      <c r="E237" s="6" t="s">
        <v>459</v>
      </c>
      <c r="F237" s="6" t="s">
        <v>24</v>
      </c>
      <c r="G237" s="6" t="s">
        <v>48</v>
      </c>
      <c r="H237" s="6" t="s">
        <v>49</v>
      </c>
      <c r="I237" s="6" t="s">
        <v>291</v>
      </c>
      <c r="J237" s="6"/>
      <c r="K237" s="6"/>
      <c r="L237" s="6" t="s">
        <v>304</v>
      </c>
      <c r="M237" s="6" t="s">
        <v>59</v>
      </c>
      <c r="N237" s="6"/>
    </row>
    <row r="238" ht="15.75" customHeight="1">
      <c r="A238" s="6" t="s">
        <v>613</v>
      </c>
      <c r="B238" s="6" t="s">
        <v>1030</v>
      </c>
      <c r="C238" s="6" t="s">
        <v>596</v>
      </c>
      <c r="D238" s="6" t="s">
        <v>499</v>
      </c>
      <c r="E238" s="6" t="s">
        <v>438</v>
      </c>
      <c r="F238" s="6" t="s">
        <v>98</v>
      </c>
      <c r="G238" s="6" t="s">
        <v>100</v>
      </c>
      <c r="H238" s="6" t="s">
        <v>26</v>
      </c>
      <c r="I238" s="6" t="s">
        <v>1032</v>
      </c>
      <c r="J238" s="6"/>
      <c r="K238" s="6"/>
      <c r="L238" s="6" t="s">
        <v>304</v>
      </c>
      <c r="M238" s="6" t="s">
        <v>59</v>
      </c>
      <c r="N238" s="6"/>
    </row>
    <row r="239" ht="15.75" customHeight="1">
      <c r="A239" s="6" t="s">
        <v>613</v>
      </c>
      <c r="B239" s="6" t="s">
        <v>295</v>
      </c>
      <c r="C239" s="6" t="s">
        <v>616</v>
      </c>
      <c r="D239" s="6" t="s">
        <v>821</v>
      </c>
      <c r="E239" s="6" t="s">
        <v>438</v>
      </c>
      <c r="F239" s="6" t="s">
        <v>181</v>
      </c>
      <c r="G239" s="6" t="s">
        <v>100</v>
      </c>
      <c r="H239" s="6" t="s">
        <v>55</v>
      </c>
      <c r="I239" s="6" t="s">
        <v>300</v>
      </c>
      <c r="J239" s="6"/>
      <c r="K239" s="6"/>
      <c r="L239" s="6" t="s">
        <v>304</v>
      </c>
      <c r="M239" s="6" t="s">
        <v>59</v>
      </c>
      <c r="N239" s="6"/>
    </row>
    <row r="240" ht="15.75" customHeight="1">
      <c r="A240" s="6" t="s">
        <v>613</v>
      </c>
      <c r="B240" s="6" t="s">
        <v>303</v>
      </c>
      <c r="C240" s="6" t="s">
        <v>501</v>
      </c>
      <c r="D240" s="6" t="s">
        <v>854</v>
      </c>
      <c r="E240" s="6" t="s">
        <v>438</v>
      </c>
      <c r="F240" s="6" t="s">
        <v>181</v>
      </c>
      <c r="G240" s="6" t="s">
        <v>100</v>
      </c>
      <c r="H240" s="6" t="s">
        <v>341</v>
      </c>
      <c r="I240" s="6" t="s">
        <v>310</v>
      </c>
      <c r="L240" s="6" t="s">
        <v>304</v>
      </c>
      <c r="M240" s="6" t="s">
        <v>373</v>
      </c>
    </row>
    <row r="241" ht="15.75" customHeight="1">
      <c r="A241" s="6" t="s">
        <v>613</v>
      </c>
      <c r="B241" s="6" t="s">
        <v>323</v>
      </c>
      <c r="C241" s="6" t="s">
        <v>596</v>
      </c>
      <c r="D241" s="6" t="s">
        <v>299</v>
      </c>
      <c r="E241" s="6" t="s">
        <v>541</v>
      </c>
      <c r="F241" s="6" t="s">
        <v>24</v>
      </c>
      <c r="G241" s="6" t="s">
        <v>48</v>
      </c>
      <c r="H241" s="6" t="s">
        <v>156</v>
      </c>
      <c r="I241" s="6" t="s">
        <v>326</v>
      </c>
      <c r="J241" s="6"/>
      <c r="K241" s="6"/>
      <c r="L241" s="6" t="s">
        <v>304</v>
      </c>
      <c r="M241" s="6" t="s">
        <v>59</v>
      </c>
      <c r="N241" s="6"/>
    </row>
    <row r="242" ht="15.75" customHeight="1">
      <c r="A242" s="6" t="s">
        <v>613</v>
      </c>
      <c r="B242" s="6" t="s">
        <v>323</v>
      </c>
      <c r="C242" s="6" t="s">
        <v>482</v>
      </c>
      <c r="D242" s="6" t="s">
        <v>526</v>
      </c>
      <c r="E242" s="6" t="s">
        <v>438</v>
      </c>
      <c r="F242" s="6" t="s">
        <v>98</v>
      </c>
      <c r="G242" s="6" t="s">
        <v>100</v>
      </c>
      <c r="H242" s="6" t="s">
        <v>66</v>
      </c>
      <c r="I242" s="6" t="s">
        <v>326</v>
      </c>
      <c r="J242" s="6"/>
      <c r="K242" s="6"/>
      <c r="L242" s="6" t="s">
        <v>304</v>
      </c>
      <c r="M242" s="6" t="s">
        <v>59</v>
      </c>
      <c r="N242" s="6"/>
    </row>
    <row r="243" ht="15.75" customHeight="1">
      <c r="A243" s="6" t="s">
        <v>613</v>
      </c>
      <c r="B243" s="6" t="s">
        <v>1038</v>
      </c>
      <c r="C243" s="6" t="s">
        <v>596</v>
      </c>
      <c r="D243" s="6" t="s">
        <v>925</v>
      </c>
      <c r="E243" s="6" t="s">
        <v>430</v>
      </c>
      <c r="F243" s="6" t="s">
        <v>24</v>
      </c>
      <c r="G243" s="6" t="s">
        <v>48</v>
      </c>
      <c r="H243" s="6" t="s">
        <v>162</v>
      </c>
      <c r="I243" s="6" t="s">
        <v>344</v>
      </c>
      <c r="J243" s="6"/>
      <c r="K243" s="6"/>
      <c r="L243" s="6" t="s">
        <v>304</v>
      </c>
      <c r="M243" s="6" t="s">
        <v>59</v>
      </c>
      <c r="N243" s="6"/>
    </row>
    <row r="244" ht="15.75" customHeight="1">
      <c r="A244" s="6" t="s">
        <v>613</v>
      </c>
      <c r="B244" s="6" t="s">
        <v>349</v>
      </c>
      <c r="C244" s="6" t="s">
        <v>596</v>
      </c>
      <c r="D244" s="6" t="s">
        <v>731</v>
      </c>
      <c r="E244" s="6" t="s">
        <v>430</v>
      </c>
      <c r="F244" s="6" t="s">
        <v>24</v>
      </c>
      <c r="G244" s="6" t="s">
        <v>48</v>
      </c>
      <c r="H244" s="6" t="s">
        <v>38</v>
      </c>
      <c r="I244" s="6" t="s">
        <v>352</v>
      </c>
      <c r="J244" s="6"/>
      <c r="K244" s="6" t="s">
        <v>638</v>
      </c>
      <c r="L244" s="6" t="s">
        <v>304</v>
      </c>
      <c r="M244" s="6" t="s">
        <v>59</v>
      </c>
      <c r="N244" s="6"/>
    </row>
    <row r="245" ht="15.75" customHeight="1">
      <c r="A245" s="6" t="s">
        <v>613</v>
      </c>
      <c r="B245" s="6" t="s">
        <v>1040</v>
      </c>
      <c r="C245" s="6" t="s">
        <v>482</v>
      </c>
      <c r="D245" s="6" t="s">
        <v>401</v>
      </c>
      <c r="E245" s="6" t="s">
        <v>438</v>
      </c>
      <c r="F245" s="6" t="s">
        <v>98</v>
      </c>
      <c r="G245" s="6" t="s">
        <v>100</v>
      </c>
      <c r="H245" s="6" t="s">
        <v>101</v>
      </c>
      <c r="I245" s="6" t="s">
        <v>1041</v>
      </c>
      <c r="J245" s="6"/>
      <c r="K245" s="6" t="s">
        <v>638</v>
      </c>
      <c r="L245" s="6" t="s">
        <v>304</v>
      </c>
      <c r="M245" s="6" t="s">
        <v>59</v>
      </c>
      <c r="N245" s="6"/>
    </row>
    <row r="246" ht="15.75" customHeight="1">
      <c r="A246" s="6" t="s">
        <v>613</v>
      </c>
      <c r="B246" s="6" t="s">
        <v>355</v>
      </c>
      <c r="C246" s="6" t="s">
        <v>457</v>
      </c>
      <c r="D246" s="6" t="s">
        <v>1117</v>
      </c>
      <c r="E246" s="6" t="s">
        <v>438</v>
      </c>
      <c r="F246" s="6" t="s">
        <v>181</v>
      </c>
      <c r="G246" s="6" t="s">
        <v>100</v>
      </c>
      <c r="H246" s="6" t="s">
        <v>963</v>
      </c>
      <c r="I246" s="6" t="s">
        <v>359</v>
      </c>
      <c r="J246" s="6"/>
      <c r="K246" s="6" t="s">
        <v>638</v>
      </c>
      <c r="L246" s="6" t="s">
        <v>304</v>
      </c>
      <c r="M246" s="6" t="s">
        <v>59</v>
      </c>
      <c r="N246" s="6"/>
    </row>
    <row r="247" ht="15.75" customHeight="1">
      <c r="A247" s="6" t="s">
        <v>613</v>
      </c>
      <c r="B247" s="6" t="s">
        <v>355</v>
      </c>
      <c r="C247" s="6" t="s">
        <v>973</v>
      </c>
      <c r="D247" s="6" t="s">
        <v>499</v>
      </c>
      <c r="E247" s="6" t="s">
        <v>430</v>
      </c>
      <c r="F247" s="6" t="s">
        <v>24</v>
      </c>
      <c r="G247" s="6" t="s">
        <v>48</v>
      </c>
      <c r="H247" s="6" t="s">
        <v>26</v>
      </c>
      <c r="I247" s="6" t="s">
        <v>359</v>
      </c>
      <c r="J247" s="6"/>
      <c r="K247" s="6"/>
      <c r="L247" s="6" t="s">
        <v>304</v>
      </c>
      <c r="M247" s="6" t="s">
        <v>59</v>
      </c>
      <c r="N247" s="6"/>
    </row>
    <row r="248" ht="15.75" customHeight="1">
      <c r="A248" s="6" t="s">
        <v>613</v>
      </c>
      <c r="B248" s="6" t="s">
        <v>366</v>
      </c>
      <c r="C248" s="6" t="s">
        <v>639</v>
      </c>
      <c r="D248" s="6" t="s">
        <v>731</v>
      </c>
      <c r="E248" s="6" t="s">
        <v>524</v>
      </c>
      <c r="F248" s="6" t="s">
        <v>24</v>
      </c>
      <c r="G248" s="6" t="s">
        <v>48</v>
      </c>
      <c r="H248" s="6" t="s">
        <v>38</v>
      </c>
      <c r="I248" s="6" t="s">
        <v>369</v>
      </c>
      <c r="J248" s="6"/>
      <c r="K248" s="6" t="s">
        <v>638</v>
      </c>
      <c r="L248" s="6" t="s">
        <v>304</v>
      </c>
      <c r="M248" s="6" t="s">
        <v>59</v>
      </c>
      <c r="N248" s="6"/>
    </row>
    <row r="249" ht="15.75" customHeight="1">
      <c r="A249" s="6" t="s">
        <v>613</v>
      </c>
      <c r="B249" s="6" t="s">
        <v>371</v>
      </c>
      <c r="C249" s="6" t="s">
        <v>565</v>
      </c>
      <c r="D249" s="6" t="s">
        <v>401</v>
      </c>
      <c r="E249" s="6" t="s">
        <v>556</v>
      </c>
      <c r="F249" s="6" t="s">
        <v>181</v>
      </c>
      <c r="G249" s="6" t="s">
        <v>100</v>
      </c>
      <c r="H249" s="6" t="s">
        <v>101</v>
      </c>
      <c r="I249" s="6" t="s">
        <v>374</v>
      </c>
      <c r="K249" s="6" t="s">
        <v>638</v>
      </c>
      <c r="L249" s="6" t="s">
        <v>304</v>
      </c>
      <c r="M249" s="6" t="s">
        <v>373</v>
      </c>
    </row>
    <row r="250" ht="15.75" customHeight="1">
      <c r="A250" s="6" t="s">
        <v>613</v>
      </c>
      <c r="B250" s="6" t="s">
        <v>376</v>
      </c>
      <c r="C250" s="6" t="s">
        <v>588</v>
      </c>
      <c r="D250" s="6" t="s">
        <v>443</v>
      </c>
      <c r="E250" s="6" t="s">
        <v>438</v>
      </c>
      <c r="F250" s="6" t="s">
        <v>98</v>
      </c>
      <c r="G250" s="6" t="s">
        <v>100</v>
      </c>
      <c r="H250" s="6" t="s">
        <v>70</v>
      </c>
      <c r="I250" s="6" t="s">
        <v>387</v>
      </c>
      <c r="J250" s="6"/>
      <c r="K250" s="6" t="s">
        <v>638</v>
      </c>
      <c r="L250" s="6" t="s">
        <v>304</v>
      </c>
      <c r="M250" s="6" t="s">
        <v>59</v>
      </c>
      <c r="N250" s="6"/>
    </row>
    <row r="251" ht="15.75" customHeight="1">
      <c r="A251" s="6" t="s">
        <v>613</v>
      </c>
      <c r="B251" s="6" t="s">
        <v>376</v>
      </c>
      <c r="C251" s="6" t="s">
        <v>596</v>
      </c>
      <c r="D251" s="6" t="s">
        <v>821</v>
      </c>
      <c r="E251" s="6" t="s">
        <v>459</v>
      </c>
      <c r="F251" s="6" t="s">
        <v>78</v>
      </c>
      <c r="G251" s="6" t="s">
        <v>48</v>
      </c>
      <c r="H251" s="6" t="s">
        <v>55</v>
      </c>
      <c r="I251" s="6" t="s">
        <v>387</v>
      </c>
      <c r="J251" s="6"/>
      <c r="K251" s="6"/>
      <c r="L251" s="6" t="s">
        <v>304</v>
      </c>
      <c r="M251" s="6" t="s">
        <v>59</v>
      </c>
      <c r="N251" s="6"/>
    </row>
    <row r="252" ht="15.75" customHeight="1">
      <c r="A252" s="6" t="s">
        <v>613</v>
      </c>
      <c r="B252" s="6" t="s">
        <v>395</v>
      </c>
      <c r="C252" s="6" t="s">
        <v>616</v>
      </c>
      <c r="D252" s="6" t="s">
        <v>526</v>
      </c>
      <c r="E252" s="6" t="s">
        <v>438</v>
      </c>
      <c r="F252" s="6" t="s">
        <v>181</v>
      </c>
      <c r="G252" s="6" t="s">
        <v>100</v>
      </c>
      <c r="H252" s="6" t="s">
        <v>66</v>
      </c>
      <c r="I252" s="6" t="s">
        <v>398</v>
      </c>
      <c r="J252" s="6"/>
      <c r="K252" s="6"/>
      <c r="L252" s="6" t="s">
        <v>304</v>
      </c>
      <c r="M252" s="6" t="s">
        <v>59</v>
      </c>
      <c r="N252" s="6"/>
    </row>
    <row r="253" ht="15.75" customHeight="1">
      <c r="A253" s="6" t="s">
        <v>613</v>
      </c>
      <c r="B253" s="6" t="s">
        <v>1109</v>
      </c>
      <c r="C253" s="6" t="s">
        <v>591</v>
      </c>
      <c r="D253" s="6" t="s">
        <v>499</v>
      </c>
      <c r="E253" s="6" t="s">
        <v>438</v>
      </c>
      <c r="F253" s="6" t="s">
        <v>98</v>
      </c>
      <c r="G253" s="6" t="s">
        <v>100</v>
      </c>
      <c r="H253" s="6" t="s">
        <v>26</v>
      </c>
      <c r="I253" s="6" t="s">
        <v>1110</v>
      </c>
      <c r="J253" s="6"/>
      <c r="K253" s="6"/>
      <c r="L253" s="6" t="s">
        <v>304</v>
      </c>
      <c r="M253" s="6" t="s">
        <v>59</v>
      </c>
      <c r="N253" s="6"/>
    </row>
    <row r="254" ht="15.75" customHeight="1">
      <c r="A254" s="6" t="s">
        <v>613</v>
      </c>
      <c r="B254" s="6" t="s">
        <v>416</v>
      </c>
      <c r="C254" s="6" t="s">
        <v>576</v>
      </c>
      <c r="D254" s="6" t="s">
        <v>299</v>
      </c>
      <c r="E254" s="6" t="s">
        <v>282</v>
      </c>
      <c r="F254" s="6" t="s">
        <v>255</v>
      </c>
      <c r="G254" s="6" t="s">
        <v>140</v>
      </c>
      <c r="H254" s="6" t="s">
        <v>156</v>
      </c>
      <c r="I254" s="6" t="s">
        <v>418</v>
      </c>
      <c r="J254" s="6"/>
      <c r="K254" s="6"/>
      <c r="L254" s="6" t="s">
        <v>304</v>
      </c>
      <c r="M254" s="6" t="s">
        <v>59</v>
      </c>
      <c r="N254" s="6"/>
    </row>
    <row r="255" ht="15.75" customHeight="1">
      <c r="A255" s="6" t="s">
        <v>613</v>
      </c>
      <c r="B255" s="6" t="s">
        <v>421</v>
      </c>
      <c r="C255" s="6" t="s">
        <v>591</v>
      </c>
      <c r="D255" s="6" t="s">
        <v>331</v>
      </c>
      <c r="E255" s="6" t="s">
        <v>430</v>
      </c>
      <c r="F255" s="6" t="s">
        <v>67</v>
      </c>
      <c r="G255" s="6" t="s">
        <v>68</v>
      </c>
      <c r="H255" s="6" t="s">
        <v>130</v>
      </c>
      <c r="I255" s="6" t="s">
        <v>423</v>
      </c>
      <c r="J255" s="6"/>
      <c r="K255" s="6"/>
      <c r="L255" s="6" t="s">
        <v>304</v>
      </c>
      <c r="M255" s="6" t="s">
        <v>59</v>
      </c>
      <c r="N255" s="6"/>
    </row>
    <row r="256" ht="15.75" customHeight="1">
      <c r="A256" s="6" t="s">
        <v>613</v>
      </c>
      <c r="B256" s="6" t="s">
        <v>666</v>
      </c>
      <c r="C256" s="6" t="s">
        <v>435</v>
      </c>
      <c r="D256" s="6" t="s">
        <v>821</v>
      </c>
      <c r="E256" s="6" t="s">
        <v>438</v>
      </c>
      <c r="F256" s="6" t="s">
        <v>113</v>
      </c>
      <c r="G256" s="6" t="s">
        <v>100</v>
      </c>
      <c r="H256" s="6" t="s">
        <v>55</v>
      </c>
      <c r="I256" s="6" t="s">
        <v>668</v>
      </c>
      <c r="J256" s="6"/>
      <c r="K256" s="6"/>
      <c r="L256" s="6" t="s">
        <v>304</v>
      </c>
      <c r="M256" s="6" t="s">
        <v>59</v>
      </c>
      <c r="N256" s="6"/>
    </row>
    <row r="257" ht="15.75" customHeight="1">
      <c r="A257" s="6" t="s">
        <v>613</v>
      </c>
      <c r="B257" s="6" t="s">
        <v>425</v>
      </c>
      <c r="C257" s="6" t="s">
        <v>616</v>
      </c>
      <c r="D257" s="6" t="s">
        <v>401</v>
      </c>
      <c r="E257" s="6" t="s">
        <v>438</v>
      </c>
      <c r="F257" s="6" t="s">
        <v>181</v>
      </c>
      <c r="G257" s="6" t="s">
        <v>100</v>
      </c>
      <c r="H257" s="6" t="s">
        <v>101</v>
      </c>
      <c r="I257" s="6" t="s">
        <v>427</v>
      </c>
      <c r="J257" s="6"/>
      <c r="K257" s="6" t="s">
        <v>638</v>
      </c>
      <c r="L257" s="6" t="s">
        <v>304</v>
      </c>
      <c r="M257" s="6" t="s">
        <v>59</v>
      </c>
      <c r="N257" s="6"/>
    </row>
    <row r="258" ht="15.75" customHeight="1">
      <c r="A258" s="6" t="s">
        <v>613</v>
      </c>
      <c r="B258" s="6" t="s">
        <v>1111</v>
      </c>
      <c r="C258" s="6" t="s">
        <v>1013</v>
      </c>
      <c r="D258" s="6" t="s">
        <v>361</v>
      </c>
      <c r="E258" s="6" t="s">
        <v>240</v>
      </c>
      <c r="F258" s="6" t="s">
        <v>241</v>
      </c>
      <c r="G258" s="6" t="s">
        <v>1120</v>
      </c>
      <c r="H258" s="6" t="s">
        <v>105</v>
      </c>
      <c r="I258" s="6" t="s">
        <v>1112</v>
      </c>
      <c r="J258" s="6"/>
      <c r="K258" s="6" t="s">
        <v>724</v>
      </c>
      <c r="L258" s="6" t="s">
        <v>304</v>
      </c>
      <c r="M258" s="6" t="s">
        <v>59</v>
      </c>
      <c r="N258" s="6"/>
    </row>
    <row r="259" ht="15.75" customHeight="1">
      <c r="A259" s="6" t="s">
        <v>613</v>
      </c>
      <c r="B259" s="6" t="s">
        <v>1111</v>
      </c>
      <c r="C259" s="6" t="s">
        <v>1013</v>
      </c>
      <c r="D259" s="6" t="s">
        <v>361</v>
      </c>
      <c r="E259" s="6" t="s">
        <v>240</v>
      </c>
      <c r="F259" s="6" t="s">
        <v>257</v>
      </c>
      <c r="G259" s="6" t="s">
        <v>1121</v>
      </c>
      <c r="H259" s="6" t="s">
        <v>105</v>
      </c>
      <c r="I259" s="6" t="s">
        <v>1112</v>
      </c>
      <c r="J259" s="6"/>
      <c r="K259" s="6" t="s">
        <v>724</v>
      </c>
      <c r="L259" s="6" t="s">
        <v>304</v>
      </c>
      <c r="M259" s="6" t="s">
        <v>59</v>
      </c>
      <c r="N259" s="6"/>
    </row>
    <row r="260" ht="15.75" customHeight="1"/>
    <row r="261" ht="15.75" customHeight="1">
      <c r="A261" s="16" t="s">
        <v>661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ht="15.75" customHeight="1">
      <c r="A262" s="17" t="s">
        <v>1122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</row>
    <row r="263" ht="15.75" customHeight="1">
      <c r="A263" s="18" t="s">
        <v>4</v>
      </c>
      <c r="B263" s="18" t="s">
        <v>6</v>
      </c>
      <c r="C263" s="18" t="s">
        <v>7</v>
      </c>
      <c r="D263" s="18" t="s">
        <v>8</v>
      </c>
      <c r="E263" s="18" t="s">
        <v>9</v>
      </c>
      <c r="F263" s="18" t="s">
        <v>10</v>
      </c>
      <c r="G263" s="18" t="s">
        <v>11</v>
      </c>
      <c r="H263" s="18" t="s">
        <v>12</v>
      </c>
      <c r="I263" s="18" t="s">
        <v>13</v>
      </c>
      <c r="J263" s="18" t="s">
        <v>14</v>
      </c>
      <c r="K263" s="18" t="s">
        <v>15</v>
      </c>
      <c r="L263" s="18" t="s">
        <v>16</v>
      </c>
      <c r="M263" s="18" t="s">
        <v>17</v>
      </c>
      <c r="N263" s="18" t="s">
        <v>18</v>
      </c>
    </row>
    <row r="264" ht="15.75" customHeight="1">
      <c r="A264" s="6" t="s">
        <v>669</v>
      </c>
      <c r="B264" s="6" t="s">
        <v>1123</v>
      </c>
      <c r="C264" s="6" t="s">
        <v>700</v>
      </c>
      <c r="D264" s="6" t="s">
        <v>429</v>
      </c>
      <c r="E264" s="6" t="s">
        <v>714</v>
      </c>
      <c r="F264" s="6" t="s">
        <v>98</v>
      </c>
      <c r="G264" s="6" t="s">
        <v>956</v>
      </c>
      <c r="H264" s="6" t="s">
        <v>156</v>
      </c>
      <c r="I264" s="6" t="s">
        <v>1124</v>
      </c>
      <c r="J264" s="6"/>
      <c r="K264" s="6"/>
      <c r="L264" s="6" t="s">
        <v>304</v>
      </c>
      <c r="M264" s="6" t="s">
        <v>59</v>
      </c>
      <c r="N264" s="6"/>
    </row>
    <row r="265" ht="15.75" customHeight="1">
      <c r="A265" s="6" t="s">
        <v>669</v>
      </c>
      <c r="B265" s="6" t="s">
        <v>1125</v>
      </c>
      <c r="C265" s="6" t="s">
        <v>1126</v>
      </c>
      <c r="D265" s="6" t="s">
        <v>553</v>
      </c>
      <c r="E265" s="6" t="s">
        <v>240</v>
      </c>
      <c r="F265" s="6" t="s">
        <v>241</v>
      </c>
      <c r="G265" s="6" t="s">
        <v>997</v>
      </c>
      <c r="H265" s="6" t="s">
        <v>558</v>
      </c>
      <c r="I265" s="6" t="s">
        <v>1127</v>
      </c>
      <c r="K265" s="6" t="s">
        <v>753</v>
      </c>
      <c r="M265" s="6"/>
    </row>
    <row r="266" ht="15.75" customHeight="1">
      <c r="A266" s="6" t="s">
        <v>669</v>
      </c>
      <c r="B266" s="6" t="s">
        <v>447</v>
      </c>
      <c r="C266" s="6" t="s">
        <v>825</v>
      </c>
      <c r="D266" s="6" t="s">
        <v>429</v>
      </c>
      <c r="E266" s="6" t="s">
        <v>592</v>
      </c>
      <c r="F266" s="6" t="s">
        <v>24</v>
      </c>
      <c r="G266" s="6" t="s">
        <v>947</v>
      </c>
      <c r="H266" s="6" t="s">
        <v>55</v>
      </c>
      <c r="I266" s="6" t="s">
        <v>451</v>
      </c>
      <c r="J266" s="6"/>
      <c r="K266" s="6"/>
      <c r="L266" s="6" t="s">
        <v>304</v>
      </c>
      <c r="M266" s="6" t="s">
        <v>59</v>
      </c>
      <c r="N266" s="6"/>
    </row>
    <row r="267" ht="15.75" customHeight="1">
      <c r="A267" s="6" t="s">
        <v>669</v>
      </c>
      <c r="B267" s="6" t="s">
        <v>460</v>
      </c>
      <c r="C267" s="6" t="s">
        <v>750</v>
      </c>
      <c r="D267" s="6" t="s">
        <v>429</v>
      </c>
      <c r="E267" s="6" t="s">
        <v>430</v>
      </c>
      <c r="F267" s="6" t="s">
        <v>24</v>
      </c>
      <c r="G267" s="6" t="s">
        <v>947</v>
      </c>
      <c r="H267" s="6" t="s">
        <v>38</v>
      </c>
      <c r="I267" s="6" t="s">
        <v>463</v>
      </c>
      <c r="J267" s="6"/>
      <c r="K267" s="6" t="s">
        <v>674</v>
      </c>
      <c r="L267" s="6" t="s">
        <v>304</v>
      </c>
      <c r="M267" s="6" t="s">
        <v>59</v>
      </c>
      <c r="N267" s="6"/>
    </row>
    <row r="268" ht="15.75" customHeight="1">
      <c r="A268" s="6" t="s">
        <v>669</v>
      </c>
      <c r="B268" s="6" t="s">
        <v>148</v>
      </c>
      <c r="C268" s="6" t="s">
        <v>825</v>
      </c>
      <c r="D268" s="6" t="s">
        <v>429</v>
      </c>
      <c r="E268" s="6" t="s">
        <v>459</v>
      </c>
      <c r="F268" s="6" t="s">
        <v>24</v>
      </c>
      <c r="G268" s="6" t="s">
        <v>947</v>
      </c>
      <c r="H268" s="6" t="s">
        <v>105</v>
      </c>
      <c r="I268" s="6" t="s">
        <v>154</v>
      </c>
      <c r="J268" s="6"/>
      <c r="K268" s="6" t="s">
        <v>724</v>
      </c>
      <c r="L268" s="6" t="s">
        <v>304</v>
      </c>
      <c r="M268" s="6" t="s">
        <v>59</v>
      </c>
      <c r="N268" s="6"/>
    </row>
    <row r="269" ht="15.75" customHeight="1">
      <c r="A269" s="6" t="s">
        <v>669</v>
      </c>
      <c r="B269" s="6" t="s">
        <v>483</v>
      </c>
      <c r="C269" s="6" t="s">
        <v>848</v>
      </c>
      <c r="D269" s="6" t="s">
        <v>429</v>
      </c>
      <c r="E269" s="6" t="s">
        <v>592</v>
      </c>
      <c r="F269" s="6" t="s">
        <v>24</v>
      </c>
      <c r="G269" s="6" t="s">
        <v>947</v>
      </c>
      <c r="H269" s="6" t="s">
        <v>156</v>
      </c>
      <c r="I269" s="6" t="s">
        <v>488</v>
      </c>
      <c r="J269" s="6"/>
      <c r="K269" s="6"/>
      <c r="L269" s="6" t="s">
        <v>304</v>
      </c>
      <c r="M269" s="6" t="s">
        <v>59</v>
      </c>
      <c r="N269" s="6"/>
    </row>
    <row r="270" ht="15.75" customHeight="1">
      <c r="A270" s="6" t="s">
        <v>669</v>
      </c>
      <c r="B270" s="6" t="s">
        <v>494</v>
      </c>
      <c r="C270" s="6" t="s">
        <v>670</v>
      </c>
      <c r="D270" s="6" t="s">
        <v>553</v>
      </c>
      <c r="E270" s="6" t="s">
        <v>430</v>
      </c>
      <c r="F270" s="6" t="s">
        <v>24</v>
      </c>
      <c r="G270" s="6" t="s">
        <v>947</v>
      </c>
      <c r="H270" s="6" t="s">
        <v>558</v>
      </c>
      <c r="I270" s="6" t="s">
        <v>498</v>
      </c>
      <c r="K270" s="6" t="s">
        <v>753</v>
      </c>
      <c r="M270" s="6"/>
    </row>
    <row r="271" ht="15.75" customHeight="1">
      <c r="A271" s="6" t="s">
        <v>669</v>
      </c>
      <c r="B271" s="6" t="s">
        <v>502</v>
      </c>
      <c r="C271" s="6" t="s">
        <v>837</v>
      </c>
      <c r="D271" s="6" t="s">
        <v>429</v>
      </c>
      <c r="E271" s="6" t="s">
        <v>459</v>
      </c>
      <c r="F271" s="6" t="s">
        <v>24</v>
      </c>
      <c r="G271" s="6" t="s">
        <v>947</v>
      </c>
      <c r="H271" s="6" t="s">
        <v>101</v>
      </c>
      <c r="I271" s="6" t="s">
        <v>506</v>
      </c>
      <c r="J271" s="6"/>
      <c r="K271" s="6" t="s">
        <v>674</v>
      </c>
      <c r="L271" s="6" t="s">
        <v>304</v>
      </c>
      <c r="M271" s="6" t="s">
        <v>59</v>
      </c>
      <c r="N271" s="6"/>
    </row>
    <row r="272" ht="15.75" customHeight="1">
      <c r="A272" s="6" t="s">
        <v>669</v>
      </c>
      <c r="B272" s="6" t="s">
        <v>1004</v>
      </c>
      <c r="C272" s="6" t="s">
        <v>840</v>
      </c>
      <c r="D272" s="6" t="s">
        <v>429</v>
      </c>
      <c r="E272" s="6" t="s">
        <v>459</v>
      </c>
      <c r="F272" s="6" t="s">
        <v>24</v>
      </c>
      <c r="G272" s="6" t="s">
        <v>947</v>
      </c>
      <c r="H272" s="6" t="s">
        <v>38</v>
      </c>
      <c r="I272" s="6" t="s">
        <v>1005</v>
      </c>
      <c r="J272" s="6"/>
      <c r="K272" s="6" t="s">
        <v>674</v>
      </c>
      <c r="L272" s="6" t="s">
        <v>304</v>
      </c>
      <c r="M272" s="6" t="s">
        <v>59</v>
      </c>
      <c r="N272" s="6"/>
    </row>
    <row r="273" ht="15.75" customHeight="1">
      <c r="A273" s="6" t="s">
        <v>669</v>
      </c>
      <c r="B273" s="6" t="s">
        <v>510</v>
      </c>
      <c r="C273" s="6" t="s">
        <v>764</v>
      </c>
      <c r="D273" s="6" t="s">
        <v>429</v>
      </c>
      <c r="E273" s="6" t="s">
        <v>196</v>
      </c>
      <c r="F273" s="6" t="s">
        <v>138</v>
      </c>
      <c r="G273" s="6" t="s">
        <v>961</v>
      </c>
      <c r="H273" s="6" t="s">
        <v>38</v>
      </c>
      <c r="I273" s="6" t="s">
        <v>514</v>
      </c>
      <c r="J273" s="6"/>
      <c r="K273" s="6" t="s">
        <v>674</v>
      </c>
      <c r="L273" s="6" t="s">
        <v>304</v>
      </c>
      <c r="M273" s="6" t="s">
        <v>59</v>
      </c>
      <c r="N273" s="6"/>
    </row>
    <row r="274" ht="15.75" customHeight="1">
      <c r="A274" s="6" t="s">
        <v>669</v>
      </c>
      <c r="B274" s="6" t="s">
        <v>523</v>
      </c>
      <c r="C274" s="6" t="s">
        <v>825</v>
      </c>
      <c r="D274" s="6" t="s">
        <v>429</v>
      </c>
      <c r="E274" s="6" t="s">
        <v>714</v>
      </c>
      <c r="F274" s="6" t="s">
        <v>181</v>
      </c>
      <c r="G274" s="6" t="s">
        <v>956</v>
      </c>
      <c r="H274" s="6" t="s">
        <v>38</v>
      </c>
      <c r="I274" s="6" t="s">
        <v>530</v>
      </c>
      <c r="J274" s="6"/>
      <c r="K274" s="6" t="s">
        <v>674</v>
      </c>
      <c r="L274" s="6" t="s">
        <v>304</v>
      </c>
      <c r="M274" s="6" t="s">
        <v>59</v>
      </c>
      <c r="N274" s="6"/>
    </row>
    <row r="275" ht="15.75" customHeight="1">
      <c r="A275" s="6" t="s">
        <v>669</v>
      </c>
      <c r="B275" s="6" t="s">
        <v>533</v>
      </c>
      <c r="C275" s="6" t="s">
        <v>848</v>
      </c>
      <c r="D275" s="6" t="s">
        <v>429</v>
      </c>
      <c r="E275" s="6" t="s">
        <v>430</v>
      </c>
      <c r="F275" s="6" t="s">
        <v>78</v>
      </c>
      <c r="G275" s="6" t="s">
        <v>947</v>
      </c>
      <c r="H275" s="6" t="s">
        <v>66</v>
      </c>
      <c r="I275" s="6" t="s">
        <v>538</v>
      </c>
      <c r="J275" s="6"/>
      <c r="K275" s="6"/>
      <c r="L275" s="6" t="s">
        <v>304</v>
      </c>
      <c r="M275" s="6" t="s">
        <v>59</v>
      </c>
      <c r="N275" s="6"/>
    </row>
    <row r="276" ht="15.75" customHeight="1">
      <c r="A276" s="6" t="s">
        <v>669</v>
      </c>
      <c r="B276" s="6" t="s">
        <v>542</v>
      </c>
      <c r="C276" s="6" t="s">
        <v>764</v>
      </c>
      <c r="D276" s="6" t="s">
        <v>429</v>
      </c>
      <c r="E276" s="6" t="s">
        <v>714</v>
      </c>
      <c r="F276" s="6" t="s">
        <v>98</v>
      </c>
      <c r="G276" s="6" t="s">
        <v>956</v>
      </c>
      <c r="H276" s="6" t="s">
        <v>130</v>
      </c>
      <c r="I276" s="6" t="s">
        <v>547</v>
      </c>
      <c r="J276" s="6"/>
      <c r="K276" s="6"/>
      <c r="L276" s="6" t="s">
        <v>304</v>
      </c>
      <c r="M276" s="6" t="s">
        <v>561</v>
      </c>
      <c r="N276" s="6"/>
    </row>
    <row r="277" ht="15.75" customHeight="1">
      <c r="A277" s="6" t="s">
        <v>669</v>
      </c>
      <c r="B277" s="6" t="s">
        <v>1128</v>
      </c>
      <c r="C277" s="6" t="s">
        <v>799</v>
      </c>
      <c r="D277" s="6" t="s">
        <v>429</v>
      </c>
      <c r="E277" s="6" t="s">
        <v>240</v>
      </c>
      <c r="F277" s="6" t="s">
        <v>241</v>
      </c>
      <c r="G277" s="6" t="s">
        <v>997</v>
      </c>
      <c r="H277" s="6" t="s">
        <v>55</v>
      </c>
      <c r="I277" s="6" t="s">
        <v>1129</v>
      </c>
      <c r="J277" s="6"/>
      <c r="K277" s="6"/>
      <c r="L277" s="6" t="s">
        <v>304</v>
      </c>
      <c r="M277" s="6" t="s">
        <v>59</v>
      </c>
      <c r="N277" s="6"/>
    </row>
    <row r="278" ht="15.75" customHeight="1">
      <c r="A278" s="6" t="s">
        <v>669</v>
      </c>
      <c r="B278" s="6" t="s">
        <v>1090</v>
      </c>
      <c r="C278" s="6" t="s">
        <v>679</v>
      </c>
      <c r="D278" s="6" t="s">
        <v>429</v>
      </c>
      <c r="E278" s="6" t="s">
        <v>714</v>
      </c>
      <c r="F278" s="6" t="s">
        <v>98</v>
      </c>
      <c r="G278" s="6" t="s">
        <v>956</v>
      </c>
      <c r="H278" s="6" t="s">
        <v>156</v>
      </c>
      <c r="I278" s="6" t="s">
        <v>557</v>
      </c>
      <c r="L278" s="6" t="s">
        <v>304</v>
      </c>
      <c r="M278" s="6" t="s">
        <v>373</v>
      </c>
    </row>
    <row r="279" ht="15.75" customHeight="1">
      <c r="A279" s="6" t="s">
        <v>669</v>
      </c>
      <c r="B279" s="6" t="s">
        <v>1021</v>
      </c>
      <c r="C279" s="6" t="s">
        <v>825</v>
      </c>
      <c r="D279" s="6" t="s">
        <v>429</v>
      </c>
      <c r="E279" s="6" t="s">
        <v>541</v>
      </c>
      <c r="F279" s="6" t="s">
        <v>24</v>
      </c>
      <c r="G279" s="6" t="s">
        <v>947</v>
      </c>
      <c r="H279" s="6" t="s">
        <v>130</v>
      </c>
      <c r="I279" s="6"/>
      <c r="J279" s="6"/>
      <c r="K279" s="6"/>
      <c r="L279" s="6" t="s">
        <v>304</v>
      </c>
      <c r="M279" s="6" t="s">
        <v>30</v>
      </c>
      <c r="N279" s="6"/>
    </row>
    <row r="280" ht="15.75" customHeight="1">
      <c r="A280" s="6" t="s">
        <v>669</v>
      </c>
      <c r="B280" s="6" t="s">
        <v>572</v>
      </c>
      <c r="C280" s="6" t="s">
        <v>764</v>
      </c>
      <c r="D280" s="6" t="s">
        <v>429</v>
      </c>
      <c r="E280" s="6" t="s">
        <v>714</v>
      </c>
      <c r="F280" s="6" t="s">
        <v>98</v>
      </c>
      <c r="G280" s="6" t="s">
        <v>956</v>
      </c>
      <c r="H280" s="6" t="s">
        <v>70</v>
      </c>
      <c r="I280" s="6" t="s">
        <v>579</v>
      </c>
      <c r="J280" s="6"/>
      <c r="K280" s="6" t="s">
        <v>674</v>
      </c>
      <c r="L280" s="6" t="s">
        <v>304</v>
      </c>
      <c r="M280" s="6" t="s">
        <v>59</v>
      </c>
      <c r="N280" s="6"/>
    </row>
    <row r="281" ht="15.75" customHeight="1">
      <c r="A281" s="6" t="s">
        <v>669</v>
      </c>
      <c r="B281" s="6" t="s">
        <v>572</v>
      </c>
      <c r="C281" s="6" t="s">
        <v>672</v>
      </c>
      <c r="D281" s="6" t="s">
        <v>429</v>
      </c>
      <c r="E281" s="6" t="s">
        <v>714</v>
      </c>
      <c r="F281" s="6" t="s">
        <v>67</v>
      </c>
      <c r="G281" s="6" t="s">
        <v>976</v>
      </c>
      <c r="H281" s="6" t="s">
        <v>70</v>
      </c>
      <c r="I281" s="6" t="s">
        <v>579</v>
      </c>
      <c r="J281" s="6" t="s">
        <v>589</v>
      </c>
      <c r="K281" s="6" t="s">
        <v>674</v>
      </c>
      <c r="L281" s="6" t="s">
        <v>304</v>
      </c>
      <c r="M281" s="6" t="s">
        <v>59</v>
      </c>
      <c r="N281" s="6"/>
    </row>
    <row r="282" ht="15.75" customHeight="1">
      <c r="A282" s="6" t="s">
        <v>669</v>
      </c>
      <c r="B282" s="6" t="s">
        <v>593</v>
      </c>
      <c r="C282" s="6" t="s">
        <v>848</v>
      </c>
      <c r="D282" s="6" t="s">
        <v>429</v>
      </c>
      <c r="E282" s="6" t="s">
        <v>714</v>
      </c>
      <c r="F282" s="6" t="s">
        <v>98</v>
      </c>
      <c r="G282" s="6" t="s">
        <v>956</v>
      </c>
      <c r="H282" s="6" t="s">
        <v>38</v>
      </c>
      <c r="I282" s="6" t="s">
        <v>598</v>
      </c>
      <c r="J282" s="6"/>
      <c r="K282" s="6" t="s">
        <v>674</v>
      </c>
      <c r="L282" s="6" t="s">
        <v>304</v>
      </c>
      <c r="M282" s="6" t="s">
        <v>59</v>
      </c>
      <c r="N282" s="6"/>
    </row>
    <row r="283" ht="15.75" customHeight="1">
      <c r="A283" s="6" t="s">
        <v>669</v>
      </c>
      <c r="B283" s="6" t="s">
        <v>564</v>
      </c>
      <c r="C283" s="6" t="s">
        <v>684</v>
      </c>
      <c r="D283" s="6" t="s">
        <v>429</v>
      </c>
      <c r="E283" s="6" t="s">
        <v>714</v>
      </c>
      <c r="F283" s="6" t="s">
        <v>98</v>
      </c>
      <c r="G283" s="6" t="s">
        <v>956</v>
      </c>
      <c r="H283" s="6" t="s">
        <v>55</v>
      </c>
      <c r="I283" s="6" t="s">
        <v>567</v>
      </c>
      <c r="J283" s="6" t="s">
        <v>569</v>
      </c>
      <c r="K283" s="6"/>
      <c r="L283" s="6" t="s">
        <v>304</v>
      </c>
      <c r="M283" s="6" t="s">
        <v>59</v>
      </c>
      <c r="N283" s="6"/>
    </row>
    <row r="284" ht="15.75" customHeight="1">
      <c r="A284" s="6" t="s">
        <v>669</v>
      </c>
      <c r="B284" s="6" t="s">
        <v>603</v>
      </c>
      <c r="C284" s="6" t="s">
        <v>1130</v>
      </c>
      <c r="D284" s="6" t="s">
        <v>429</v>
      </c>
      <c r="E284" s="6" t="s">
        <v>714</v>
      </c>
      <c r="F284" s="6" t="s">
        <v>181</v>
      </c>
      <c r="G284" s="6" t="s">
        <v>956</v>
      </c>
      <c r="H284" s="6" t="s">
        <v>694</v>
      </c>
      <c r="I284" s="6" t="s">
        <v>609</v>
      </c>
      <c r="J284" s="6"/>
      <c r="K284" s="6"/>
      <c r="L284" s="6" t="s">
        <v>304</v>
      </c>
      <c r="M284" s="6" t="s">
        <v>59</v>
      </c>
      <c r="N284" s="6"/>
    </row>
    <row r="285" ht="15.75" customHeight="1">
      <c r="A285" s="6" t="s">
        <v>669</v>
      </c>
      <c r="B285" s="6" t="s">
        <v>603</v>
      </c>
      <c r="C285" s="6" t="s">
        <v>1131</v>
      </c>
      <c r="D285" s="6" t="s">
        <v>429</v>
      </c>
      <c r="E285" s="6" t="s">
        <v>430</v>
      </c>
      <c r="F285" s="6" t="s">
        <v>24</v>
      </c>
      <c r="G285" s="6" t="s">
        <v>947</v>
      </c>
      <c r="H285" s="6" t="s">
        <v>49</v>
      </c>
      <c r="I285" s="6" t="s">
        <v>609</v>
      </c>
      <c r="J285" s="6"/>
      <c r="K285" s="6"/>
      <c r="L285" s="6" t="s">
        <v>304</v>
      </c>
      <c r="M285" s="6" t="s">
        <v>59</v>
      </c>
      <c r="N285" s="6"/>
    </row>
    <row r="286" ht="15.75" customHeight="1">
      <c r="A286" s="6" t="s">
        <v>669</v>
      </c>
      <c r="B286" s="6" t="s">
        <v>611</v>
      </c>
      <c r="C286" s="6" t="s">
        <v>870</v>
      </c>
      <c r="D286" s="6" t="s">
        <v>429</v>
      </c>
      <c r="E286" s="6" t="s">
        <v>459</v>
      </c>
      <c r="F286" s="6" t="s">
        <v>24</v>
      </c>
      <c r="G286" s="6" t="s">
        <v>947</v>
      </c>
      <c r="H286" s="6" t="s">
        <v>38</v>
      </c>
      <c r="I286" s="6" t="s">
        <v>614</v>
      </c>
      <c r="J286" s="6"/>
      <c r="K286" s="6" t="s">
        <v>674</v>
      </c>
      <c r="L286" s="6" t="s">
        <v>304</v>
      </c>
      <c r="M286" s="6" t="s">
        <v>59</v>
      </c>
      <c r="N286" s="6"/>
    </row>
    <row r="287" ht="15.75" customHeight="1">
      <c r="A287" s="6" t="s">
        <v>669</v>
      </c>
      <c r="B287" s="6" t="s">
        <v>611</v>
      </c>
      <c r="C287" s="6" t="s">
        <v>700</v>
      </c>
      <c r="D287" s="6" t="s">
        <v>429</v>
      </c>
      <c r="E287" s="6" t="s">
        <v>714</v>
      </c>
      <c r="F287" s="6" t="s">
        <v>98</v>
      </c>
      <c r="G287" s="6" t="s">
        <v>956</v>
      </c>
      <c r="H287" s="6" t="s">
        <v>55</v>
      </c>
      <c r="I287" s="6" t="s">
        <v>614</v>
      </c>
      <c r="J287" s="6"/>
      <c r="K287" s="6"/>
      <c r="L287" s="6" t="s">
        <v>304</v>
      </c>
      <c r="M287" s="6" t="s">
        <v>59</v>
      </c>
      <c r="N287" s="6"/>
    </row>
    <row r="288" ht="15.75" customHeight="1">
      <c r="A288" s="6" t="s">
        <v>669</v>
      </c>
      <c r="B288" s="6" t="s">
        <v>621</v>
      </c>
      <c r="C288" s="6" t="s">
        <v>837</v>
      </c>
      <c r="D288" s="6" t="s">
        <v>429</v>
      </c>
      <c r="E288" s="6" t="s">
        <v>714</v>
      </c>
      <c r="F288" s="6" t="s">
        <v>67</v>
      </c>
      <c r="G288" s="6" t="s">
        <v>976</v>
      </c>
      <c r="H288" s="6" t="s">
        <v>130</v>
      </c>
      <c r="I288" s="6" t="s">
        <v>624</v>
      </c>
      <c r="J288" s="6"/>
      <c r="K288" s="6"/>
      <c r="L288" s="6" t="s">
        <v>304</v>
      </c>
      <c r="M288" s="6" t="s">
        <v>59</v>
      </c>
      <c r="N288" s="6"/>
    </row>
    <row r="289" ht="15.75" customHeight="1">
      <c r="A289" s="6" t="s">
        <v>669</v>
      </c>
      <c r="B289" s="6" t="s">
        <v>631</v>
      </c>
      <c r="C289" s="6" t="s">
        <v>870</v>
      </c>
      <c r="D289" s="6" t="s">
        <v>429</v>
      </c>
      <c r="E289" s="6" t="s">
        <v>459</v>
      </c>
      <c r="F289" s="6" t="s">
        <v>24</v>
      </c>
      <c r="G289" s="6" t="s">
        <v>947</v>
      </c>
      <c r="H289" s="6" t="s">
        <v>26</v>
      </c>
      <c r="I289" s="6" t="s">
        <v>640</v>
      </c>
      <c r="J289" s="6"/>
      <c r="K289" s="6"/>
      <c r="L289" s="6" t="s">
        <v>304</v>
      </c>
      <c r="M289" s="6" t="s">
        <v>59</v>
      </c>
      <c r="N289" s="6"/>
    </row>
    <row r="290" ht="15.75" customHeight="1">
      <c r="A290" s="6" t="s">
        <v>669</v>
      </c>
      <c r="B290" s="6" t="s">
        <v>644</v>
      </c>
      <c r="C290" s="6" t="s">
        <v>684</v>
      </c>
      <c r="D290" s="6" t="s">
        <v>429</v>
      </c>
      <c r="E290" s="6" t="s">
        <v>714</v>
      </c>
      <c r="F290" s="6" t="s">
        <v>98</v>
      </c>
      <c r="G290" s="6" t="s">
        <v>956</v>
      </c>
      <c r="H290" s="6" t="s">
        <v>26</v>
      </c>
      <c r="I290" s="6" t="s">
        <v>647</v>
      </c>
      <c r="J290" s="6"/>
      <c r="K290" s="6"/>
      <c r="L290" s="6" t="s">
        <v>304</v>
      </c>
      <c r="M290" s="6" t="s">
        <v>59</v>
      </c>
      <c r="N290" s="6"/>
    </row>
    <row r="291" ht="15.75" customHeight="1">
      <c r="A291" s="6" t="s">
        <v>669</v>
      </c>
      <c r="B291" s="6" t="s">
        <v>1051</v>
      </c>
      <c r="C291" s="6" t="s">
        <v>825</v>
      </c>
      <c r="D291" s="6" t="s">
        <v>429</v>
      </c>
      <c r="E291" s="6" t="s">
        <v>714</v>
      </c>
      <c r="F291" s="6" t="s">
        <v>181</v>
      </c>
      <c r="G291" s="6" t="s">
        <v>956</v>
      </c>
      <c r="H291" s="6" t="s">
        <v>49</v>
      </c>
      <c r="I291" s="6" t="s">
        <v>1052</v>
      </c>
      <c r="J291" s="6"/>
      <c r="K291" s="6"/>
      <c r="L291" s="6" t="s">
        <v>304</v>
      </c>
      <c r="M291" s="6" t="s">
        <v>59</v>
      </c>
      <c r="N291" s="6"/>
    </row>
    <row r="292" ht="15.75" customHeight="1">
      <c r="A292" s="6" t="s">
        <v>669</v>
      </c>
      <c r="B292" s="6" t="s">
        <v>1132</v>
      </c>
      <c r="C292" s="6" t="s">
        <v>721</v>
      </c>
      <c r="D292" s="6" t="s">
        <v>429</v>
      </c>
      <c r="E292" s="6" t="s">
        <v>714</v>
      </c>
      <c r="F292" s="6" t="s">
        <v>67</v>
      </c>
      <c r="G292" s="6" t="s">
        <v>976</v>
      </c>
      <c r="H292" s="6" t="s">
        <v>26</v>
      </c>
      <c r="I292" s="6" t="s">
        <v>1133</v>
      </c>
      <c r="L292" s="6" t="s">
        <v>304</v>
      </c>
      <c r="M292" s="6" t="s">
        <v>373</v>
      </c>
    </row>
    <row r="293" ht="15.75" customHeight="1">
      <c r="A293" s="6" t="s">
        <v>669</v>
      </c>
      <c r="B293" s="6" t="s">
        <v>652</v>
      </c>
      <c r="C293" s="6" t="s">
        <v>781</v>
      </c>
      <c r="D293" s="6" t="s">
        <v>429</v>
      </c>
      <c r="E293" s="6" t="s">
        <v>459</v>
      </c>
      <c r="F293" s="6" t="s">
        <v>24</v>
      </c>
      <c r="G293" s="6" t="s">
        <v>947</v>
      </c>
      <c r="H293" s="6" t="s">
        <v>66</v>
      </c>
      <c r="I293" s="6" t="s">
        <v>654</v>
      </c>
      <c r="J293" s="6"/>
      <c r="K293" s="6"/>
      <c r="L293" s="6" t="s">
        <v>304</v>
      </c>
      <c r="M293" s="6" t="s">
        <v>59</v>
      </c>
      <c r="N293" s="6"/>
    </row>
    <row r="294" ht="15.75" customHeight="1">
      <c r="A294" s="6" t="s">
        <v>669</v>
      </c>
      <c r="B294" s="6" t="s">
        <v>660</v>
      </c>
      <c r="C294" s="6" t="s">
        <v>781</v>
      </c>
      <c r="D294" s="6" t="s">
        <v>429</v>
      </c>
      <c r="E294" s="6" t="s">
        <v>196</v>
      </c>
      <c r="F294" s="6" t="s">
        <v>138</v>
      </c>
      <c r="G294" s="6" t="s">
        <v>961</v>
      </c>
      <c r="H294" s="6" t="s">
        <v>26</v>
      </c>
      <c r="I294" s="6" t="s">
        <v>664</v>
      </c>
      <c r="J294" s="6"/>
      <c r="K294" s="6"/>
      <c r="L294" s="6" t="s">
        <v>304</v>
      </c>
      <c r="M294" s="6" t="s">
        <v>59</v>
      </c>
      <c r="N294" s="6"/>
    </row>
    <row r="295" ht="15.75" customHeight="1">
      <c r="A295" s="6" t="s">
        <v>669</v>
      </c>
      <c r="B295" s="6" t="s">
        <v>666</v>
      </c>
      <c r="C295" s="6" t="s">
        <v>747</v>
      </c>
      <c r="D295" s="6" t="s">
        <v>429</v>
      </c>
      <c r="E295" s="6" t="s">
        <v>196</v>
      </c>
      <c r="F295" s="6" t="s">
        <v>138</v>
      </c>
      <c r="G295" s="6" t="s">
        <v>961</v>
      </c>
      <c r="H295" s="6" t="s">
        <v>101</v>
      </c>
      <c r="I295" s="6" t="s">
        <v>668</v>
      </c>
      <c r="J295" s="6"/>
      <c r="K295" s="6" t="s">
        <v>674</v>
      </c>
      <c r="L295" s="6" t="s">
        <v>304</v>
      </c>
      <c r="M295" s="6" t="s">
        <v>59</v>
      </c>
      <c r="N295" s="6"/>
    </row>
    <row r="296" ht="15.75" customHeight="1">
      <c r="A296" s="6" t="s">
        <v>669</v>
      </c>
      <c r="B296" s="6" t="s">
        <v>1064</v>
      </c>
      <c r="C296" s="6" t="s">
        <v>848</v>
      </c>
      <c r="D296" s="6" t="s">
        <v>429</v>
      </c>
      <c r="E296" s="6" t="s">
        <v>541</v>
      </c>
      <c r="F296" s="6" t="s">
        <v>24</v>
      </c>
      <c r="G296" s="6" t="s">
        <v>947</v>
      </c>
      <c r="H296" s="6" t="s">
        <v>105</v>
      </c>
      <c r="I296" s="6" t="s">
        <v>1066</v>
      </c>
      <c r="J296" s="6" t="s">
        <v>1134</v>
      </c>
      <c r="K296" s="6" t="s">
        <v>724</v>
      </c>
      <c r="L296" s="6" t="s">
        <v>304</v>
      </c>
      <c r="M296" s="6" t="s">
        <v>59</v>
      </c>
      <c r="N296" s="6"/>
    </row>
    <row r="297" ht="15.75" customHeight="1"/>
    <row r="298" ht="15.75" customHeight="1">
      <c r="A298" s="16" t="s">
        <v>738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ht="15.75" customHeight="1">
      <c r="A299" s="17" t="s">
        <v>1135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 ht="15.75" customHeight="1">
      <c r="A300" s="18" t="s">
        <v>4</v>
      </c>
      <c r="B300" s="18" t="s">
        <v>6</v>
      </c>
      <c r="C300" s="18" t="s">
        <v>7</v>
      </c>
      <c r="D300" s="18" t="s">
        <v>8</v>
      </c>
      <c r="E300" s="18" t="s">
        <v>9</v>
      </c>
      <c r="F300" s="18" t="s">
        <v>10</v>
      </c>
      <c r="G300" s="18" t="s">
        <v>11</v>
      </c>
      <c r="H300" s="18" t="s">
        <v>12</v>
      </c>
      <c r="I300" s="18" t="s">
        <v>13</v>
      </c>
      <c r="J300" s="18" t="s">
        <v>14</v>
      </c>
      <c r="K300" s="18" t="s">
        <v>15</v>
      </c>
      <c r="L300" s="18" t="s">
        <v>16</v>
      </c>
      <c r="M300" s="18" t="s">
        <v>17</v>
      </c>
      <c r="N300" s="18" t="s">
        <v>18</v>
      </c>
    </row>
    <row r="301" ht="15.75" customHeight="1">
      <c r="A301" s="6" t="s">
        <v>745</v>
      </c>
      <c r="B301" s="6" t="s">
        <v>42</v>
      </c>
      <c r="C301" s="6" t="s">
        <v>837</v>
      </c>
      <c r="D301" s="6" t="s">
        <v>429</v>
      </c>
      <c r="E301" s="6" t="s">
        <v>946</v>
      </c>
      <c r="F301" s="6" t="s">
        <v>24</v>
      </c>
      <c r="G301" s="6" t="s">
        <v>947</v>
      </c>
      <c r="H301" s="6" t="s">
        <v>70</v>
      </c>
      <c r="I301" s="6" t="s">
        <v>51</v>
      </c>
      <c r="J301" s="6"/>
      <c r="K301" s="6" t="s">
        <v>674</v>
      </c>
      <c r="L301" s="6" t="s">
        <v>304</v>
      </c>
      <c r="M301" s="6" t="s">
        <v>59</v>
      </c>
      <c r="N301" s="6"/>
    </row>
    <row r="302" ht="15.75" customHeight="1">
      <c r="A302" s="6" t="s">
        <v>745</v>
      </c>
      <c r="B302" s="6" t="s">
        <v>42</v>
      </c>
      <c r="C302" s="6" t="s">
        <v>848</v>
      </c>
      <c r="D302" s="6" t="s">
        <v>429</v>
      </c>
      <c r="E302" s="6" t="s">
        <v>946</v>
      </c>
      <c r="F302" s="6" t="s">
        <v>172</v>
      </c>
      <c r="G302" s="6" t="s">
        <v>952</v>
      </c>
      <c r="H302" s="6" t="s">
        <v>156</v>
      </c>
      <c r="I302" s="6" t="s">
        <v>51</v>
      </c>
      <c r="J302" s="6"/>
      <c r="K302" s="6"/>
      <c r="L302" s="6" t="s">
        <v>304</v>
      </c>
      <c r="M302" s="6" t="s">
        <v>59</v>
      </c>
      <c r="N302" s="6"/>
    </row>
    <row r="303" ht="15.75" customHeight="1">
      <c r="A303" s="6" t="s">
        <v>745</v>
      </c>
      <c r="B303" s="6" t="s">
        <v>90</v>
      </c>
      <c r="C303" s="6" t="s">
        <v>840</v>
      </c>
      <c r="D303" s="6" t="s">
        <v>429</v>
      </c>
      <c r="E303" s="6" t="s">
        <v>438</v>
      </c>
      <c r="F303" s="6" t="s">
        <v>98</v>
      </c>
      <c r="G303" s="6" t="s">
        <v>956</v>
      </c>
      <c r="H303" s="6" t="s">
        <v>55</v>
      </c>
      <c r="I303" s="6" t="s">
        <v>103</v>
      </c>
      <c r="J303" s="6"/>
      <c r="K303" s="6"/>
      <c r="L303" s="6" t="s">
        <v>304</v>
      </c>
      <c r="M303" s="6" t="s">
        <v>59</v>
      </c>
      <c r="N303" s="6"/>
    </row>
    <row r="304" ht="15.75" customHeight="1">
      <c r="A304" s="6" t="s">
        <v>745</v>
      </c>
      <c r="B304" s="6" t="s">
        <v>460</v>
      </c>
      <c r="C304" s="6" t="s">
        <v>1136</v>
      </c>
      <c r="D304" s="6" t="s">
        <v>429</v>
      </c>
      <c r="E304" s="6" t="s">
        <v>430</v>
      </c>
      <c r="F304" s="6" t="s">
        <v>24</v>
      </c>
      <c r="G304" s="6" t="s">
        <v>947</v>
      </c>
      <c r="H304" s="6" t="s">
        <v>70</v>
      </c>
      <c r="I304" s="6" t="s">
        <v>463</v>
      </c>
      <c r="J304" s="6"/>
      <c r="K304" s="6" t="s">
        <v>674</v>
      </c>
      <c r="L304" s="6" t="s">
        <v>304</v>
      </c>
      <c r="M304" s="6" t="s">
        <v>59</v>
      </c>
      <c r="N304" s="6"/>
    </row>
    <row r="305" ht="15.75" customHeight="1">
      <c r="A305" s="6" t="s">
        <v>745</v>
      </c>
      <c r="B305" s="6" t="s">
        <v>126</v>
      </c>
      <c r="C305" s="6" t="s">
        <v>899</v>
      </c>
      <c r="D305" s="6" t="s">
        <v>429</v>
      </c>
      <c r="E305" s="6" t="s">
        <v>136</v>
      </c>
      <c r="F305" s="6" t="s">
        <v>138</v>
      </c>
      <c r="G305" s="6" t="s">
        <v>961</v>
      </c>
      <c r="H305" s="6" t="s">
        <v>247</v>
      </c>
      <c r="I305" s="6" t="s">
        <v>144</v>
      </c>
      <c r="J305" s="6"/>
      <c r="K305" s="6"/>
      <c r="L305" s="6" t="s">
        <v>304</v>
      </c>
      <c r="M305" s="6" t="s">
        <v>59</v>
      </c>
      <c r="N305" s="6"/>
    </row>
    <row r="306" ht="15.75" customHeight="1">
      <c r="A306" s="6" t="s">
        <v>745</v>
      </c>
      <c r="B306" s="6" t="s">
        <v>108</v>
      </c>
      <c r="C306" s="6" t="s">
        <v>781</v>
      </c>
      <c r="D306" s="6" t="s">
        <v>429</v>
      </c>
      <c r="E306" s="6" t="s">
        <v>438</v>
      </c>
      <c r="F306" s="6" t="s">
        <v>113</v>
      </c>
      <c r="G306" s="6" t="s">
        <v>956</v>
      </c>
      <c r="H306" s="6" t="s">
        <v>49</v>
      </c>
      <c r="I306" s="6" t="s">
        <v>116</v>
      </c>
      <c r="J306" s="6"/>
      <c r="K306" s="6"/>
      <c r="L306" s="6" t="s">
        <v>304</v>
      </c>
      <c r="M306" s="6" t="s">
        <v>59</v>
      </c>
      <c r="N306" s="6"/>
    </row>
    <row r="307" ht="15.75" customHeight="1">
      <c r="A307" s="6" t="s">
        <v>745</v>
      </c>
      <c r="B307" s="6" t="s">
        <v>148</v>
      </c>
      <c r="C307" s="6" t="s">
        <v>1137</v>
      </c>
      <c r="D307" s="6" t="s">
        <v>429</v>
      </c>
      <c r="E307" s="6" t="s">
        <v>459</v>
      </c>
      <c r="F307" s="6" t="s">
        <v>24</v>
      </c>
      <c r="G307" s="6" t="s">
        <v>947</v>
      </c>
      <c r="H307" s="6" t="s">
        <v>130</v>
      </c>
      <c r="I307" s="6" t="s">
        <v>154</v>
      </c>
      <c r="J307" s="6"/>
      <c r="K307" s="6"/>
      <c r="L307" s="6" t="s">
        <v>304</v>
      </c>
      <c r="M307" s="6" t="s">
        <v>59</v>
      </c>
      <c r="N307" s="6"/>
    </row>
    <row r="308" ht="15.75" customHeight="1">
      <c r="A308" s="6" t="s">
        <v>745</v>
      </c>
      <c r="B308" s="6" t="s">
        <v>158</v>
      </c>
      <c r="C308" s="6" t="s">
        <v>1138</v>
      </c>
      <c r="D308" s="6" t="s">
        <v>429</v>
      </c>
      <c r="E308" s="6" t="s">
        <v>438</v>
      </c>
      <c r="F308" s="6" t="s">
        <v>98</v>
      </c>
      <c r="G308" s="6" t="s">
        <v>956</v>
      </c>
      <c r="H308" s="6" t="s">
        <v>496</v>
      </c>
      <c r="I308" s="6" t="s">
        <v>164</v>
      </c>
      <c r="J308" s="6"/>
      <c r="K308" s="6"/>
      <c r="L308" s="6" t="s">
        <v>304</v>
      </c>
      <c r="M308" s="6" t="s">
        <v>59</v>
      </c>
      <c r="N308" s="6"/>
    </row>
    <row r="309" ht="15.75" customHeight="1">
      <c r="A309" s="6" t="s">
        <v>745</v>
      </c>
      <c r="B309" s="6" t="s">
        <v>972</v>
      </c>
      <c r="C309" s="6" t="s">
        <v>721</v>
      </c>
      <c r="D309" s="6" t="s">
        <v>429</v>
      </c>
      <c r="E309" s="6" t="s">
        <v>430</v>
      </c>
      <c r="F309" s="6" t="s">
        <v>78</v>
      </c>
      <c r="G309" s="6" t="s">
        <v>947</v>
      </c>
      <c r="H309" s="6" t="s">
        <v>101</v>
      </c>
      <c r="I309" s="6" t="s">
        <v>974</v>
      </c>
      <c r="K309" s="6" t="s">
        <v>674</v>
      </c>
      <c r="L309" s="6" t="s">
        <v>304</v>
      </c>
      <c r="M309" s="6" t="s">
        <v>373</v>
      </c>
    </row>
    <row r="310" ht="15.75" customHeight="1">
      <c r="A310" s="6" t="s">
        <v>745</v>
      </c>
      <c r="B310" s="6" t="s">
        <v>1077</v>
      </c>
      <c r="C310" s="6" t="s">
        <v>837</v>
      </c>
      <c r="D310" s="6" t="s">
        <v>429</v>
      </c>
      <c r="E310" s="6" t="s">
        <v>556</v>
      </c>
      <c r="F310" s="6" t="s">
        <v>98</v>
      </c>
      <c r="G310" s="6" t="s">
        <v>956</v>
      </c>
      <c r="H310" s="6" t="s">
        <v>130</v>
      </c>
      <c r="I310" s="6" t="s">
        <v>1081</v>
      </c>
      <c r="J310" s="6"/>
      <c r="K310" s="6"/>
      <c r="L310" s="6" t="s">
        <v>304</v>
      </c>
      <c r="M310" s="6" t="s">
        <v>59</v>
      </c>
      <c r="N310" s="6"/>
    </row>
    <row r="311" ht="15.75" customHeight="1">
      <c r="A311" s="6" t="s">
        <v>745</v>
      </c>
      <c r="B311" s="6" t="s">
        <v>748</v>
      </c>
      <c r="C311" s="6" t="s">
        <v>914</v>
      </c>
      <c r="D311" s="6" t="s">
        <v>429</v>
      </c>
      <c r="E311" s="6" t="s">
        <v>224</v>
      </c>
      <c r="F311" s="6" t="s">
        <v>255</v>
      </c>
      <c r="G311" s="6" t="s">
        <v>961</v>
      </c>
      <c r="H311" s="6" t="s">
        <v>101</v>
      </c>
      <c r="I311" s="6" t="s">
        <v>751</v>
      </c>
      <c r="J311" s="6"/>
      <c r="K311" s="6" t="s">
        <v>674</v>
      </c>
      <c r="L311" s="6" t="s">
        <v>304</v>
      </c>
      <c r="M311" s="6" t="s">
        <v>59</v>
      </c>
      <c r="N311" s="6"/>
    </row>
    <row r="312" ht="15.75" customHeight="1">
      <c r="A312" s="6" t="s">
        <v>745</v>
      </c>
      <c r="B312" s="6" t="s">
        <v>169</v>
      </c>
      <c r="C312" s="6" t="s">
        <v>1136</v>
      </c>
      <c r="D312" s="6" t="s">
        <v>429</v>
      </c>
      <c r="E312" s="6" t="s">
        <v>459</v>
      </c>
      <c r="F312" s="6" t="s">
        <v>172</v>
      </c>
      <c r="G312" s="6" t="s">
        <v>952</v>
      </c>
      <c r="H312" s="6" t="s">
        <v>26</v>
      </c>
      <c r="I312" s="6" t="s">
        <v>176</v>
      </c>
      <c r="J312" s="6"/>
      <c r="K312" s="6"/>
      <c r="L312" s="6" t="s">
        <v>304</v>
      </c>
      <c r="M312" s="6" t="s">
        <v>59</v>
      </c>
      <c r="N312" s="6"/>
    </row>
    <row r="313" ht="15.75" customHeight="1">
      <c r="A313" s="6" t="s">
        <v>745</v>
      </c>
      <c r="B313" s="6" t="s">
        <v>180</v>
      </c>
      <c r="C313" s="6" t="s">
        <v>1138</v>
      </c>
      <c r="D313" s="6" t="s">
        <v>429</v>
      </c>
      <c r="E313" s="6" t="s">
        <v>438</v>
      </c>
      <c r="F313" s="6" t="s">
        <v>181</v>
      </c>
      <c r="G313" s="6" t="s">
        <v>956</v>
      </c>
      <c r="H313" s="6" t="s">
        <v>70</v>
      </c>
      <c r="I313" s="6" t="s">
        <v>186</v>
      </c>
      <c r="J313" s="6"/>
      <c r="K313" s="6" t="s">
        <v>674</v>
      </c>
      <c r="L313" s="6" t="s">
        <v>304</v>
      </c>
      <c r="M313" s="6" t="s">
        <v>59</v>
      </c>
      <c r="N313" s="6"/>
    </row>
    <row r="314" ht="15.75" customHeight="1">
      <c r="A314" s="6" t="s">
        <v>745</v>
      </c>
      <c r="B314" s="6" t="s">
        <v>991</v>
      </c>
      <c r="C314" s="6" t="s">
        <v>684</v>
      </c>
      <c r="D314" s="6" t="s">
        <v>429</v>
      </c>
      <c r="E314" s="6" t="s">
        <v>946</v>
      </c>
      <c r="F314" s="6" t="s">
        <v>172</v>
      </c>
      <c r="G314" s="6" t="s">
        <v>952</v>
      </c>
      <c r="H314" s="6" t="s">
        <v>143</v>
      </c>
      <c r="I314" s="6" t="s">
        <v>993</v>
      </c>
      <c r="J314" s="6"/>
      <c r="K314" s="6" t="s">
        <v>674</v>
      </c>
      <c r="L314" s="6" t="s">
        <v>304</v>
      </c>
      <c r="M314" s="6" t="s">
        <v>59</v>
      </c>
      <c r="N314" s="6"/>
    </row>
    <row r="315" ht="15.75" customHeight="1">
      <c r="A315" s="6" t="s">
        <v>745</v>
      </c>
      <c r="B315" s="6" t="s">
        <v>1140</v>
      </c>
      <c r="C315" s="6" t="s">
        <v>1141</v>
      </c>
      <c r="D315" s="6" t="s">
        <v>429</v>
      </c>
      <c r="E315" s="6" t="s">
        <v>240</v>
      </c>
      <c r="F315" s="6" t="s">
        <v>257</v>
      </c>
      <c r="G315" s="6"/>
      <c r="H315" s="6" t="s">
        <v>156</v>
      </c>
      <c r="I315" s="6" t="s">
        <v>1142</v>
      </c>
      <c r="J315" s="6"/>
      <c r="K315" s="6"/>
      <c r="L315" s="6" t="s">
        <v>304</v>
      </c>
      <c r="M315" s="6" t="s">
        <v>59</v>
      </c>
      <c r="N315" s="6"/>
    </row>
    <row r="316" ht="15.75" customHeight="1">
      <c r="A316" s="6" t="s">
        <v>745</v>
      </c>
      <c r="B316" s="6" t="s">
        <v>1140</v>
      </c>
      <c r="C316" s="6" t="s">
        <v>1143</v>
      </c>
      <c r="D316" s="6" t="s">
        <v>429</v>
      </c>
      <c r="E316" s="6" t="s">
        <v>240</v>
      </c>
      <c r="F316" s="6" t="s">
        <v>241</v>
      </c>
      <c r="G316" s="6" t="s">
        <v>997</v>
      </c>
      <c r="H316" s="6" t="s">
        <v>156</v>
      </c>
      <c r="I316" s="6" t="s">
        <v>1142</v>
      </c>
      <c r="J316" s="6"/>
      <c r="K316" s="6"/>
      <c r="L316" s="6" t="s">
        <v>304</v>
      </c>
      <c r="M316" s="6" t="s">
        <v>59</v>
      </c>
      <c r="N316" s="6"/>
    </row>
    <row r="317" ht="15.75" customHeight="1">
      <c r="A317" s="6" t="s">
        <v>745</v>
      </c>
      <c r="B317" s="6" t="s">
        <v>1002</v>
      </c>
      <c r="C317" s="6" t="s">
        <v>1138</v>
      </c>
      <c r="D317" s="6" t="s">
        <v>429</v>
      </c>
      <c r="E317" s="6" t="s">
        <v>508</v>
      </c>
      <c r="F317" s="6" t="s">
        <v>24</v>
      </c>
      <c r="G317" s="6" t="s">
        <v>947</v>
      </c>
      <c r="H317" s="6" t="s">
        <v>101</v>
      </c>
      <c r="I317" s="6" t="s">
        <v>1003</v>
      </c>
      <c r="K317" s="6" t="s">
        <v>674</v>
      </c>
      <c r="L317" s="6" t="s">
        <v>304</v>
      </c>
      <c r="M317" s="6" t="s">
        <v>373</v>
      </c>
    </row>
    <row r="318" ht="15.75" customHeight="1">
      <c r="A318" s="6" t="s">
        <v>745</v>
      </c>
      <c r="B318" s="6" t="s">
        <v>1004</v>
      </c>
      <c r="C318" s="6" t="s">
        <v>781</v>
      </c>
      <c r="D318" s="6" t="s">
        <v>553</v>
      </c>
      <c r="E318" s="6" t="s">
        <v>459</v>
      </c>
      <c r="F318" s="6" t="s">
        <v>24</v>
      </c>
      <c r="G318" s="6" t="s">
        <v>947</v>
      </c>
      <c r="H318" s="6" t="s">
        <v>558</v>
      </c>
      <c r="I318" s="6" t="s">
        <v>1005</v>
      </c>
      <c r="K318" s="6" t="s">
        <v>753</v>
      </c>
      <c r="M318" s="6"/>
    </row>
    <row r="319" ht="15.75" customHeight="1">
      <c r="A319" s="6" t="s">
        <v>745</v>
      </c>
      <c r="B319" s="6" t="s">
        <v>264</v>
      </c>
      <c r="C319" s="6" t="s">
        <v>1138</v>
      </c>
      <c r="D319" s="6" t="s">
        <v>429</v>
      </c>
      <c r="E319" s="6" t="s">
        <v>438</v>
      </c>
      <c r="F319" s="6" t="s">
        <v>98</v>
      </c>
      <c r="G319" s="6" t="s">
        <v>956</v>
      </c>
      <c r="H319" s="6" t="s">
        <v>70</v>
      </c>
      <c r="I319" s="6" t="s">
        <v>268</v>
      </c>
      <c r="J319" s="6"/>
      <c r="K319" s="6" t="s">
        <v>674</v>
      </c>
      <c r="L319" s="6" t="s">
        <v>304</v>
      </c>
      <c r="M319" s="6" t="s">
        <v>59</v>
      </c>
      <c r="N319" s="6"/>
    </row>
    <row r="320" ht="15.75" customHeight="1">
      <c r="A320" s="6" t="s">
        <v>745</v>
      </c>
      <c r="B320" s="6" t="s">
        <v>1012</v>
      </c>
      <c r="C320" s="6" t="s">
        <v>1126</v>
      </c>
      <c r="D320" s="6" t="s">
        <v>429</v>
      </c>
      <c r="E320" s="6" t="s">
        <v>240</v>
      </c>
      <c r="F320" s="6" t="s">
        <v>241</v>
      </c>
      <c r="G320" s="6" t="s">
        <v>980</v>
      </c>
      <c r="H320" s="6" t="s">
        <v>101</v>
      </c>
      <c r="I320" s="6" t="s">
        <v>1015</v>
      </c>
      <c r="J320" s="6"/>
      <c r="K320" s="6" t="s">
        <v>674</v>
      </c>
      <c r="L320" s="6" t="s">
        <v>304</v>
      </c>
      <c r="M320" s="6" t="s">
        <v>59</v>
      </c>
      <c r="N320" s="6"/>
    </row>
    <row r="321" ht="15.75" customHeight="1">
      <c r="A321" s="6" t="s">
        <v>745</v>
      </c>
      <c r="B321" s="6" t="s">
        <v>1012</v>
      </c>
      <c r="C321" s="6" t="s">
        <v>1126</v>
      </c>
      <c r="D321" s="6" t="s">
        <v>429</v>
      </c>
      <c r="E321" s="6" t="s">
        <v>240</v>
      </c>
      <c r="F321" s="6" t="s">
        <v>257</v>
      </c>
      <c r="G321" s="6" t="s">
        <v>1018</v>
      </c>
      <c r="H321" s="6" t="s">
        <v>70</v>
      </c>
      <c r="I321" s="6" t="s">
        <v>1015</v>
      </c>
      <c r="J321" s="6"/>
      <c r="K321" s="6" t="s">
        <v>674</v>
      </c>
      <c r="L321" s="6" t="s">
        <v>304</v>
      </c>
      <c r="M321" s="6" t="s">
        <v>59</v>
      </c>
      <c r="N321" s="6"/>
    </row>
    <row r="322" ht="15.75" customHeight="1">
      <c r="A322" s="6" t="s">
        <v>745</v>
      </c>
      <c r="B322" s="6" t="s">
        <v>1021</v>
      </c>
      <c r="C322" s="6" t="s">
        <v>825</v>
      </c>
      <c r="D322" s="6" t="s">
        <v>429</v>
      </c>
      <c r="E322" s="6" t="s">
        <v>541</v>
      </c>
      <c r="F322" s="6" t="s">
        <v>24</v>
      </c>
      <c r="G322" s="6" t="s">
        <v>947</v>
      </c>
      <c r="H322" s="6" t="s">
        <v>55</v>
      </c>
      <c r="I322" s="6"/>
      <c r="J322" s="6"/>
      <c r="K322" s="6"/>
      <c r="L322" s="6" t="s">
        <v>304</v>
      </c>
      <c r="M322" s="6" t="s">
        <v>59</v>
      </c>
      <c r="N322" s="6"/>
    </row>
    <row r="323" ht="15.75" customHeight="1">
      <c r="A323" s="6" t="s">
        <v>745</v>
      </c>
      <c r="B323" s="6" t="s">
        <v>1027</v>
      </c>
      <c r="C323" s="6" t="s">
        <v>840</v>
      </c>
      <c r="D323" s="6" t="s">
        <v>429</v>
      </c>
      <c r="E323" s="6" t="s">
        <v>224</v>
      </c>
      <c r="F323" s="6" t="s">
        <v>138</v>
      </c>
      <c r="G323" s="6" t="s">
        <v>961</v>
      </c>
      <c r="H323" s="6" t="s">
        <v>308</v>
      </c>
      <c r="I323" s="6" t="s">
        <v>1028</v>
      </c>
      <c r="J323" s="6"/>
      <c r="K323" s="6"/>
      <c r="L323" s="6" t="s">
        <v>304</v>
      </c>
      <c r="M323" s="6" t="s">
        <v>59</v>
      </c>
      <c r="N323" s="6"/>
    </row>
    <row r="324" ht="15.75" customHeight="1">
      <c r="A324" s="6" t="s">
        <v>745</v>
      </c>
      <c r="B324" s="6" t="s">
        <v>288</v>
      </c>
      <c r="C324" s="6" t="s">
        <v>870</v>
      </c>
      <c r="D324" s="6" t="s">
        <v>429</v>
      </c>
      <c r="E324" s="6" t="s">
        <v>459</v>
      </c>
      <c r="F324" s="6" t="s">
        <v>24</v>
      </c>
      <c r="G324" s="6" t="s">
        <v>947</v>
      </c>
      <c r="H324" s="6" t="s">
        <v>38</v>
      </c>
      <c r="I324" s="6" t="s">
        <v>291</v>
      </c>
      <c r="J324" s="6"/>
      <c r="K324" s="6" t="s">
        <v>674</v>
      </c>
      <c r="L324" s="6" t="s">
        <v>304</v>
      </c>
      <c r="M324" s="6" t="s">
        <v>59</v>
      </c>
      <c r="N324" s="6"/>
    </row>
    <row r="325" ht="15.75" customHeight="1">
      <c r="A325" s="6" t="s">
        <v>745</v>
      </c>
      <c r="B325" s="6" t="s">
        <v>1030</v>
      </c>
      <c r="C325" s="6" t="s">
        <v>700</v>
      </c>
      <c r="D325" s="6" t="s">
        <v>429</v>
      </c>
      <c r="E325" s="6" t="s">
        <v>438</v>
      </c>
      <c r="F325" s="6" t="s">
        <v>98</v>
      </c>
      <c r="G325" s="6" t="s">
        <v>956</v>
      </c>
      <c r="H325" s="6" t="s">
        <v>66</v>
      </c>
      <c r="I325" s="6" t="s">
        <v>1032</v>
      </c>
      <c r="J325" s="6"/>
      <c r="K325" s="6"/>
      <c r="L325" s="6" t="s">
        <v>304</v>
      </c>
      <c r="M325" s="6" t="s">
        <v>59</v>
      </c>
      <c r="N325" s="6"/>
    </row>
    <row r="326" ht="15.75" customHeight="1">
      <c r="A326" s="6" t="s">
        <v>745</v>
      </c>
      <c r="B326" s="6" t="s">
        <v>295</v>
      </c>
      <c r="C326" s="6" t="s">
        <v>848</v>
      </c>
      <c r="D326" s="6" t="s">
        <v>429</v>
      </c>
      <c r="E326" s="6" t="s">
        <v>438</v>
      </c>
      <c r="F326" s="6" t="s">
        <v>181</v>
      </c>
      <c r="G326" s="6" t="s">
        <v>956</v>
      </c>
      <c r="H326" s="6" t="s">
        <v>26</v>
      </c>
      <c r="I326" s="6" t="s">
        <v>300</v>
      </c>
      <c r="J326" s="6"/>
      <c r="K326" s="6"/>
      <c r="L326" s="6" t="s">
        <v>304</v>
      </c>
      <c r="M326" s="6" t="s">
        <v>59</v>
      </c>
      <c r="N326" s="6"/>
    </row>
    <row r="327" ht="15.75" customHeight="1">
      <c r="A327" s="6" t="s">
        <v>745</v>
      </c>
      <c r="B327" s="6" t="s">
        <v>303</v>
      </c>
      <c r="C327" s="6" t="s">
        <v>781</v>
      </c>
      <c r="D327" s="6" t="s">
        <v>429</v>
      </c>
      <c r="E327" s="6" t="s">
        <v>438</v>
      </c>
      <c r="F327" s="6" t="s">
        <v>181</v>
      </c>
      <c r="G327" s="6" t="s">
        <v>956</v>
      </c>
      <c r="H327" s="6" t="s">
        <v>341</v>
      </c>
      <c r="I327" s="6" t="s">
        <v>310</v>
      </c>
      <c r="J327" s="6"/>
      <c r="K327" s="6"/>
      <c r="L327" s="6" t="s">
        <v>304</v>
      </c>
      <c r="M327" s="6" t="s">
        <v>59</v>
      </c>
      <c r="N327" s="6"/>
    </row>
    <row r="328" ht="15.75" customHeight="1">
      <c r="A328" s="6" t="s">
        <v>745</v>
      </c>
      <c r="B328" s="6" t="s">
        <v>316</v>
      </c>
      <c r="C328" s="6" t="s">
        <v>684</v>
      </c>
      <c r="D328" s="6" t="s">
        <v>429</v>
      </c>
      <c r="E328" s="6" t="s">
        <v>541</v>
      </c>
      <c r="F328" s="6" t="s">
        <v>24</v>
      </c>
      <c r="G328" s="6" t="s">
        <v>947</v>
      </c>
      <c r="H328" s="6" t="s">
        <v>38</v>
      </c>
      <c r="I328" s="6" t="s">
        <v>320</v>
      </c>
      <c r="J328" s="6"/>
      <c r="K328" s="6" t="s">
        <v>674</v>
      </c>
      <c r="L328" s="6" t="s">
        <v>304</v>
      </c>
      <c r="M328" s="6" t="s">
        <v>59</v>
      </c>
      <c r="N328" s="6"/>
    </row>
    <row r="329" ht="15.75" customHeight="1">
      <c r="A329" s="6" t="s">
        <v>745</v>
      </c>
      <c r="B329" s="6" t="s">
        <v>323</v>
      </c>
      <c r="C329" s="6" t="s">
        <v>764</v>
      </c>
      <c r="D329" s="6" t="s">
        <v>429</v>
      </c>
      <c r="E329" s="6" t="s">
        <v>541</v>
      </c>
      <c r="F329" s="6" t="s">
        <v>24</v>
      </c>
      <c r="G329" s="6" t="s">
        <v>947</v>
      </c>
      <c r="H329" s="6" t="s">
        <v>49</v>
      </c>
      <c r="I329" s="6" t="s">
        <v>326</v>
      </c>
      <c r="J329" s="6"/>
      <c r="K329" s="6"/>
      <c r="L329" s="6" t="s">
        <v>304</v>
      </c>
      <c r="M329" s="6" t="s">
        <v>59</v>
      </c>
      <c r="N329" s="6"/>
    </row>
    <row r="330" ht="15.75" customHeight="1">
      <c r="A330" s="6" t="s">
        <v>745</v>
      </c>
      <c r="B330" s="6" t="s">
        <v>323</v>
      </c>
      <c r="C330" s="6" t="s">
        <v>672</v>
      </c>
      <c r="D330" s="6" t="s">
        <v>429</v>
      </c>
      <c r="E330" s="6" t="s">
        <v>438</v>
      </c>
      <c r="F330" s="6" t="s">
        <v>98</v>
      </c>
      <c r="G330" s="6" t="s">
        <v>956</v>
      </c>
      <c r="H330" s="6" t="s">
        <v>156</v>
      </c>
      <c r="I330" s="6" t="s">
        <v>326</v>
      </c>
      <c r="J330" s="6"/>
      <c r="K330" s="6"/>
      <c r="L330" s="6" t="s">
        <v>304</v>
      </c>
      <c r="M330" s="6" t="s">
        <v>59</v>
      </c>
      <c r="N330" s="6"/>
    </row>
    <row r="331" ht="15.75" customHeight="1">
      <c r="A331" s="6" t="s">
        <v>745</v>
      </c>
      <c r="B331" s="6" t="s">
        <v>1038</v>
      </c>
      <c r="C331" s="6" t="s">
        <v>840</v>
      </c>
      <c r="D331" s="6" t="s">
        <v>429</v>
      </c>
      <c r="E331" s="6" t="s">
        <v>430</v>
      </c>
      <c r="F331" s="6" t="s">
        <v>24</v>
      </c>
      <c r="G331" s="6" t="s">
        <v>947</v>
      </c>
      <c r="H331" s="6" t="s">
        <v>969</v>
      </c>
      <c r="I331" s="6" t="s">
        <v>344</v>
      </c>
      <c r="J331" s="6"/>
      <c r="K331" s="6"/>
      <c r="L331" s="6" t="s">
        <v>304</v>
      </c>
      <c r="M331" s="6" t="s">
        <v>59</v>
      </c>
      <c r="N331" s="6"/>
    </row>
    <row r="332" ht="15.75" customHeight="1">
      <c r="A332" s="6" t="s">
        <v>745</v>
      </c>
      <c r="B332" s="6" t="s">
        <v>349</v>
      </c>
      <c r="C332" s="6" t="s">
        <v>1138</v>
      </c>
      <c r="D332" s="6" t="s">
        <v>429</v>
      </c>
      <c r="E332" s="6" t="s">
        <v>430</v>
      </c>
      <c r="F332" s="6" t="s">
        <v>24</v>
      </c>
      <c r="G332" s="6" t="s">
        <v>947</v>
      </c>
      <c r="H332" s="6" t="s">
        <v>70</v>
      </c>
      <c r="I332" s="6" t="s">
        <v>352</v>
      </c>
      <c r="J332" s="6"/>
      <c r="K332" s="6" t="s">
        <v>674</v>
      </c>
      <c r="L332" s="6" t="s">
        <v>304</v>
      </c>
      <c r="M332" s="6" t="s">
        <v>59</v>
      </c>
      <c r="N332" s="6"/>
    </row>
    <row r="333" ht="15.75" customHeight="1">
      <c r="A333" s="6" t="s">
        <v>745</v>
      </c>
      <c r="B333" s="6" t="s">
        <v>355</v>
      </c>
      <c r="C333" s="6" t="s">
        <v>750</v>
      </c>
      <c r="D333" s="6" t="s">
        <v>429</v>
      </c>
      <c r="E333" s="6" t="s">
        <v>430</v>
      </c>
      <c r="F333" s="6" t="s">
        <v>24</v>
      </c>
      <c r="G333" s="6" t="s">
        <v>947</v>
      </c>
      <c r="H333" s="6" t="s">
        <v>66</v>
      </c>
      <c r="I333" s="6" t="s">
        <v>359</v>
      </c>
      <c r="J333" s="6"/>
      <c r="K333" s="6"/>
      <c r="L333" s="6" t="s">
        <v>304</v>
      </c>
      <c r="M333" s="6" t="s">
        <v>59</v>
      </c>
      <c r="N333" s="6"/>
    </row>
    <row r="334" ht="15.75" customHeight="1">
      <c r="A334" s="6" t="s">
        <v>745</v>
      </c>
      <c r="B334" s="6" t="s">
        <v>395</v>
      </c>
      <c r="C334" s="6" t="s">
        <v>848</v>
      </c>
      <c r="D334" s="6" t="s">
        <v>429</v>
      </c>
      <c r="E334" s="6" t="s">
        <v>438</v>
      </c>
      <c r="F334" s="6" t="s">
        <v>181</v>
      </c>
      <c r="G334" s="6" t="s">
        <v>956</v>
      </c>
      <c r="H334" s="6" t="s">
        <v>156</v>
      </c>
      <c r="I334" s="6" t="s">
        <v>398</v>
      </c>
      <c r="J334" s="6"/>
      <c r="K334" s="6"/>
      <c r="L334" s="6" t="s">
        <v>304</v>
      </c>
      <c r="M334" s="6" t="s">
        <v>59</v>
      </c>
      <c r="N334" s="6"/>
    </row>
    <row r="335" ht="15.75" customHeight="1">
      <c r="A335" s="6" t="s">
        <v>745</v>
      </c>
      <c r="B335" s="6" t="s">
        <v>1051</v>
      </c>
      <c r="C335" s="6" t="s">
        <v>825</v>
      </c>
      <c r="D335" s="6" t="s">
        <v>429</v>
      </c>
      <c r="E335" s="6" t="s">
        <v>459</v>
      </c>
      <c r="F335" s="6" t="s">
        <v>24</v>
      </c>
      <c r="G335" s="6" t="s">
        <v>947</v>
      </c>
      <c r="H335" s="6" t="s">
        <v>66</v>
      </c>
      <c r="I335" s="6" t="s">
        <v>1052</v>
      </c>
      <c r="J335" s="6"/>
      <c r="K335" s="6"/>
      <c r="L335" s="6" t="s">
        <v>304</v>
      </c>
      <c r="M335" s="6" t="s">
        <v>30</v>
      </c>
      <c r="N335" s="6"/>
    </row>
    <row r="336" ht="15.75" customHeight="1">
      <c r="A336" s="6" t="s">
        <v>745</v>
      </c>
      <c r="B336" s="6" t="s">
        <v>660</v>
      </c>
      <c r="C336" s="6" t="s">
        <v>781</v>
      </c>
      <c r="D336" s="6" t="s">
        <v>429</v>
      </c>
      <c r="E336" s="6" t="s">
        <v>946</v>
      </c>
      <c r="F336" s="6" t="s">
        <v>67</v>
      </c>
      <c r="G336" s="6" t="s">
        <v>976</v>
      </c>
      <c r="H336" s="6" t="s">
        <v>55</v>
      </c>
      <c r="I336" s="6" t="s">
        <v>664</v>
      </c>
      <c r="J336" s="6"/>
      <c r="K336" s="6"/>
      <c r="L336" s="6" t="s">
        <v>304</v>
      </c>
      <c r="M336" s="6" t="s">
        <v>59</v>
      </c>
      <c r="N336" s="6"/>
    </row>
    <row r="337" ht="15.75" customHeight="1">
      <c r="A337" s="6" t="s">
        <v>745</v>
      </c>
      <c r="B337" s="6" t="s">
        <v>660</v>
      </c>
      <c r="C337" s="6" t="s">
        <v>764</v>
      </c>
      <c r="D337" s="6" t="s">
        <v>429</v>
      </c>
      <c r="E337" s="6" t="s">
        <v>946</v>
      </c>
      <c r="F337" s="6" t="s">
        <v>24</v>
      </c>
      <c r="G337" s="6" t="s">
        <v>947</v>
      </c>
      <c r="H337" s="6" t="s">
        <v>26</v>
      </c>
      <c r="I337" s="6" t="s">
        <v>664</v>
      </c>
      <c r="J337" s="6"/>
      <c r="K337" s="6"/>
      <c r="L337" s="6" t="s">
        <v>304</v>
      </c>
      <c r="M337" s="6" t="s">
        <v>59</v>
      </c>
      <c r="N337" s="6"/>
    </row>
    <row r="338" ht="15.75" customHeight="1">
      <c r="A338" s="6" t="s">
        <v>745</v>
      </c>
      <c r="B338" s="6" t="s">
        <v>666</v>
      </c>
      <c r="C338" s="6" t="s">
        <v>770</v>
      </c>
      <c r="D338" s="6" t="s">
        <v>429</v>
      </c>
      <c r="E338" s="6" t="s">
        <v>438</v>
      </c>
      <c r="F338" s="6" t="s">
        <v>113</v>
      </c>
      <c r="G338" s="6" t="s">
        <v>956</v>
      </c>
      <c r="H338" s="6" t="s">
        <v>26</v>
      </c>
      <c r="I338" s="6" t="s">
        <v>668</v>
      </c>
      <c r="J338" s="6"/>
      <c r="K338" s="6"/>
      <c r="L338" s="6" t="s">
        <v>304</v>
      </c>
      <c r="M338" s="6" t="s">
        <v>59</v>
      </c>
      <c r="N338" s="6"/>
    </row>
    <row r="339" ht="15.75" customHeight="1">
      <c r="A339" s="6" t="s">
        <v>745</v>
      </c>
      <c r="B339" s="6" t="s">
        <v>1064</v>
      </c>
      <c r="C339" s="6" t="s">
        <v>837</v>
      </c>
      <c r="D339" s="6" t="s">
        <v>429</v>
      </c>
      <c r="E339" s="6" t="s">
        <v>556</v>
      </c>
      <c r="F339" s="6" t="s">
        <v>98</v>
      </c>
      <c r="G339" s="6" t="s">
        <v>956</v>
      </c>
      <c r="H339" s="6" t="s">
        <v>55</v>
      </c>
      <c r="I339" s="6" t="s">
        <v>1066</v>
      </c>
      <c r="J339" s="6"/>
      <c r="K339" s="6"/>
      <c r="L339" s="6" t="s">
        <v>304</v>
      </c>
      <c r="M339" s="6" t="s">
        <v>59</v>
      </c>
      <c r="N339" s="6"/>
    </row>
    <row r="340" ht="15.75" customHeight="1">
      <c r="A340" s="6" t="s">
        <v>745</v>
      </c>
      <c r="B340" s="6" t="s">
        <v>1064</v>
      </c>
      <c r="C340" s="6" t="s">
        <v>1166</v>
      </c>
      <c r="D340" s="6" t="s">
        <v>429</v>
      </c>
      <c r="E340" s="6" t="s">
        <v>541</v>
      </c>
      <c r="F340" s="6" t="s">
        <v>24</v>
      </c>
      <c r="G340" s="6" t="s">
        <v>947</v>
      </c>
      <c r="H340" s="6" t="s">
        <v>130</v>
      </c>
      <c r="I340" s="6" t="s">
        <v>1066</v>
      </c>
      <c r="J340" s="6" t="s">
        <v>1134</v>
      </c>
      <c r="K340" s="6"/>
      <c r="L340" s="6" t="s">
        <v>304</v>
      </c>
      <c r="M340" s="6" t="s">
        <v>59</v>
      </c>
      <c r="N340" s="6"/>
    </row>
    <row r="341" ht="15.75" customHeight="1">
      <c r="A341" s="6" t="s">
        <v>745</v>
      </c>
      <c r="B341" s="6" t="s">
        <v>425</v>
      </c>
      <c r="C341" s="6" t="s">
        <v>848</v>
      </c>
      <c r="D341" s="6" t="s">
        <v>429</v>
      </c>
      <c r="E341" s="6" t="s">
        <v>438</v>
      </c>
      <c r="F341" s="6" t="s">
        <v>98</v>
      </c>
      <c r="G341" s="6" t="s">
        <v>956</v>
      </c>
      <c r="H341" s="6" t="s">
        <v>105</v>
      </c>
      <c r="I341" s="6" t="s">
        <v>427</v>
      </c>
      <c r="J341" s="6"/>
      <c r="K341" s="6" t="s">
        <v>724</v>
      </c>
      <c r="L341" s="6" t="s">
        <v>304</v>
      </c>
      <c r="M341" s="6" t="s">
        <v>59</v>
      </c>
      <c r="N341" s="6"/>
    </row>
    <row r="342" ht="15.75" customHeight="1"/>
    <row r="343" ht="15.75" customHeight="1">
      <c r="A343" s="16" t="s">
        <v>809</v>
      </c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ht="15.75" customHeight="1">
      <c r="A344" s="17" t="s">
        <v>1169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 ht="15.75" customHeight="1">
      <c r="A345" s="18" t="s">
        <v>4</v>
      </c>
      <c r="B345" s="18" t="s">
        <v>6</v>
      </c>
      <c r="C345" s="18" t="s">
        <v>7</v>
      </c>
      <c r="D345" s="18" t="s">
        <v>8</v>
      </c>
      <c r="E345" s="18" t="s">
        <v>9</v>
      </c>
      <c r="F345" s="18" t="s">
        <v>10</v>
      </c>
      <c r="G345" s="18" t="s">
        <v>11</v>
      </c>
      <c r="H345" s="18" t="s">
        <v>12</v>
      </c>
      <c r="I345" s="18" t="s">
        <v>13</v>
      </c>
      <c r="J345" s="18" t="s">
        <v>14</v>
      </c>
      <c r="K345" s="18" t="s">
        <v>15</v>
      </c>
      <c r="L345" s="18" t="s">
        <v>16</v>
      </c>
      <c r="M345" s="18" t="s">
        <v>17</v>
      </c>
      <c r="N345" s="18" t="s">
        <v>18</v>
      </c>
    </row>
    <row r="346" ht="15.75" customHeight="1">
      <c r="A346" s="6" t="s">
        <v>818</v>
      </c>
      <c r="B346" s="6" t="s">
        <v>697</v>
      </c>
      <c r="C346" s="6" t="s">
        <v>825</v>
      </c>
      <c r="D346" s="6" t="s">
        <v>30</v>
      </c>
      <c r="E346" s="6" t="s">
        <v>459</v>
      </c>
      <c r="F346" s="6" t="s">
        <v>24</v>
      </c>
      <c r="G346" s="6" t="s">
        <v>947</v>
      </c>
      <c r="H346" s="6" t="s">
        <v>156</v>
      </c>
      <c r="I346" s="6" t="s">
        <v>699</v>
      </c>
      <c r="J346" s="6"/>
      <c r="K346" s="6"/>
      <c r="L346" s="6" t="s">
        <v>29</v>
      </c>
      <c r="M346" s="6" t="s">
        <v>59</v>
      </c>
      <c r="N346" s="6"/>
    </row>
    <row r="347" ht="15.75" customHeight="1">
      <c r="A347" s="6" t="s">
        <v>818</v>
      </c>
      <c r="B347" s="6" t="s">
        <v>701</v>
      </c>
      <c r="C347" s="6" t="s">
        <v>705</v>
      </c>
      <c r="D347" s="6" t="s">
        <v>429</v>
      </c>
      <c r="E347" s="6" t="s">
        <v>224</v>
      </c>
      <c r="F347" s="6" t="s">
        <v>255</v>
      </c>
      <c r="G347" s="6" t="s">
        <v>1170</v>
      </c>
      <c r="H347" s="6" t="s">
        <v>807</v>
      </c>
      <c r="I347" s="6" t="s">
        <v>706</v>
      </c>
      <c r="J347" s="6"/>
      <c r="K347" s="6"/>
      <c r="L347" s="6" t="s">
        <v>304</v>
      </c>
      <c r="M347" s="6" t="s">
        <v>59</v>
      </c>
      <c r="N347" s="6"/>
    </row>
    <row r="348" ht="15.75" customHeight="1">
      <c r="A348" s="6" t="s">
        <v>818</v>
      </c>
      <c r="B348" s="6" t="s">
        <v>447</v>
      </c>
      <c r="C348" s="6" t="s">
        <v>825</v>
      </c>
      <c r="D348" s="6" t="s">
        <v>30</v>
      </c>
      <c r="E348" s="6" t="s">
        <v>592</v>
      </c>
      <c r="F348" s="6" t="s">
        <v>24</v>
      </c>
      <c r="G348" s="6" t="s">
        <v>947</v>
      </c>
      <c r="H348" s="6" t="s">
        <v>26</v>
      </c>
      <c r="I348" s="6" t="s">
        <v>451</v>
      </c>
      <c r="J348" s="6"/>
      <c r="K348" s="6"/>
      <c r="L348" s="6" t="s">
        <v>29</v>
      </c>
      <c r="M348" s="6" t="s">
        <v>59</v>
      </c>
      <c r="N348" s="6"/>
    </row>
    <row r="349" ht="15.75" customHeight="1">
      <c r="A349" s="6" t="s">
        <v>818</v>
      </c>
      <c r="B349" s="6" t="s">
        <v>725</v>
      </c>
      <c r="C349" s="6" t="s">
        <v>1171</v>
      </c>
      <c r="D349" s="6" t="s">
        <v>429</v>
      </c>
      <c r="E349" s="6" t="s">
        <v>524</v>
      </c>
      <c r="F349" s="6" t="s">
        <v>78</v>
      </c>
      <c r="G349" s="6" t="s">
        <v>947</v>
      </c>
      <c r="H349" s="6" t="s">
        <v>55</v>
      </c>
      <c r="I349" s="6" t="s">
        <v>728</v>
      </c>
      <c r="L349" s="6" t="s">
        <v>304</v>
      </c>
      <c r="M349" s="6" t="s">
        <v>373</v>
      </c>
    </row>
    <row r="350" ht="15.75" customHeight="1">
      <c r="A350" s="6" t="s">
        <v>818</v>
      </c>
      <c r="B350" s="6" t="s">
        <v>460</v>
      </c>
      <c r="C350" s="6" t="s">
        <v>870</v>
      </c>
      <c r="D350" s="6" t="s">
        <v>429</v>
      </c>
      <c r="E350" s="6" t="s">
        <v>430</v>
      </c>
      <c r="F350" s="6" t="s">
        <v>24</v>
      </c>
      <c r="G350" s="6" t="s">
        <v>947</v>
      </c>
      <c r="H350" s="6" t="s">
        <v>101</v>
      </c>
      <c r="I350" s="6" t="s">
        <v>463</v>
      </c>
      <c r="J350" s="6"/>
      <c r="K350" s="6" t="s">
        <v>820</v>
      </c>
      <c r="L350" s="6" t="s">
        <v>304</v>
      </c>
      <c r="M350" s="6" t="s">
        <v>59</v>
      </c>
      <c r="N350" s="6"/>
    </row>
    <row r="351" ht="15.75" customHeight="1">
      <c r="A351" s="6" t="s">
        <v>818</v>
      </c>
      <c r="B351" s="6" t="s">
        <v>1072</v>
      </c>
      <c r="C351" s="6" t="s">
        <v>690</v>
      </c>
      <c r="D351" s="6" t="s">
        <v>429</v>
      </c>
      <c r="E351" s="6" t="s">
        <v>224</v>
      </c>
      <c r="F351" s="6" t="s">
        <v>255</v>
      </c>
      <c r="G351" s="6" t="s">
        <v>961</v>
      </c>
      <c r="H351" s="6" t="s">
        <v>55</v>
      </c>
      <c r="I351" s="6" t="s">
        <v>1073</v>
      </c>
      <c r="J351" s="6"/>
      <c r="K351" s="6"/>
      <c r="L351" s="6" t="s">
        <v>304</v>
      </c>
      <c r="M351" s="6" t="s">
        <v>59</v>
      </c>
      <c r="N351" s="6"/>
    </row>
    <row r="352" ht="15.75" customHeight="1">
      <c r="A352" s="6" t="s">
        <v>818</v>
      </c>
      <c r="B352" s="6" t="s">
        <v>468</v>
      </c>
      <c r="C352" s="6" t="s">
        <v>690</v>
      </c>
      <c r="D352" s="6" t="s">
        <v>429</v>
      </c>
      <c r="E352" s="6" t="s">
        <v>524</v>
      </c>
      <c r="F352" s="6" t="s">
        <v>24</v>
      </c>
      <c r="G352" s="6" t="s">
        <v>947</v>
      </c>
      <c r="H352" s="6" t="s">
        <v>101</v>
      </c>
      <c r="I352" s="6" t="s">
        <v>474</v>
      </c>
      <c r="K352" s="6" t="s">
        <v>820</v>
      </c>
      <c r="L352" s="6" t="s">
        <v>304</v>
      </c>
      <c r="M352" s="6" t="s">
        <v>373</v>
      </c>
    </row>
    <row r="353" ht="15.75" customHeight="1">
      <c r="A353" s="6" t="s">
        <v>818</v>
      </c>
      <c r="B353" s="6" t="s">
        <v>483</v>
      </c>
      <c r="C353" s="6" t="s">
        <v>764</v>
      </c>
      <c r="D353" s="6" t="s">
        <v>429</v>
      </c>
      <c r="E353" s="6" t="s">
        <v>592</v>
      </c>
      <c r="F353" s="6" t="s">
        <v>24</v>
      </c>
      <c r="G353" s="6" t="s">
        <v>947</v>
      </c>
      <c r="H353" s="6" t="s">
        <v>49</v>
      </c>
      <c r="I353" s="6" t="s">
        <v>488</v>
      </c>
      <c r="J353" s="6"/>
      <c r="K353" s="6"/>
      <c r="L353" s="6" t="s">
        <v>304</v>
      </c>
      <c r="M353" s="6" t="s">
        <v>59</v>
      </c>
      <c r="N353" s="6"/>
    </row>
    <row r="354" ht="15.75" customHeight="1">
      <c r="A354" s="6" t="s">
        <v>818</v>
      </c>
      <c r="B354" s="6" t="s">
        <v>1082</v>
      </c>
      <c r="C354" s="6" t="s">
        <v>870</v>
      </c>
      <c r="D354" s="6" t="s">
        <v>429</v>
      </c>
      <c r="E354" s="6" t="s">
        <v>714</v>
      </c>
      <c r="F354" s="6" t="s">
        <v>98</v>
      </c>
      <c r="G354" s="6" t="s">
        <v>956</v>
      </c>
      <c r="H354" s="6" t="s">
        <v>55</v>
      </c>
      <c r="I354" s="6" t="s">
        <v>1083</v>
      </c>
      <c r="J354" s="6"/>
      <c r="K354" s="6"/>
      <c r="L354" s="6" t="s">
        <v>304</v>
      </c>
      <c r="M354" s="6" t="s">
        <v>59</v>
      </c>
      <c r="N354" s="6"/>
    </row>
    <row r="355" ht="15.75" customHeight="1">
      <c r="A355" s="6" t="s">
        <v>818</v>
      </c>
      <c r="B355" s="6" t="s">
        <v>494</v>
      </c>
      <c r="C355" s="6" t="s">
        <v>1137</v>
      </c>
      <c r="D355" s="6" t="s">
        <v>429</v>
      </c>
      <c r="E355" s="6" t="s">
        <v>430</v>
      </c>
      <c r="F355" s="6" t="s">
        <v>24</v>
      </c>
      <c r="G355" s="6" t="s">
        <v>947</v>
      </c>
      <c r="H355" s="6" t="s">
        <v>66</v>
      </c>
      <c r="I355" s="6" t="s">
        <v>498</v>
      </c>
      <c r="J355" s="6"/>
      <c r="K355" s="6"/>
      <c r="L355" s="6" t="s">
        <v>304</v>
      </c>
      <c r="M355" s="6" t="s">
        <v>59</v>
      </c>
      <c r="N355" s="6"/>
    </row>
    <row r="356" ht="15.75" customHeight="1">
      <c r="A356" s="6" t="s">
        <v>818</v>
      </c>
      <c r="B356" s="6" t="s">
        <v>795</v>
      </c>
      <c r="C356" s="6" t="s">
        <v>747</v>
      </c>
      <c r="D356" s="6" t="s">
        <v>429</v>
      </c>
      <c r="E356" s="6" t="s">
        <v>438</v>
      </c>
      <c r="F356" s="6" t="s">
        <v>113</v>
      </c>
      <c r="G356" s="6" t="s">
        <v>956</v>
      </c>
      <c r="H356" s="6" t="s">
        <v>38</v>
      </c>
      <c r="I356" s="6" t="s">
        <v>803</v>
      </c>
      <c r="J356" s="6" t="s">
        <v>804</v>
      </c>
      <c r="K356" s="6" t="s">
        <v>820</v>
      </c>
      <c r="L356" s="6" t="s">
        <v>304</v>
      </c>
      <c r="M356" s="6" t="s">
        <v>59</v>
      </c>
      <c r="N356" s="6"/>
    </row>
    <row r="357" ht="15.75" customHeight="1">
      <c r="A357" s="6" t="s">
        <v>818</v>
      </c>
      <c r="B357" s="6" t="s">
        <v>816</v>
      </c>
      <c r="C357" s="6" t="s">
        <v>914</v>
      </c>
      <c r="D357" s="6" t="s">
        <v>429</v>
      </c>
      <c r="E357" s="6" t="s">
        <v>592</v>
      </c>
      <c r="F357" s="6" t="s">
        <v>24</v>
      </c>
      <c r="G357" s="6" t="s">
        <v>947</v>
      </c>
      <c r="H357" s="6" t="s">
        <v>1039</v>
      </c>
      <c r="I357" s="6" t="s">
        <v>819</v>
      </c>
      <c r="L357" s="6" t="s">
        <v>304</v>
      </c>
      <c r="M357" s="6" t="s">
        <v>373</v>
      </c>
    </row>
    <row r="358" ht="15.75" customHeight="1">
      <c r="A358" s="6" t="s">
        <v>818</v>
      </c>
      <c r="B358" s="6" t="s">
        <v>1084</v>
      </c>
      <c r="C358" s="6" t="s">
        <v>672</v>
      </c>
      <c r="D358" s="6" t="s">
        <v>553</v>
      </c>
      <c r="E358" s="6" t="s">
        <v>282</v>
      </c>
      <c r="F358" s="6" t="s">
        <v>255</v>
      </c>
      <c r="G358" s="6" t="s">
        <v>961</v>
      </c>
      <c r="H358" s="6" t="s">
        <v>558</v>
      </c>
      <c r="I358" s="6" t="s">
        <v>1085</v>
      </c>
      <c r="K358" s="6" t="s">
        <v>824</v>
      </c>
      <c r="M358" s="6"/>
    </row>
    <row r="359" ht="15.75" customHeight="1">
      <c r="A359" s="6" t="s">
        <v>818</v>
      </c>
      <c r="B359" s="6" t="s">
        <v>830</v>
      </c>
      <c r="C359" s="6" t="s">
        <v>870</v>
      </c>
      <c r="D359" s="6" t="s">
        <v>429</v>
      </c>
      <c r="E359" s="6" t="s">
        <v>592</v>
      </c>
      <c r="F359" s="6" t="s">
        <v>24</v>
      </c>
      <c r="G359" s="6" t="s">
        <v>947</v>
      </c>
      <c r="H359" s="6" t="s">
        <v>156</v>
      </c>
      <c r="I359" s="6" t="s">
        <v>834</v>
      </c>
      <c r="J359" s="6"/>
      <c r="K359" s="6"/>
      <c r="L359" s="6" t="s">
        <v>304</v>
      </c>
      <c r="M359" s="6" t="s">
        <v>59</v>
      </c>
      <c r="N359" s="6"/>
    </row>
    <row r="360" ht="15.75" customHeight="1">
      <c r="A360" s="6" t="s">
        <v>818</v>
      </c>
      <c r="B360" s="6" t="s">
        <v>523</v>
      </c>
      <c r="C360" s="6" t="s">
        <v>670</v>
      </c>
      <c r="D360" s="6" t="s">
        <v>429</v>
      </c>
      <c r="E360" s="6" t="s">
        <v>714</v>
      </c>
      <c r="F360" s="6" t="s">
        <v>181</v>
      </c>
      <c r="G360" s="6" t="s">
        <v>956</v>
      </c>
      <c r="H360" s="6" t="s">
        <v>70</v>
      </c>
      <c r="I360" s="6" t="s">
        <v>530</v>
      </c>
      <c r="J360" s="6"/>
      <c r="K360" s="6" t="s">
        <v>820</v>
      </c>
      <c r="L360" s="6" t="s">
        <v>304</v>
      </c>
      <c r="M360" s="6" t="s">
        <v>59</v>
      </c>
      <c r="N360" s="6"/>
    </row>
    <row r="361" ht="15.75" customHeight="1">
      <c r="A361" s="6" t="s">
        <v>818</v>
      </c>
      <c r="B361" s="6" t="s">
        <v>533</v>
      </c>
      <c r="C361" s="6" t="s">
        <v>764</v>
      </c>
      <c r="D361" s="6" t="s">
        <v>429</v>
      </c>
      <c r="E361" s="6" t="s">
        <v>430</v>
      </c>
      <c r="F361" s="6" t="s">
        <v>78</v>
      </c>
      <c r="G361" s="6" t="s">
        <v>947</v>
      </c>
      <c r="H361" s="6" t="s">
        <v>156</v>
      </c>
      <c r="I361" s="6" t="s">
        <v>538</v>
      </c>
      <c r="J361" s="6"/>
      <c r="K361" s="6"/>
      <c r="L361" s="6" t="s">
        <v>304</v>
      </c>
      <c r="M361" s="6" t="s">
        <v>59</v>
      </c>
      <c r="N361" s="6"/>
    </row>
    <row r="362" ht="15.75" customHeight="1">
      <c r="A362" s="6" t="s">
        <v>818</v>
      </c>
      <c r="B362" s="6" t="s">
        <v>1087</v>
      </c>
      <c r="C362" s="6" t="s">
        <v>690</v>
      </c>
      <c r="D362" s="6" t="s">
        <v>429</v>
      </c>
      <c r="E362" s="6" t="s">
        <v>438</v>
      </c>
      <c r="F362" s="6" t="s">
        <v>98</v>
      </c>
      <c r="G362" s="6" t="s">
        <v>956</v>
      </c>
      <c r="H362" s="6" t="s">
        <v>101</v>
      </c>
      <c r="I362" s="6" t="s">
        <v>1088</v>
      </c>
      <c r="J362" s="6"/>
      <c r="K362" s="6" t="s">
        <v>820</v>
      </c>
      <c r="L362" s="6" t="s">
        <v>304</v>
      </c>
      <c r="M362" s="6" t="s">
        <v>59</v>
      </c>
      <c r="N362" s="6"/>
    </row>
    <row r="363" ht="15.75" customHeight="1">
      <c r="A363" s="6" t="s">
        <v>818</v>
      </c>
      <c r="B363" s="6" t="s">
        <v>856</v>
      </c>
      <c r="C363" s="6" t="s">
        <v>672</v>
      </c>
      <c r="D363" s="6" t="s">
        <v>429</v>
      </c>
      <c r="E363" s="6" t="s">
        <v>714</v>
      </c>
      <c r="F363" s="6" t="s">
        <v>181</v>
      </c>
      <c r="G363" s="6" t="s">
        <v>956</v>
      </c>
      <c r="H363" s="6" t="s">
        <v>933</v>
      </c>
      <c r="I363" s="6" t="s">
        <v>861</v>
      </c>
      <c r="J363" s="6"/>
      <c r="K363" s="6"/>
      <c r="L363" s="6" t="s">
        <v>304</v>
      </c>
      <c r="M363" s="6" t="s">
        <v>59</v>
      </c>
      <c r="N363" s="6"/>
    </row>
    <row r="364" ht="15.75" customHeight="1">
      <c r="A364" s="6" t="s">
        <v>818</v>
      </c>
      <c r="B364" s="6" t="s">
        <v>542</v>
      </c>
      <c r="C364" s="6" t="s">
        <v>764</v>
      </c>
      <c r="D364" s="6" t="s">
        <v>429</v>
      </c>
      <c r="E364" s="6" t="s">
        <v>714</v>
      </c>
      <c r="F364" s="6" t="s">
        <v>98</v>
      </c>
      <c r="G364" s="6" t="s">
        <v>956</v>
      </c>
      <c r="H364" s="6" t="s">
        <v>55</v>
      </c>
      <c r="I364" s="6" t="s">
        <v>547</v>
      </c>
      <c r="J364" s="6"/>
      <c r="K364" s="6"/>
      <c r="L364" s="6" t="s">
        <v>304</v>
      </c>
      <c r="M364" s="6" t="s">
        <v>59</v>
      </c>
      <c r="N364" s="6"/>
    </row>
    <row r="365" ht="15.75" customHeight="1">
      <c r="A365" s="6" t="s">
        <v>818</v>
      </c>
      <c r="B365" s="6" t="s">
        <v>1090</v>
      </c>
      <c r="C365" s="6" t="s">
        <v>679</v>
      </c>
      <c r="D365" s="6" t="s">
        <v>553</v>
      </c>
      <c r="E365" s="6" t="s">
        <v>714</v>
      </c>
      <c r="F365" s="6" t="s">
        <v>98</v>
      </c>
      <c r="G365" s="6" t="s">
        <v>956</v>
      </c>
      <c r="H365" s="6" t="s">
        <v>558</v>
      </c>
      <c r="I365" s="6" t="s">
        <v>557</v>
      </c>
      <c r="K365" s="6" t="s">
        <v>824</v>
      </c>
      <c r="M365" s="6"/>
    </row>
    <row r="366" ht="15.75" customHeight="1">
      <c r="A366" s="6" t="s">
        <v>818</v>
      </c>
      <c r="B366" s="6" t="s">
        <v>1091</v>
      </c>
      <c r="C366" s="6" t="s">
        <v>914</v>
      </c>
      <c r="D366" s="6" t="s">
        <v>429</v>
      </c>
      <c r="E366" s="6" t="s">
        <v>224</v>
      </c>
      <c r="F366" s="6" t="s">
        <v>255</v>
      </c>
      <c r="G366" s="6" t="s">
        <v>961</v>
      </c>
      <c r="H366" s="6" t="s">
        <v>130</v>
      </c>
      <c r="I366" s="6" t="s">
        <v>1092</v>
      </c>
      <c r="J366" s="6"/>
      <c r="K366" s="6"/>
      <c r="L366" s="6" t="s">
        <v>304</v>
      </c>
      <c r="M366" s="6" t="s">
        <v>59</v>
      </c>
      <c r="N366" s="6"/>
    </row>
    <row r="367" ht="15.75" customHeight="1">
      <c r="A367" s="6" t="s">
        <v>818</v>
      </c>
      <c r="B367" s="6" t="s">
        <v>572</v>
      </c>
      <c r="C367" s="6" t="s">
        <v>684</v>
      </c>
      <c r="D367" s="6" t="s">
        <v>429</v>
      </c>
      <c r="E367" s="6" t="s">
        <v>343</v>
      </c>
      <c r="F367" s="6" t="s">
        <v>138</v>
      </c>
      <c r="G367" s="6" t="s">
        <v>961</v>
      </c>
      <c r="H367" s="6" t="s">
        <v>1184</v>
      </c>
      <c r="I367" s="6" t="s">
        <v>579</v>
      </c>
      <c r="J367" s="6"/>
      <c r="K367" s="6"/>
      <c r="L367" s="6" t="s">
        <v>304</v>
      </c>
      <c r="M367" s="6" t="s">
        <v>59</v>
      </c>
      <c r="N367" s="6"/>
    </row>
    <row r="368" ht="15.75" customHeight="1">
      <c r="A368" s="6" t="s">
        <v>818</v>
      </c>
      <c r="B368" s="6" t="s">
        <v>1186</v>
      </c>
      <c r="C368" s="6" t="s">
        <v>684</v>
      </c>
      <c r="D368" s="6" t="s">
        <v>429</v>
      </c>
      <c r="E368" s="6" t="s">
        <v>592</v>
      </c>
      <c r="F368" s="6" t="s">
        <v>85</v>
      </c>
      <c r="G368" s="6" t="s">
        <v>1080</v>
      </c>
      <c r="H368" s="6" t="s">
        <v>88</v>
      </c>
      <c r="I368" s="6" t="s">
        <v>1187</v>
      </c>
      <c r="J368" s="6"/>
      <c r="K368" s="6" t="s">
        <v>845</v>
      </c>
      <c r="L368" s="6" t="s">
        <v>304</v>
      </c>
      <c r="M368" s="6" t="s">
        <v>59</v>
      </c>
      <c r="N368" s="6"/>
    </row>
    <row r="369" ht="15.75" customHeight="1">
      <c r="A369" s="6" t="s">
        <v>818</v>
      </c>
      <c r="B369" s="6" t="s">
        <v>1186</v>
      </c>
      <c r="C369" s="6" t="s">
        <v>684</v>
      </c>
      <c r="D369" s="6" t="s">
        <v>429</v>
      </c>
      <c r="E369" s="6" t="s">
        <v>592</v>
      </c>
      <c r="F369" s="6" t="s">
        <v>24</v>
      </c>
      <c r="G369" s="6" t="s">
        <v>947</v>
      </c>
      <c r="H369" s="6" t="s">
        <v>105</v>
      </c>
      <c r="I369" s="6" t="s">
        <v>1187</v>
      </c>
      <c r="J369" s="6"/>
      <c r="K369" s="6" t="s">
        <v>724</v>
      </c>
      <c r="L369" s="6" t="s">
        <v>304</v>
      </c>
      <c r="M369" s="6" t="s">
        <v>59</v>
      </c>
      <c r="N369" s="6"/>
    </row>
    <row r="370" ht="15.75" customHeight="1">
      <c r="A370" s="6" t="s">
        <v>818</v>
      </c>
      <c r="B370" s="6" t="s">
        <v>901</v>
      </c>
      <c r="C370" s="6" t="s">
        <v>690</v>
      </c>
      <c r="D370" s="6" t="s">
        <v>429</v>
      </c>
      <c r="E370" s="6" t="s">
        <v>343</v>
      </c>
      <c r="F370" s="6" t="s">
        <v>138</v>
      </c>
      <c r="G370" s="6" t="s">
        <v>961</v>
      </c>
      <c r="H370" s="6" t="s">
        <v>49</v>
      </c>
      <c r="I370" s="6" t="s">
        <v>902</v>
      </c>
      <c r="J370" s="6"/>
      <c r="K370" s="6"/>
      <c r="L370" s="6" t="s">
        <v>304</v>
      </c>
      <c r="M370" s="6" t="s">
        <v>59</v>
      </c>
      <c r="N370" s="6"/>
    </row>
    <row r="371" ht="15.75" customHeight="1">
      <c r="A371" s="6" t="s">
        <v>818</v>
      </c>
      <c r="B371" s="6" t="s">
        <v>1097</v>
      </c>
      <c r="C371" s="6" t="s">
        <v>848</v>
      </c>
      <c r="D371" s="6" t="s">
        <v>429</v>
      </c>
      <c r="E371" s="6" t="s">
        <v>714</v>
      </c>
      <c r="F371" s="6" t="s">
        <v>181</v>
      </c>
      <c r="G371" s="6" t="s">
        <v>956</v>
      </c>
      <c r="H371" s="6" t="s">
        <v>1189</v>
      </c>
      <c r="I371" s="6" t="s">
        <v>1099</v>
      </c>
      <c r="J371" s="6" t="s">
        <v>1100</v>
      </c>
      <c r="K371" s="6"/>
      <c r="L371" s="6" t="s">
        <v>304</v>
      </c>
      <c r="M371" s="6" t="s">
        <v>59</v>
      </c>
      <c r="N371" s="6"/>
    </row>
    <row r="372" ht="15.75" customHeight="1">
      <c r="A372" s="6" t="s">
        <v>818</v>
      </c>
      <c r="B372" s="6" t="s">
        <v>593</v>
      </c>
      <c r="C372" s="6" t="s">
        <v>848</v>
      </c>
      <c r="D372" s="6" t="s">
        <v>553</v>
      </c>
      <c r="E372" s="6" t="s">
        <v>714</v>
      </c>
      <c r="F372" s="6" t="s">
        <v>98</v>
      </c>
      <c r="G372" s="6" t="s">
        <v>956</v>
      </c>
      <c r="H372" s="6" t="s">
        <v>558</v>
      </c>
      <c r="I372" s="6" t="s">
        <v>598</v>
      </c>
      <c r="K372" s="6" t="s">
        <v>824</v>
      </c>
      <c r="M372" s="6"/>
    </row>
    <row r="373" ht="15.75" customHeight="1">
      <c r="A373" s="6" t="s">
        <v>818</v>
      </c>
      <c r="B373" s="6" t="s">
        <v>1101</v>
      </c>
      <c r="C373" s="6" t="s">
        <v>825</v>
      </c>
      <c r="D373" s="6" t="s">
        <v>429</v>
      </c>
      <c r="E373" s="6" t="s">
        <v>282</v>
      </c>
      <c r="F373" s="6" t="s">
        <v>138</v>
      </c>
      <c r="G373" s="6" t="s">
        <v>961</v>
      </c>
      <c r="H373" s="6" t="s">
        <v>130</v>
      </c>
      <c r="I373" s="6" t="s">
        <v>1102</v>
      </c>
      <c r="J373" s="6"/>
      <c r="K373" s="6"/>
      <c r="L373" s="6" t="s">
        <v>304</v>
      </c>
      <c r="M373" s="6" t="s">
        <v>59</v>
      </c>
      <c r="N373" s="6"/>
    </row>
    <row r="374" ht="15.75" customHeight="1">
      <c r="A374" s="6" t="s">
        <v>818</v>
      </c>
      <c r="B374" s="6" t="s">
        <v>1103</v>
      </c>
      <c r="C374" s="6" t="s">
        <v>914</v>
      </c>
      <c r="D374" s="6" t="s">
        <v>429</v>
      </c>
      <c r="E374" s="6" t="s">
        <v>438</v>
      </c>
      <c r="F374" s="6" t="s">
        <v>98</v>
      </c>
      <c r="G374" s="6" t="s">
        <v>956</v>
      </c>
      <c r="H374" s="6" t="s">
        <v>130</v>
      </c>
      <c r="I374" s="6" t="s">
        <v>1104</v>
      </c>
      <c r="J374" s="6"/>
      <c r="K374" s="6"/>
      <c r="L374" s="6" t="s">
        <v>304</v>
      </c>
      <c r="M374" s="6" t="s">
        <v>59</v>
      </c>
      <c r="N374" s="6"/>
    </row>
    <row r="375" ht="15.75" customHeight="1">
      <c r="A375" s="6" t="s">
        <v>818</v>
      </c>
      <c r="B375" s="6" t="s">
        <v>603</v>
      </c>
      <c r="C375" s="6" t="s">
        <v>825</v>
      </c>
      <c r="D375" s="6" t="s">
        <v>429</v>
      </c>
      <c r="E375" s="6" t="s">
        <v>430</v>
      </c>
      <c r="F375" s="6" t="s">
        <v>24</v>
      </c>
      <c r="G375" s="6" t="s">
        <v>947</v>
      </c>
      <c r="H375" s="6" t="s">
        <v>38</v>
      </c>
      <c r="I375" s="6" t="s">
        <v>609</v>
      </c>
      <c r="J375" s="6"/>
      <c r="K375" s="6" t="s">
        <v>820</v>
      </c>
      <c r="L375" s="6" t="s">
        <v>304</v>
      </c>
      <c r="M375" s="6" t="s">
        <v>59</v>
      </c>
      <c r="N375" s="6"/>
    </row>
    <row r="376" ht="15.75" customHeight="1">
      <c r="A376" s="6" t="s">
        <v>818</v>
      </c>
      <c r="B376" s="6" t="s">
        <v>918</v>
      </c>
      <c r="C376" s="6" t="s">
        <v>848</v>
      </c>
      <c r="D376" s="6" t="s">
        <v>429</v>
      </c>
      <c r="E376" s="6" t="s">
        <v>714</v>
      </c>
      <c r="F376" s="6" t="s">
        <v>181</v>
      </c>
      <c r="G376" s="6" t="s">
        <v>956</v>
      </c>
      <c r="H376" s="6" t="s">
        <v>807</v>
      </c>
      <c r="I376" s="6" t="s">
        <v>919</v>
      </c>
      <c r="J376" s="6"/>
      <c r="K376" s="6"/>
      <c r="L376" s="6" t="s">
        <v>304</v>
      </c>
      <c r="M376" s="6" t="s">
        <v>59</v>
      </c>
      <c r="N376" s="6"/>
    </row>
    <row r="377" ht="15.75" customHeight="1">
      <c r="A377" s="6" t="s">
        <v>818</v>
      </c>
      <c r="B377" s="6" t="s">
        <v>621</v>
      </c>
      <c r="C377" s="6" t="s">
        <v>837</v>
      </c>
      <c r="D377" s="6" t="s">
        <v>429</v>
      </c>
      <c r="E377" s="6" t="s">
        <v>714</v>
      </c>
      <c r="F377" s="6" t="s">
        <v>181</v>
      </c>
      <c r="G377" s="6" t="s">
        <v>956</v>
      </c>
      <c r="H377" s="6" t="s">
        <v>38</v>
      </c>
      <c r="I377" s="6" t="s">
        <v>624</v>
      </c>
      <c r="J377" s="6"/>
      <c r="K377" s="6" t="s">
        <v>820</v>
      </c>
      <c r="L377" s="6" t="s">
        <v>304</v>
      </c>
      <c r="M377" s="6" t="s">
        <v>59</v>
      </c>
      <c r="N377" s="6"/>
    </row>
    <row r="378" ht="15.75" customHeight="1">
      <c r="A378" s="6" t="s">
        <v>818</v>
      </c>
      <c r="B378" s="6" t="s">
        <v>355</v>
      </c>
      <c r="C378" s="6" t="s">
        <v>899</v>
      </c>
      <c r="D378" s="6" t="s">
        <v>429</v>
      </c>
      <c r="E378" s="6" t="s">
        <v>438</v>
      </c>
      <c r="F378" s="6" t="s">
        <v>98</v>
      </c>
      <c r="G378" s="6" t="s">
        <v>956</v>
      </c>
      <c r="H378" s="6" t="s">
        <v>130</v>
      </c>
      <c r="I378" s="6" t="s">
        <v>359</v>
      </c>
      <c r="J378" s="6" t="s">
        <v>1134</v>
      </c>
      <c r="L378" s="6" t="s">
        <v>304</v>
      </c>
      <c r="M378" s="6" t="s">
        <v>373</v>
      </c>
    </row>
    <row r="379" ht="15.75" customHeight="1">
      <c r="A379" s="6" t="s">
        <v>818</v>
      </c>
      <c r="B379" s="6" t="s">
        <v>366</v>
      </c>
      <c r="C379" s="6" t="s">
        <v>1192</v>
      </c>
      <c r="D379" s="6" t="s">
        <v>429</v>
      </c>
      <c r="E379" s="6" t="s">
        <v>524</v>
      </c>
      <c r="F379" s="6" t="s">
        <v>24</v>
      </c>
      <c r="G379" s="6" t="s">
        <v>947</v>
      </c>
      <c r="H379" s="6" t="s">
        <v>70</v>
      </c>
      <c r="I379" s="6" t="s">
        <v>369</v>
      </c>
      <c r="J379" s="6"/>
      <c r="K379" s="6" t="s">
        <v>820</v>
      </c>
      <c r="L379" s="6" t="s">
        <v>304</v>
      </c>
      <c r="M379" s="6" t="s">
        <v>59</v>
      </c>
      <c r="N379" s="6"/>
    </row>
    <row r="380" ht="15.75" customHeight="1">
      <c r="A380" s="6" t="s">
        <v>818</v>
      </c>
      <c r="B380" s="6" t="s">
        <v>924</v>
      </c>
      <c r="C380" s="6" t="s">
        <v>914</v>
      </c>
      <c r="D380" s="6" t="s">
        <v>429</v>
      </c>
      <c r="E380" s="6" t="s">
        <v>343</v>
      </c>
      <c r="F380" s="6" t="s">
        <v>138</v>
      </c>
      <c r="G380" s="6" t="s">
        <v>961</v>
      </c>
      <c r="H380" s="6" t="s">
        <v>496</v>
      </c>
      <c r="I380" s="6" t="s">
        <v>927</v>
      </c>
      <c r="J380" s="6"/>
      <c r="K380" s="6"/>
      <c r="L380" s="6" t="s">
        <v>304</v>
      </c>
      <c r="M380" s="6" t="s">
        <v>59</v>
      </c>
      <c r="N380" s="6"/>
    </row>
    <row r="381" ht="15.75" customHeight="1">
      <c r="A381" s="6" t="s">
        <v>818</v>
      </c>
      <c r="B381" s="6" t="s">
        <v>929</v>
      </c>
      <c r="C381" s="6" t="s">
        <v>672</v>
      </c>
      <c r="D381" s="6" t="s">
        <v>429</v>
      </c>
      <c r="E381" s="6" t="s">
        <v>714</v>
      </c>
      <c r="F381" s="6" t="s">
        <v>98</v>
      </c>
      <c r="G381" s="6" t="s">
        <v>956</v>
      </c>
      <c r="H381" s="6" t="s">
        <v>1193</v>
      </c>
      <c r="I381" s="6" t="s">
        <v>934</v>
      </c>
      <c r="J381" s="6"/>
      <c r="K381" s="6"/>
      <c r="L381" s="6" t="s">
        <v>304</v>
      </c>
      <c r="M381" s="6" t="s">
        <v>59</v>
      </c>
      <c r="N381" s="6"/>
    </row>
    <row r="382" ht="15.75" customHeight="1">
      <c r="A382" s="6" t="s">
        <v>818</v>
      </c>
      <c r="B382" s="6" t="s">
        <v>652</v>
      </c>
      <c r="C382" s="6" t="s">
        <v>781</v>
      </c>
      <c r="D382" s="6" t="s">
        <v>429</v>
      </c>
      <c r="E382" s="6" t="s">
        <v>459</v>
      </c>
      <c r="F382" s="6" t="s">
        <v>24</v>
      </c>
      <c r="G382" s="6" t="s">
        <v>947</v>
      </c>
      <c r="H382" s="6" t="s">
        <v>156</v>
      </c>
      <c r="I382" s="6" t="s">
        <v>654</v>
      </c>
      <c r="J382" s="6"/>
      <c r="K382" s="6"/>
      <c r="L382" s="6" t="s">
        <v>304</v>
      </c>
      <c r="M382" s="6" t="s">
        <v>59</v>
      </c>
      <c r="N382" s="6"/>
    </row>
    <row r="383" ht="15.75" customHeight="1">
      <c r="A383" s="6" t="s">
        <v>818</v>
      </c>
      <c r="B383" s="6" t="s">
        <v>1109</v>
      </c>
      <c r="C383" s="6" t="s">
        <v>705</v>
      </c>
      <c r="D383" s="6" t="s">
        <v>429</v>
      </c>
      <c r="E383" s="6" t="s">
        <v>438</v>
      </c>
      <c r="F383" s="6" t="s">
        <v>98</v>
      </c>
      <c r="G383" s="6" t="s">
        <v>956</v>
      </c>
      <c r="H383" s="6" t="s">
        <v>66</v>
      </c>
      <c r="I383" s="6" t="s">
        <v>1110</v>
      </c>
      <c r="J383" s="6"/>
      <c r="K383" s="6"/>
      <c r="L383" s="6" t="s">
        <v>304</v>
      </c>
      <c r="M383" s="6" t="s">
        <v>59</v>
      </c>
      <c r="N383" s="6"/>
    </row>
    <row r="384" ht="15.75" customHeight="1">
      <c r="A384" s="6" t="s">
        <v>818</v>
      </c>
      <c r="B384" s="6" t="s">
        <v>1199</v>
      </c>
      <c r="C384" s="6" t="s">
        <v>848</v>
      </c>
      <c r="D384" s="6" t="s">
        <v>429</v>
      </c>
      <c r="E384" s="6" t="s">
        <v>592</v>
      </c>
      <c r="F384" s="6" t="s">
        <v>85</v>
      </c>
      <c r="G384" s="6" t="s">
        <v>1080</v>
      </c>
      <c r="H384" s="6" t="s">
        <v>88</v>
      </c>
      <c r="I384" s="6" t="s">
        <v>1200</v>
      </c>
      <c r="J384" s="6"/>
      <c r="K384" s="6" t="s">
        <v>845</v>
      </c>
      <c r="L384" s="6" t="s">
        <v>304</v>
      </c>
      <c r="M384" s="6" t="s">
        <v>59</v>
      </c>
      <c r="N384" s="6"/>
    </row>
    <row r="385" ht="15.75" customHeight="1">
      <c r="A385" s="6" t="s">
        <v>818</v>
      </c>
      <c r="B385" s="6" t="s">
        <v>1199</v>
      </c>
      <c r="C385" s="6" t="s">
        <v>848</v>
      </c>
      <c r="D385" s="6" t="s">
        <v>429</v>
      </c>
      <c r="E385" s="6" t="s">
        <v>592</v>
      </c>
      <c r="F385" s="6" t="s">
        <v>24</v>
      </c>
      <c r="G385" s="6" t="s">
        <v>947</v>
      </c>
      <c r="H385" s="6" t="s">
        <v>105</v>
      </c>
      <c r="I385" s="6" t="s">
        <v>1200</v>
      </c>
      <c r="J385" s="6"/>
      <c r="K385" s="6" t="s">
        <v>724</v>
      </c>
      <c r="L385" s="6" t="s">
        <v>304</v>
      </c>
      <c r="M385" s="6" t="s">
        <v>59</v>
      </c>
      <c r="N385" s="6"/>
    </row>
    <row r="386" ht="15.75" customHeight="1">
      <c r="A386" s="6" t="s">
        <v>818</v>
      </c>
      <c r="B386" s="6" t="s">
        <v>1111</v>
      </c>
      <c r="C386" s="6" t="s">
        <v>1042</v>
      </c>
      <c r="D386" s="6" t="s">
        <v>429</v>
      </c>
      <c r="E386" s="6" t="s">
        <v>282</v>
      </c>
      <c r="F386" s="6" t="s">
        <v>255</v>
      </c>
      <c r="G386" s="6" t="s">
        <v>961</v>
      </c>
      <c r="H386" s="6" t="s">
        <v>38</v>
      </c>
      <c r="I386" s="6" t="s">
        <v>1112</v>
      </c>
      <c r="J386" s="6"/>
      <c r="K386" s="6" t="s">
        <v>820</v>
      </c>
      <c r="L386" s="6" t="s">
        <v>304</v>
      </c>
      <c r="M386" s="6" t="s">
        <v>373</v>
      </c>
      <c r="N386" s="6"/>
    </row>
    <row r="387" ht="15.75" customHeight="1">
      <c r="A387" s="6" t="s">
        <v>818</v>
      </c>
      <c r="B387" s="6" t="s">
        <v>1111</v>
      </c>
      <c r="C387" s="6" t="s">
        <v>1042</v>
      </c>
      <c r="D387" s="6" t="s">
        <v>429</v>
      </c>
      <c r="E387" s="6" t="s">
        <v>282</v>
      </c>
      <c r="F387" s="6" t="s">
        <v>255</v>
      </c>
      <c r="G387" s="6" t="s">
        <v>961</v>
      </c>
      <c r="H387" s="6" t="s">
        <v>38</v>
      </c>
      <c r="I387" s="6" t="s">
        <v>1112</v>
      </c>
      <c r="K387" s="6" t="s">
        <v>820</v>
      </c>
      <c r="L387" s="6" t="s">
        <v>304</v>
      </c>
      <c r="M387" s="6" t="s">
        <v>561</v>
      </c>
    </row>
    <row r="388" ht="15.75" customHeight="1"/>
    <row r="389" ht="15.75" customHeight="1">
      <c r="A389" s="16" t="s">
        <v>809</v>
      </c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ht="15.75" customHeight="1">
      <c r="A390" s="17" t="s">
        <v>3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</row>
    <row r="391" ht="15.75" customHeight="1">
      <c r="A391" s="18" t="s">
        <v>4</v>
      </c>
      <c r="B391" s="18" t="s">
        <v>6</v>
      </c>
      <c r="C391" s="18" t="s">
        <v>7</v>
      </c>
      <c r="D391" s="18" t="s">
        <v>8</v>
      </c>
      <c r="E391" s="18" t="s">
        <v>9</v>
      </c>
      <c r="F391" s="18" t="s">
        <v>10</v>
      </c>
      <c r="G391" s="18" t="s">
        <v>11</v>
      </c>
      <c r="H391" s="18" t="s">
        <v>12</v>
      </c>
      <c r="I391" s="18" t="s">
        <v>13</v>
      </c>
      <c r="J391" s="18" t="s">
        <v>14</v>
      </c>
      <c r="K391" s="18" t="s">
        <v>15</v>
      </c>
      <c r="L391" s="18" t="s">
        <v>16</v>
      </c>
      <c r="M391" s="18" t="s">
        <v>17</v>
      </c>
      <c r="N391" s="18" t="s">
        <v>18</v>
      </c>
    </row>
    <row r="392" ht="15.75" customHeight="1">
      <c r="A392" s="6" t="s">
        <v>818</v>
      </c>
      <c r="B392" s="6" t="s">
        <v>675</v>
      </c>
      <c r="C392" s="6" t="s">
        <v>837</v>
      </c>
      <c r="D392" s="6" t="s">
        <v>429</v>
      </c>
      <c r="E392" s="6" t="s">
        <v>1113</v>
      </c>
      <c r="F392" s="6" t="s">
        <v>113</v>
      </c>
      <c r="G392" s="6" t="s">
        <v>956</v>
      </c>
      <c r="H392" s="6" t="s">
        <v>38</v>
      </c>
      <c r="I392" s="6" t="s">
        <v>680</v>
      </c>
      <c r="J392" s="6" t="s">
        <v>314</v>
      </c>
      <c r="K392" s="6" t="s">
        <v>820</v>
      </c>
      <c r="L392" s="6" t="s">
        <v>304</v>
      </c>
      <c r="M392" s="6" t="s">
        <v>984</v>
      </c>
      <c r="N392" s="6"/>
    </row>
    <row r="393" ht="15.75" customHeight="1"/>
    <row r="394" ht="15.75" customHeight="1">
      <c r="A394" s="16" t="s">
        <v>855</v>
      </c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ht="15.75" customHeight="1">
      <c r="A395" s="17" t="s">
        <v>1135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 ht="15.75" customHeight="1">
      <c r="A396" s="18" t="s">
        <v>4</v>
      </c>
      <c r="B396" s="18" t="s">
        <v>6</v>
      </c>
      <c r="C396" s="18" t="s">
        <v>7</v>
      </c>
      <c r="D396" s="18" t="s">
        <v>8</v>
      </c>
      <c r="E396" s="18" t="s">
        <v>9</v>
      </c>
      <c r="F396" s="18" t="s">
        <v>10</v>
      </c>
      <c r="G396" s="18" t="s">
        <v>11</v>
      </c>
      <c r="H396" s="18" t="s">
        <v>12</v>
      </c>
      <c r="I396" s="18" t="s">
        <v>13</v>
      </c>
      <c r="J396" s="18" t="s">
        <v>14</v>
      </c>
      <c r="K396" s="18" t="s">
        <v>15</v>
      </c>
      <c r="L396" s="18" t="s">
        <v>16</v>
      </c>
      <c r="M396" s="18" t="s">
        <v>17</v>
      </c>
      <c r="N396" s="18" t="s">
        <v>18</v>
      </c>
    </row>
    <row r="397" ht="15.75" customHeight="1">
      <c r="A397" s="6" t="s">
        <v>863</v>
      </c>
      <c r="B397" s="6" t="s">
        <v>42</v>
      </c>
      <c r="C397" s="6" t="s">
        <v>837</v>
      </c>
      <c r="D397" s="6" t="s">
        <v>553</v>
      </c>
      <c r="E397" s="6" t="s">
        <v>946</v>
      </c>
      <c r="F397" s="6" t="s">
        <v>24</v>
      </c>
      <c r="G397" s="6" t="s">
        <v>947</v>
      </c>
      <c r="H397" s="6" t="s">
        <v>558</v>
      </c>
      <c r="I397" s="6" t="s">
        <v>51</v>
      </c>
      <c r="K397" s="6" t="s">
        <v>824</v>
      </c>
      <c r="M397" s="6"/>
    </row>
    <row r="398" ht="15.75" customHeight="1">
      <c r="A398" s="6" t="s">
        <v>863</v>
      </c>
      <c r="B398" s="6" t="s">
        <v>42</v>
      </c>
      <c r="C398" s="6" t="s">
        <v>781</v>
      </c>
      <c r="D398" s="6" t="s">
        <v>553</v>
      </c>
      <c r="E398" s="6" t="s">
        <v>946</v>
      </c>
      <c r="F398" s="6" t="s">
        <v>67</v>
      </c>
      <c r="G398" s="6" t="s">
        <v>976</v>
      </c>
      <c r="H398" s="6" t="s">
        <v>558</v>
      </c>
      <c r="I398" s="6" t="s">
        <v>51</v>
      </c>
      <c r="J398" s="6" t="s">
        <v>80</v>
      </c>
      <c r="K398" s="6" t="s">
        <v>824</v>
      </c>
      <c r="M398" s="6"/>
    </row>
    <row r="399" ht="15.75" customHeight="1">
      <c r="A399" s="6" t="s">
        <v>863</v>
      </c>
      <c r="B399" s="6" t="s">
        <v>90</v>
      </c>
      <c r="C399" s="6" t="s">
        <v>840</v>
      </c>
      <c r="D399" s="6" t="s">
        <v>429</v>
      </c>
      <c r="E399" s="6" t="s">
        <v>438</v>
      </c>
      <c r="F399" s="6" t="s">
        <v>98</v>
      </c>
      <c r="G399" s="6" t="s">
        <v>956</v>
      </c>
      <c r="H399" s="6" t="s">
        <v>26</v>
      </c>
      <c r="I399" s="6" t="s">
        <v>103</v>
      </c>
      <c r="J399" s="6"/>
      <c r="K399" s="6"/>
      <c r="L399" s="6" t="s">
        <v>304</v>
      </c>
      <c r="M399" s="6" t="s">
        <v>59</v>
      </c>
      <c r="N399" s="6"/>
    </row>
    <row r="400" ht="15.75" customHeight="1">
      <c r="A400" s="6" t="s">
        <v>863</v>
      </c>
      <c r="B400" s="6" t="s">
        <v>1212</v>
      </c>
      <c r="C400" s="6" t="s">
        <v>700</v>
      </c>
      <c r="D400" s="6" t="s">
        <v>429</v>
      </c>
      <c r="E400" s="6" t="s">
        <v>282</v>
      </c>
      <c r="F400" s="6" t="s">
        <v>255</v>
      </c>
      <c r="G400" s="6" t="s">
        <v>1170</v>
      </c>
      <c r="H400" s="6" t="s">
        <v>105</v>
      </c>
      <c r="I400" s="6" t="s">
        <v>1213</v>
      </c>
      <c r="J400" s="6"/>
      <c r="K400" s="6" t="s">
        <v>724</v>
      </c>
      <c r="L400" s="6" t="s">
        <v>304</v>
      </c>
      <c r="M400" s="6" t="s">
        <v>59</v>
      </c>
      <c r="N400" s="6"/>
    </row>
    <row r="401" ht="15.75" customHeight="1">
      <c r="A401" s="6" t="s">
        <v>863</v>
      </c>
      <c r="B401" s="6" t="s">
        <v>126</v>
      </c>
      <c r="C401" s="6" t="s">
        <v>1214</v>
      </c>
      <c r="D401" s="6" t="s">
        <v>429</v>
      </c>
      <c r="E401" s="6" t="s">
        <v>136</v>
      </c>
      <c r="F401" s="6" t="s">
        <v>138</v>
      </c>
      <c r="G401" s="6" t="s">
        <v>961</v>
      </c>
      <c r="H401" s="6" t="s">
        <v>694</v>
      </c>
      <c r="I401" s="6" t="s">
        <v>144</v>
      </c>
      <c r="J401" s="6"/>
      <c r="K401" s="6"/>
      <c r="L401" s="6" t="s">
        <v>304</v>
      </c>
      <c r="M401" s="6" t="s">
        <v>59</v>
      </c>
      <c r="N401" s="6"/>
    </row>
    <row r="402" ht="15.75" customHeight="1">
      <c r="A402" s="6" t="s">
        <v>863</v>
      </c>
      <c r="B402" s="6" t="s">
        <v>108</v>
      </c>
      <c r="C402" s="6" t="s">
        <v>781</v>
      </c>
      <c r="D402" s="6" t="s">
        <v>429</v>
      </c>
      <c r="E402" s="6" t="s">
        <v>438</v>
      </c>
      <c r="F402" s="6" t="s">
        <v>113</v>
      </c>
      <c r="G402" s="6" t="s">
        <v>956</v>
      </c>
      <c r="H402" s="6" t="s">
        <v>38</v>
      </c>
      <c r="I402" s="6" t="s">
        <v>116</v>
      </c>
      <c r="J402" s="6"/>
      <c r="K402" s="6" t="s">
        <v>820</v>
      </c>
      <c r="L402" s="6" t="s">
        <v>304</v>
      </c>
      <c r="M402" s="6" t="s">
        <v>59</v>
      </c>
      <c r="N402" s="6"/>
    </row>
    <row r="403" ht="15.75" customHeight="1">
      <c r="A403" s="6" t="s">
        <v>863</v>
      </c>
      <c r="B403" s="6" t="s">
        <v>158</v>
      </c>
      <c r="C403" s="6" t="s">
        <v>1138</v>
      </c>
      <c r="D403" s="6" t="s">
        <v>429</v>
      </c>
      <c r="E403" s="6" t="s">
        <v>438</v>
      </c>
      <c r="F403" s="6" t="s">
        <v>98</v>
      </c>
      <c r="G403" s="6" t="s">
        <v>956</v>
      </c>
      <c r="H403" s="6" t="s">
        <v>896</v>
      </c>
      <c r="I403" s="6" t="s">
        <v>164</v>
      </c>
      <c r="J403" s="6"/>
      <c r="K403" s="6"/>
      <c r="L403" s="6" t="s">
        <v>304</v>
      </c>
      <c r="M403" s="6" t="s">
        <v>59</v>
      </c>
      <c r="N403" s="6"/>
    </row>
    <row r="404" ht="15.75" customHeight="1">
      <c r="A404" s="6" t="s">
        <v>863</v>
      </c>
      <c r="B404" s="6" t="s">
        <v>169</v>
      </c>
      <c r="C404" s="6" t="s">
        <v>679</v>
      </c>
      <c r="D404" s="6" t="s">
        <v>429</v>
      </c>
      <c r="E404" s="6" t="s">
        <v>459</v>
      </c>
      <c r="F404" s="6" t="s">
        <v>172</v>
      </c>
      <c r="G404" s="6" t="s">
        <v>952</v>
      </c>
      <c r="H404" s="6" t="s">
        <v>66</v>
      </c>
      <c r="I404" s="6" t="s">
        <v>176</v>
      </c>
      <c r="J404" s="6"/>
      <c r="K404" s="6"/>
      <c r="L404" s="6" t="s">
        <v>304</v>
      </c>
      <c r="M404" s="6" t="s">
        <v>59</v>
      </c>
      <c r="N404" s="6"/>
    </row>
    <row r="405" ht="15.75" customHeight="1">
      <c r="A405" s="6" t="s">
        <v>863</v>
      </c>
      <c r="B405" s="6" t="s">
        <v>180</v>
      </c>
      <c r="C405" s="6" t="s">
        <v>684</v>
      </c>
      <c r="D405" s="6" t="s">
        <v>429</v>
      </c>
      <c r="E405" s="6" t="s">
        <v>438</v>
      </c>
      <c r="F405" s="6" t="s">
        <v>181</v>
      </c>
      <c r="G405" s="6" t="s">
        <v>956</v>
      </c>
      <c r="H405" s="6" t="s">
        <v>101</v>
      </c>
      <c r="I405" s="6" t="s">
        <v>186</v>
      </c>
      <c r="J405" s="6"/>
      <c r="K405" s="6" t="s">
        <v>820</v>
      </c>
      <c r="L405" s="6" t="s">
        <v>304</v>
      </c>
      <c r="M405" s="6" t="s">
        <v>59</v>
      </c>
      <c r="N405" s="6"/>
    </row>
    <row r="406" ht="15.75" customHeight="1">
      <c r="A406" s="6" t="s">
        <v>863</v>
      </c>
      <c r="B406" s="6" t="s">
        <v>778</v>
      </c>
      <c r="C406" s="6" t="s">
        <v>690</v>
      </c>
      <c r="D406" s="6" t="s">
        <v>429</v>
      </c>
      <c r="E406" s="6" t="s">
        <v>136</v>
      </c>
      <c r="F406" s="6" t="s">
        <v>138</v>
      </c>
      <c r="G406" s="6" t="s">
        <v>947</v>
      </c>
      <c r="H406" s="6" t="s">
        <v>105</v>
      </c>
      <c r="I406" s="6" t="s">
        <v>782</v>
      </c>
      <c r="K406" s="6" t="s">
        <v>724</v>
      </c>
      <c r="L406" s="6" t="s">
        <v>304</v>
      </c>
      <c r="M406" s="6" t="s">
        <v>373</v>
      </c>
    </row>
    <row r="407" ht="15.75" customHeight="1">
      <c r="A407" s="6" t="s">
        <v>863</v>
      </c>
      <c r="B407" s="6" t="s">
        <v>808</v>
      </c>
      <c r="C407" s="6" t="s">
        <v>899</v>
      </c>
      <c r="D407" s="6" t="s">
        <v>429</v>
      </c>
      <c r="E407" s="6" t="s">
        <v>438</v>
      </c>
      <c r="F407" s="6" t="s">
        <v>98</v>
      </c>
      <c r="G407" s="6" t="s">
        <v>956</v>
      </c>
      <c r="H407" s="6" t="s">
        <v>70</v>
      </c>
      <c r="I407" s="6" t="s">
        <v>813</v>
      </c>
      <c r="J407" s="6"/>
      <c r="K407" s="6" t="s">
        <v>820</v>
      </c>
      <c r="L407" s="6" t="s">
        <v>304</v>
      </c>
      <c r="M407" s="6" t="s">
        <v>59</v>
      </c>
      <c r="N407" s="6"/>
    </row>
    <row r="408" ht="15.75" customHeight="1">
      <c r="A408" s="6" t="s">
        <v>863</v>
      </c>
      <c r="B408" s="6" t="s">
        <v>1004</v>
      </c>
      <c r="C408" s="6" t="s">
        <v>781</v>
      </c>
      <c r="D408" s="6" t="s">
        <v>429</v>
      </c>
      <c r="E408" s="6" t="s">
        <v>459</v>
      </c>
      <c r="F408" s="6" t="s">
        <v>24</v>
      </c>
      <c r="G408" s="6" t="s">
        <v>947</v>
      </c>
      <c r="H408" s="6" t="s">
        <v>70</v>
      </c>
      <c r="I408" s="6" t="s">
        <v>1005</v>
      </c>
      <c r="J408" s="6"/>
      <c r="K408" s="6" t="s">
        <v>820</v>
      </c>
      <c r="L408" s="6" t="s">
        <v>304</v>
      </c>
      <c r="M408" s="6" t="s">
        <v>59</v>
      </c>
      <c r="N408" s="6"/>
    </row>
    <row r="409" ht="15.75" customHeight="1">
      <c r="A409" s="6" t="s">
        <v>863</v>
      </c>
      <c r="B409" s="6" t="s">
        <v>205</v>
      </c>
      <c r="C409" s="6" t="s">
        <v>764</v>
      </c>
      <c r="D409" s="6" t="s">
        <v>429</v>
      </c>
      <c r="E409" s="6" t="s">
        <v>438</v>
      </c>
      <c r="F409" s="6" t="s">
        <v>181</v>
      </c>
      <c r="G409" s="6" t="s">
        <v>956</v>
      </c>
      <c r="H409" s="6" t="s">
        <v>38</v>
      </c>
      <c r="I409" s="6" t="s">
        <v>210</v>
      </c>
      <c r="J409" s="6" t="s">
        <v>213</v>
      </c>
      <c r="K409" s="6" t="s">
        <v>820</v>
      </c>
      <c r="L409" s="6" t="s">
        <v>304</v>
      </c>
      <c r="M409" s="6" t="s">
        <v>59</v>
      </c>
      <c r="N409" s="6"/>
    </row>
    <row r="410" ht="15.75" customHeight="1">
      <c r="A410" s="6" t="s">
        <v>863</v>
      </c>
      <c r="B410" s="6" t="s">
        <v>218</v>
      </c>
      <c r="C410" s="6" t="s">
        <v>764</v>
      </c>
      <c r="D410" s="6" t="s">
        <v>429</v>
      </c>
      <c r="E410" s="6" t="s">
        <v>438</v>
      </c>
      <c r="F410" s="6" t="s">
        <v>98</v>
      </c>
      <c r="G410" s="6" t="s">
        <v>956</v>
      </c>
      <c r="H410" s="6" t="s">
        <v>130</v>
      </c>
      <c r="I410" s="6" t="s">
        <v>226</v>
      </c>
      <c r="J410" s="6"/>
      <c r="K410" s="6"/>
      <c r="L410" s="6" t="s">
        <v>304</v>
      </c>
      <c r="M410" s="6" t="s">
        <v>59</v>
      </c>
      <c r="N410" s="6"/>
    </row>
    <row r="411" ht="15.75" customHeight="1">
      <c r="A411" s="6" t="s">
        <v>863</v>
      </c>
      <c r="B411" s="6" t="s">
        <v>229</v>
      </c>
      <c r="C411" s="6" t="s">
        <v>870</v>
      </c>
      <c r="D411" s="6" t="s">
        <v>429</v>
      </c>
      <c r="E411" s="6" t="s">
        <v>524</v>
      </c>
      <c r="F411" s="6" t="s">
        <v>24</v>
      </c>
      <c r="G411" s="6" t="s">
        <v>947</v>
      </c>
      <c r="H411" s="6" t="s">
        <v>66</v>
      </c>
      <c r="I411" s="6" t="s">
        <v>233</v>
      </c>
      <c r="J411" s="6"/>
      <c r="K411" s="6"/>
      <c r="L411" s="6" t="s">
        <v>304</v>
      </c>
      <c r="M411" s="6" t="s">
        <v>59</v>
      </c>
      <c r="N411" s="6"/>
    </row>
    <row r="412" ht="15.75" customHeight="1">
      <c r="A412" s="6" t="s">
        <v>863</v>
      </c>
      <c r="B412" s="6" t="s">
        <v>264</v>
      </c>
      <c r="C412" s="6" t="s">
        <v>1222</v>
      </c>
      <c r="D412" s="6" t="s">
        <v>429</v>
      </c>
      <c r="E412" s="6" t="s">
        <v>438</v>
      </c>
      <c r="F412" s="6" t="s">
        <v>98</v>
      </c>
      <c r="G412" s="6" t="s">
        <v>956</v>
      </c>
      <c r="H412" s="6" t="s">
        <v>101</v>
      </c>
      <c r="I412" s="6" t="s">
        <v>268</v>
      </c>
      <c r="J412" s="6"/>
      <c r="K412" s="6" t="s">
        <v>820</v>
      </c>
      <c r="L412" s="6" t="s">
        <v>304</v>
      </c>
      <c r="M412" s="6" t="s">
        <v>59</v>
      </c>
      <c r="N412" s="6"/>
    </row>
    <row r="413" ht="15.75" customHeight="1">
      <c r="A413" s="6" t="s">
        <v>863</v>
      </c>
      <c r="B413" s="6" t="s">
        <v>264</v>
      </c>
      <c r="C413" s="6" t="s">
        <v>721</v>
      </c>
      <c r="D413" s="6" t="s">
        <v>429</v>
      </c>
      <c r="E413" s="6" t="s">
        <v>430</v>
      </c>
      <c r="F413" s="6" t="s">
        <v>24</v>
      </c>
      <c r="G413" s="6" t="s">
        <v>947</v>
      </c>
      <c r="H413" s="6" t="s">
        <v>49</v>
      </c>
      <c r="I413" s="6" t="s">
        <v>268</v>
      </c>
      <c r="J413" s="6"/>
      <c r="K413" s="6"/>
      <c r="L413" s="6" t="s">
        <v>304</v>
      </c>
      <c r="M413" s="6" t="s">
        <v>59</v>
      </c>
      <c r="N413" s="6"/>
    </row>
    <row r="414" ht="15.75" customHeight="1">
      <c r="A414" s="6" t="s">
        <v>863</v>
      </c>
      <c r="B414" s="6" t="s">
        <v>1007</v>
      </c>
      <c r="C414" s="6" t="s">
        <v>870</v>
      </c>
      <c r="D414" s="6" t="s">
        <v>429</v>
      </c>
      <c r="E414" s="6" t="s">
        <v>438</v>
      </c>
      <c r="F414" s="6" t="s">
        <v>181</v>
      </c>
      <c r="G414" s="6" t="s">
        <v>956</v>
      </c>
      <c r="H414" s="6" t="s">
        <v>55</v>
      </c>
      <c r="I414" s="6" t="s">
        <v>1010</v>
      </c>
      <c r="J414" s="6"/>
      <c r="K414" s="6"/>
      <c r="L414" s="6" t="s">
        <v>304</v>
      </c>
      <c r="M414" s="6" t="s">
        <v>59</v>
      </c>
      <c r="N414" s="6"/>
    </row>
    <row r="415" ht="15.75" customHeight="1">
      <c r="A415" s="6" t="s">
        <v>863</v>
      </c>
      <c r="B415" s="6" t="s">
        <v>279</v>
      </c>
      <c r="C415" s="6" t="s">
        <v>770</v>
      </c>
      <c r="D415" s="6" t="s">
        <v>429</v>
      </c>
      <c r="E415" s="6" t="s">
        <v>282</v>
      </c>
      <c r="F415" s="6" t="s">
        <v>255</v>
      </c>
      <c r="G415" s="6" t="s">
        <v>961</v>
      </c>
      <c r="H415" s="6" t="s">
        <v>55</v>
      </c>
      <c r="I415" s="6" t="s">
        <v>284</v>
      </c>
      <c r="J415" s="6"/>
      <c r="K415" s="6"/>
      <c r="L415" s="6" t="s">
        <v>304</v>
      </c>
      <c r="M415" s="6" t="s">
        <v>59</v>
      </c>
      <c r="N415" s="6"/>
    </row>
    <row r="416" ht="15.75" customHeight="1">
      <c r="A416" s="6" t="s">
        <v>863</v>
      </c>
      <c r="B416" s="6" t="s">
        <v>874</v>
      </c>
      <c r="C416" s="6" t="s">
        <v>721</v>
      </c>
      <c r="D416" s="6" t="s">
        <v>429</v>
      </c>
      <c r="E416" s="6" t="s">
        <v>282</v>
      </c>
      <c r="F416" s="6" t="s">
        <v>255</v>
      </c>
      <c r="G416" s="6" t="s">
        <v>961</v>
      </c>
      <c r="H416" s="6" t="s">
        <v>66</v>
      </c>
      <c r="I416" s="6" t="s">
        <v>1227</v>
      </c>
      <c r="J416" s="6"/>
      <c r="K416" s="6"/>
      <c r="L416" s="6" t="s">
        <v>304</v>
      </c>
      <c r="M416" s="6" t="s">
        <v>59</v>
      </c>
      <c r="N416" s="6"/>
    </row>
    <row r="417" ht="15.75" customHeight="1">
      <c r="A417" s="6" t="s">
        <v>863</v>
      </c>
      <c r="B417" s="6" t="s">
        <v>288</v>
      </c>
      <c r="C417" s="6" t="s">
        <v>700</v>
      </c>
      <c r="D417" s="6" t="s">
        <v>429</v>
      </c>
      <c r="E417" s="6" t="s">
        <v>459</v>
      </c>
      <c r="F417" s="6" t="s">
        <v>24</v>
      </c>
      <c r="G417" s="6" t="s">
        <v>947</v>
      </c>
      <c r="H417" s="6" t="s">
        <v>70</v>
      </c>
      <c r="I417" s="6" t="s">
        <v>291</v>
      </c>
      <c r="J417" s="6"/>
      <c r="K417" s="6" t="s">
        <v>820</v>
      </c>
      <c r="L417" s="6" t="s">
        <v>304</v>
      </c>
      <c r="M417" s="6" t="s">
        <v>59</v>
      </c>
      <c r="N417" s="6"/>
    </row>
    <row r="418" ht="15.75" customHeight="1">
      <c r="A418" s="6" t="s">
        <v>863</v>
      </c>
      <c r="B418" s="6" t="s">
        <v>887</v>
      </c>
      <c r="C418" s="6" t="s">
        <v>690</v>
      </c>
      <c r="D418" s="6" t="s">
        <v>429</v>
      </c>
      <c r="E418" s="6" t="s">
        <v>508</v>
      </c>
      <c r="F418" s="6" t="s">
        <v>24</v>
      </c>
      <c r="G418" s="6" t="s">
        <v>947</v>
      </c>
      <c r="H418" s="6" t="s">
        <v>101</v>
      </c>
      <c r="I418" s="6" t="s">
        <v>890</v>
      </c>
      <c r="J418" s="6"/>
      <c r="K418" s="6" t="s">
        <v>820</v>
      </c>
      <c r="L418" s="6" t="s">
        <v>304</v>
      </c>
      <c r="M418" s="6" t="s">
        <v>59</v>
      </c>
      <c r="N418" s="6"/>
    </row>
    <row r="419" ht="15.75" customHeight="1">
      <c r="A419" s="6" t="s">
        <v>863</v>
      </c>
      <c r="B419" s="6" t="s">
        <v>1236</v>
      </c>
      <c r="C419" s="6" t="s">
        <v>1237</v>
      </c>
      <c r="D419" s="6" t="s">
        <v>429</v>
      </c>
      <c r="E419" s="6" t="s">
        <v>240</v>
      </c>
      <c r="F419" s="6" t="s">
        <v>241</v>
      </c>
      <c r="G419" s="6" t="s">
        <v>997</v>
      </c>
      <c r="H419" s="6" t="s">
        <v>130</v>
      </c>
      <c r="I419" s="6" t="s">
        <v>1238</v>
      </c>
      <c r="J419" s="6"/>
      <c r="K419" s="6"/>
      <c r="L419" s="6" t="s">
        <v>304</v>
      </c>
      <c r="M419" s="6" t="s">
        <v>59</v>
      </c>
      <c r="N419" s="6"/>
    </row>
    <row r="420" ht="15.75" customHeight="1">
      <c r="A420" s="6" t="s">
        <v>863</v>
      </c>
      <c r="B420" s="6" t="s">
        <v>1236</v>
      </c>
      <c r="C420" s="6" t="s">
        <v>1237</v>
      </c>
      <c r="D420" s="6" t="s">
        <v>429</v>
      </c>
      <c r="E420" s="6" t="s">
        <v>240</v>
      </c>
      <c r="F420" s="6" t="s">
        <v>257</v>
      </c>
      <c r="G420" s="6" t="s">
        <v>1001</v>
      </c>
      <c r="H420" s="6" t="s">
        <v>130</v>
      </c>
      <c r="I420" s="6" t="s">
        <v>1238</v>
      </c>
      <c r="L420" s="6" t="s">
        <v>304</v>
      </c>
      <c r="M420" s="6" t="s">
        <v>561</v>
      </c>
    </row>
    <row r="421" ht="15.75" customHeight="1">
      <c r="A421" s="6" t="s">
        <v>863</v>
      </c>
      <c r="B421" s="6" t="s">
        <v>1236</v>
      </c>
      <c r="C421" s="6" t="s">
        <v>799</v>
      </c>
      <c r="D421" s="6" t="s">
        <v>429</v>
      </c>
      <c r="E421" s="6" t="s">
        <v>240</v>
      </c>
      <c r="F421" s="6" t="s">
        <v>241</v>
      </c>
      <c r="G421" s="6" t="s">
        <v>997</v>
      </c>
      <c r="H421" s="6" t="s">
        <v>55</v>
      </c>
      <c r="I421" s="6" t="s">
        <v>1238</v>
      </c>
      <c r="J421" s="6"/>
      <c r="K421" s="6"/>
      <c r="L421" s="6" t="s">
        <v>304</v>
      </c>
      <c r="M421" s="6" t="s">
        <v>59</v>
      </c>
      <c r="N421" s="6"/>
    </row>
    <row r="422" ht="15.75" customHeight="1">
      <c r="A422" s="6" t="s">
        <v>863</v>
      </c>
      <c r="B422" s="6" t="s">
        <v>295</v>
      </c>
      <c r="C422" s="6" t="s">
        <v>848</v>
      </c>
      <c r="D422" s="6" t="s">
        <v>429</v>
      </c>
      <c r="E422" s="6" t="s">
        <v>438</v>
      </c>
      <c r="F422" s="6" t="s">
        <v>181</v>
      </c>
      <c r="G422" s="6" t="s">
        <v>956</v>
      </c>
      <c r="H422" s="6" t="s">
        <v>66</v>
      </c>
      <c r="I422" s="6" t="s">
        <v>300</v>
      </c>
      <c r="J422" s="6"/>
      <c r="K422" s="6"/>
      <c r="L422" s="6" t="s">
        <v>304</v>
      </c>
      <c r="M422" s="6" t="s">
        <v>59</v>
      </c>
      <c r="N422" s="6"/>
    </row>
    <row r="423" ht="15.75" customHeight="1">
      <c r="A423" s="6" t="s">
        <v>863</v>
      </c>
      <c r="B423" s="6" t="s">
        <v>303</v>
      </c>
      <c r="C423" s="6" t="s">
        <v>781</v>
      </c>
      <c r="D423" s="6" t="s">
        <v>553</v>
      </c>
      <c r="E423" s="6" t="s">
        <v>438</v>
      </c>
      <c r="F423" s="6" t="s">
        <v>181</v>
      </c>
      <c r="G423" s="6" t="s">
        <v>956</v>
      </c>
      <c r="H423" s="6" t="s">
        <v>1105</v>
      </c>
      <c r="I423" s="6" t="s">
        <v>310</v>
      </c>
      <c r="K423" s="6" t="s">
        <v>824</v>
      </c>
      <c r="M423" s="6"/>
    </row>
    <row r="424" ht="15.75" customHeight="1">
      <c r="A424" s="6" t="s">
        <v>863</v>
      </c>
      <c r="B424" s="6" t="s">
        <v>316</v>
      </c>
      <c r="C424" s="6" t="s">
        <v>684</v>
      </c>
      <c r="D424" s="6" t="s">
        <v>429</v>
      </c>
      <c r="E424" s="6" t="s">
        <v>541</v>
      </c>
      <c r="F424" s="6" t="s">
        <v>24</v>
      </c>
      <c r="G424" s="6" t="s">
        <v>947</v>
      </c>
      <c r="H424" s="6" t="s">
        <v>70</v>
      </c>
      <c r="I424" s="6" t="s">
        <v>320</v>
      </c>
      <c r="J424" s="6"/>
      <c r="K424" s="6" t="s">
        <v>820</v>
      </c>
      <c r="L424" s="6" t="s">
        <v>304</v>
      </c>
      <c r="M424" s="6" t="s">
        <v>59</v>
      </c>
      <c r="N424" s="6"/>
    </row>
    <row r="425" ht="15.75" customHeight="1">
      <c r="A425" s="6" t="s">
        <v>863</v>
      </c>
      <c r="B425" s="6" t="s">
        <v>323</v>
      </c>
      <c r="C425" s="6" t="s">
        <v>764</v>
      </c>
      <c r="D425" s="6" t="s">
        <v>429</v>
      </c>
      <c r="E425" s="6" t="s">
        <v>541</v>
      </c>
      <c r="F425" s="6" t="s">
        <v>24</v>
      </c>
      <c r="G425" s="6" t="s">
        <v>947</v>
      </c>
      <c r="H425" s="6" t="s">
        <v>38</v>
      </c>
      <c r="I425" s="6" t="s">
        <v>326</v>
      </c>
      <c r="J425" s="6"/>
      <c r="K425" s="6" t="s">
        <v>820</v>
      </c>
      <c r="L425" s="6" t="s">
        <v>304</v>
      </c>
      <c r="M425" s="6" t="s">
        <v>59</v>
      </c>
      <c r="N425" s="6"/>
    </row>
    <row r="426" ht="15.75" customHeight="1">
      <c r="A426" s="6" t="s">
        <v>863</v>
      </c>
      <c r="B426" s="6" t="s">
        <v>323</v>
      </c>
      <c r="C426" s="6" t="s">
        <v>672</v>
      </c>
      <c r="D426" s="6" t="s">
        <v>429</v>
      </c>
      <c r="E426" s="6" t="s">
        <v>438</v>
      </c>
      <c r="F426" s="6" t="s">
        <v>98</v>
      </c>
      <c r="G426" s="6" t="s">
        <v>956</v>
      </c>
      <c r="H426" s="6" t="s">
        <v>49</v>
      </c>
      <c r="I426" s="6" t="s">
        <v>326</v>
      </c>
      <c r="J426" s="6"/>
      <c r="K426" s="6"/>
      <c r="L426" s="6" t="s">
        <v>304</v>
      </c>
      <c r="M426" s="6" t="s">
        <v>59</v>
      </c>
      <c r="N426" s="6"/>
    </row>
    <row r="427" ht="15.75" customHeight="1">
      <c r="A427" s="6" t="s">
        <v>863</v>
      </c>
      <c r="B427" s="6" t="s">
        <v>1038</v>
      </c>
      <c r="C427" s="6" t="s">
        <v>840</v>
      </c>
      <c r="D427" s="6" t="s">
        <v>429</v>
      </c>
      <c r="E427" s="6" t="s">
        <v>430</v>
      </c>
      <c r="F427" s="6" t="s">
        <v>24</v>
      </c>
      <c r="G427" s="6" t="s">
        <v>947</v>
      </c>
      <c r="H427" s="6" t="s">
        <v>384</v>
      </c>
      <c r="I427" s="6" t="s">
        <v>344</v>
      </c>
      <c r="J427" s="6"/>
      <c r="K427" s="6"/>
      <c r="L427" s="6" t="s">
        <v>304</v>
      </c>
      <c r="M427" s="6" t="s">
        <v>59</v>
      </c>
      <c r="N427" s="6"/>
    </row>
    <row r="428" ht="15.75" customHeight="1">
      <c r="A428" s="6" t="s">
        <v>863</v>
      </c>
      <c r="B428" s="6" t="s">
        <v>1040</v>
      </c>
      <c r="C428" s="6" t="s">
        <v>705</v>
      </c>
      <c r="D428" s="6" t="s">
        <v>429</v>
      </c>
      <c r="E428" s="6" t="s">
        <v>438</v>
      </c>
      <c r="F428" s="6" t="s">
        <v>98</v>
      </c>
      <c r="G428" s="6" t="s">
        <v>956</v>
      </c>
      <c r="H428" s="6" t="s">
        <v>807</v>
      </c>
      <c r="I428" s="6" t="s">
        <v>1041</v>
      </c>
      <c r="J428" s="6"/>
      <c r="K428" s="6"/>
      <c r="L428" s="6" t="s">
        <v>304</v>
      </c>
      <c r="M428" s="6" t="s">
        <v>59</v>
      </c>
      <c r="N428" s="6"/>
    </row>
    <row r="429" ht="15.75" customHeight="1">
      <c r="A429" s="6" t="s">
        <v>863</v>
      </c>
      <c r="B429" s="6" t="s">
        <v>355</v>
      </c>
      <c r="C429" s="6" t="s">
        <v>1222</v>
      </c>
      <c r="D429" s="6" t="s">
        <v>429</v>
      </c>
      <c r="E429" s="6" t="s">
        <v>438</v>
      </c>
      <c r="F429" s="6" t="s">
        <v>98</v>
      </c>
      <c r="G429" s="6" t="s">
        <v>956</v>
      </c>
      <c r="H429" s="6" t="s">
        <v>130</v>
      </c>
      <c r="I429" s="6" t="s">
        <v>359</v>
      </c>
      <c r="J429" s="6" t="s">
        <v>1134</v>
      </c>
      <c r="K429" s="6"/>
      <c r="L429" s="6" t="s">
        <v>304</v>
      </c>
      <c r="M429" s="6" t="s">
        <v>59</v>
      </c>
      <c r="N429" s="6"/>
    </row>
    <row r="430" ht="15.75" customHeight="1">
      <c r="A430" s="6" t="s">
        <v>863</v>
      </c>
      <c r="B430" s="6" t="s">
        <v>355</v>
      </c>
      <c r="C430" s="6" t="s">
        <v>1257</v>
      </c>
      <c r="D430" s="6" t="s">
        <v>429</v>
      </c>
      <c r="E430" s="6" t="s">
        <v>430</v>
      </c>
      <c r="F430" s="6" t="s">
        <v>24</v>
      </c>
      <c r="G430" s="6" t="s">
        <v>947</v>
      </c>
      <c r="H430" s="6" t="s">
        <v>156</v>
      </c>
      <c r="I430" s="6" t="s">
        <v>359</v>
      </c>
      <c r="J430" s="6"/>
      <c r="K430" s="6"/>
      <c r="L430" s="6" t="s">
        <v>304</v>
      </c>
      <c r="M430" s="6" t="s">
        <v>59</v>
      </c>
      <c r="N430" s="6"/>
    </row>
    <row r="431" ht="15.75" customHeight="1">
      <c r="A431" s="6" t="s">
        <v>863</v>
      </c>
      <c r="B431" s="6" t="s">
        <v>366</v>
      </c>
      <c r="C431" s="6" t="s">
        <v>870</v>
      </c>
      <c r="D431" s="6" t="s">
        <v>429</v>
      </c>
      <c r="E431" s="6" t="s">
        <v>524</v>
      </c>
      <c r="F431" s="6" t="s">
        <v>24</v>
      </c>
      <c r="G431" s="6" t="s">
        <v>947</v>
      </c>
      <c r="H431" s="6" t="s">
        <v>101</v>
      </c>
      <c r="I431" s="6" t="s">
        <v>369</v>
      </c>
      <c r="J431" s="6"/>
      <c r="K431" s="6" t="s">
        <v>820</v>
      </c>
      <c r="L431" s="6" t="s">
        <v>304</v>
      </c>
      <c r="M431" s="6" t="s">
        <v>59</v>
      </c>
      <c r="N431" s="6"/>
    </row>
    <row r="432" ht="15.75" customHeight="1">
      <c r="A432" s="6" t="s">
        <v>863</v>
      </c>
      <c r="B432" s="6" t="s">
        <v>376</v>
      </c>
      <c r="C432" s="6" t="s">
        <v>825</v>
      </c>
      <c r="D432" s="6" t="s">
        <v>429</v>
      </c>
      <c r="E432" s="6" t="s">
        <v>459</v>
      </c>
      <c r="F432" s="6" t="s">
        <v>78</v>
      </c>
      <c r="G432" s="6" t="s">
        <v>947</v>
      </c>
      <c r="H432" s="6" t="s">
        <v>26</v>
      </c>
      <c r="I432" s="6" t="s">
        <v>387</v>
      </c>
      <c r="J432" s="6"/>
      <c r="K432" s="6"/>
      <c r="L432" s="6" t="s">
        <v>304</v>
      </c>
      <c r="M432" s="6" t="s">
        <v>59</v>
      </c>
      <c r="N432" s="6"/>
    </row>
    <row r="433" ht="15.75" customHeight="1">
      <c r="A433" s="6" t="s">
        <v>863</v>
      </c>
      <c r="B433" s="6" t="s">
        <v>376</v>
      </c>
      <c r="C433" s="6" t="s">
        <v>848</v>
      </c>
      <c r="D433" s="6" t="s">
        <v>429</v>
      </c>
      <c r="E433" s="6" t="s">
        <v>438</v>
      </c>
      <c r="F433" s="6" t="s">
        <v>98</v>
      </c>
      <c r="G433" s="6" t="s">
        <v>956</v>
      </c>
      <c r="H433" s="6" t="s">
        <v>101</v>
      </c>
      <c r="I433" s="6" t="s">
        <v>387</v>
      </c>
      <c r="J433" s="6"/>
      <c r="K433" s="6" t="s">
        <v>820</v>
      </c>
      <c r="L433" s="6" t="s">
        <v>304</v>
      </c>
      <c r="M433" s="6" t="s">
        <v>59</v>
      </c>
      <c r="N433" s="6"/>
    </row>
    <row r="434" ht="15.75" customHeight="1">
      <c r="A434" s="6" t="s">
        <v>863</v>
      </c>
      <c r="B434" s="6" t="s">
        <v>395</v>
      </c>
      <c r="C434" s="6" t="s">
        <v>848</v>
      </c>
      <c r="D434" s="6" t="s">
        <v>429</v>
      </c>
      <c r="E434" s="6" t="s">
        <v>438</v>
      </c>
      <c r="F434" s="6" t="s">
        <v>181</v>
      </c>
      <c r="G434" s="6" t="s">
        <v>956</v>
      </c>
      <c r="H434" s="6" t="s">
        <v>49</v>
      </c>
      <c r="I434" s="6" t="s">
        <v>398</v>
      </c>
      <c r="J434" s="6"/>
      <c r="K434" s="6"/>
      <c r="L434" s="6" t="s">
        <v>304</v>
      </c>
      <c r="M434" s="6" t="s">
        <v>59</v>
      </c>
      <c r="N434" s="6"/>
    </row>
    <row r="435" ht="15.75" customHeight="1">
      <c r="A435" s="6" t="s">
        <v>863</v>
      </c>
      <c r="B435" s="6" t="s">
        <v>416</v>
      </c>
      <c r="C435" s="6" t="s">
        <v>914</v>
      </c>
      <c r="D435" s="6" t="s">
        <v>429</v>
      </c>
      <c r="E435" s="6" t="s">
        <v>282</v>
      </c>
      <c r="F435" s="6" t="s">
        <v>255</v>
      </c>
      <c r="G435" s="6" t="s">
        <v>961</v>
      </c>
      <c r="H435" s="6" t="s">
        <v>49</v>
      </c>
      <c r="I435" s="6" t="s">
        <v>418</v>
      </c>
      <c r="J435" s="6"/>
      <c r="K435" s="6"/>
      <c r="L435" s="6" t="s">
        <v>304</v>
      </c>
      <c r="M435" s="6" t="s">
        <v>59</v>
      </c>
      <c r="N435" s="6"/>
    </row>
    <row r="436" ht="15.75" customHeight="1">
      <c r="A436" s="6" t="s">
        <v>863</v>
      </c>
      <c r="B436" s="6" t="s">
        <v>666</v>
      </c>
      <c r="C436" s="6" t="s">
        <v>770</v>
      </c>
      <c r="D436" s="6" t="s">
        <v>429</v>
      </c>
      <c r="E436" s="6" t="s">
        <v>438</v>
      </c>
      <c r="F436" s="6" t="s">
        <v>113</v>
      </c>
      <c r="G436" s="6" t="s">
        <v>956</v>
      </c>
      <c r="H436" s="6" t="s">
        <v>66</v>
      </c>
      <c r="I436" s="6" t="s">
        <v>668</v>
      </c>
      <c r="L436" s="6" t="s">
        <v>304</v>
      </c>
      <c r="M436" s="6" t="s">
        <v>373</v>
      </c>
    </row>
    <row r="437" ht="15.75" customHeight="1">
      <c r="A437" s="6" t="s">
        <v>863</v>
      </c>
      <c r="B437" s="6" t="s">
        <v>425</v>
      </c>
      <c r="C437" s="6" t="s">
        <v>848</v>
      </c>
      <c r="D437" s="6" t="s">
        <v>429</v>
      </c>
      <c r="E437" s="6" t="s">
        <v>438</v>
      </c>
      <c r="F437" s="6" t="s">
        <v>98</v>
      </c>
      <c r="G437" s="6" t="s">
        <v>956</v>
      </c>
      <c r="H437" s="6" t="s">
        <v>130</v>
      </c>
      <c r="I437" s="6" t="s">
        <v>427</v>
      </c>
      <c r="J437" s="6"/>
      <c r="K437" s="6"/>
      <c r="L437" s="6" t="s">
        <v>304</v>
      </c>
      <c r="M437" s="6" t="s">
        <v>59</v>
      </c>
      <c r="N437" s="6"/>
    </row>
    <row r="438" ht="15.75" customHeight="1"/>
    <row r="439" ht="15.75" customHeight="1">
      <c r="A439" s="16" t="s">
        <v>900</v>
      </c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ht="15.75" customHeight="1">
      <c r="A440" s="17" t="s">
        <v>1267</v>
      </c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</row>
    <row r="441" ht="15.75" customHeight="1">
      <c r="A441" s="18" t="s">
        <v>4</v>
      </c>
      <c r="B441" s="18" t="s">
        <v>6</v>
      </c>
      <c r="C441" s="18" t="s">
        <v>7</v>
      </c>
      <c r="D441" s="18" t="s">
        <v>8</v>
      </c>
      <c r="E441" s="18" t="s">
        <v>9</v>
      </c>
      <c r="F441" s="18" t="s">
        <v>10</v>
      </c>
      <c r="G441" s="18" t="s">
        <v>11</v>
      </c>
      <c r="H441" s="18" t="s">
        <v>12</v>
      </c>
      <c r="I441" s="18" t="s">
        <v>13</v>
      </c>
      <c r="J441" s="18" t="s">
        <v>14</v>
      </c>
      <c r="K441" s="18" t="s">
        <v>15</v>
      </c>
      <c r="L441" s="18" t="s">
        <v>16</v>
      </c>
      <c r="M441" s="18" t="s">
        <v>17</v>
      </c>
      <c r="N441" s="18" t="s">
        <v>18</v>
      </c>
    </row>
    <row r="442" ht="15.75" customHeight="1">
      <c r="A442" s="6" t="s">
        <v>903</v>
      </c>
      <c r="B442" s="6" t="s">
        <v>1123</v>
      </c>
      <c r="C442" s="6" t="s">
        <v>94</v>
      </c>
      <c r="D442" s="6" t="s">
        <v>365</v>
      </c>
      <c r="E442" s="6" t="s">
        <v>280</v>
      </c>
      <c r="F442" s="6" t="s">
        <v>98</v>
      </c>
      <c r="G442" s="6" t="s">
        <v>100</v>
      </c>
      <c r="H442" s="6" t="s">
        <v>49</v>
      </c>
      <c r="I442" s="6" t="s">
        <v>1124</v>
      </c>
      <c r="J442" s="6"/>
      <c r="K442" s="6"/>
      <c r="L442" s="6" t="s">
        <v>304</v>
      </c>
      <c r="M442" s="6" t="s">
        <v>59</v>
      </c>
      <c r="N442" s="6"/>
    </row>
    <row r="443" ht="15.75" customHeight="1">
      <c r="A443" s="6" t="s">
        <v>903</v>
      </c>
      <c r="B443" s="6" t="s">
        <v>447</v>
      </c>
      <c r="C443" s="6" t="s">
        <v>262</v>
      </c>
      <c r="D443" s="6" t="s">
        <v>526</v>
      </c>
      <c r="E443" s="6" t="s">
        <v>311</v>
      </c>
      <c r="F443" s="6" t="s">
        <v>24</v>
      </c>
      <c r="G443" s="6" t="s">
        <v>48</v>
      </c>
      <c r="H443" s="6" t="s">
        <v>66</v>
      </c>
      <c r="I443" s="6" t="s">
        <v>451</v>
      </c>
      <c r="J443" s="6"/>
      <c r="K443" s="6"/>
      <c r="L443" s="6" t="s">
        <v>304</v>
      </c>
      <c r="M443" s="6" t="s">
        <v>59</v>
      </c>
      <c r="N443" s="6"/>
    </row>
    <row r="444" ht="15.75" customHeight="1">
      <c r="A444" s="6" t="s">
        <v>903</v>
      </c>
      <c r="B444" s="6" t="s">
        <v>460</v>
      </c>
      <c r="C444" s="6" t="s">
        <v>21</v>
      </c>
      <c r="D444" s="6" t="s">
        <v>361</v>
      </c>
      <c r="E444" s="6" t="s">
        <v>211</v>
      </c>
      <c r="F444" s="6" t="s">
        <v>24</v>
      </c>
      <c r="G444" s="6" t="s">
        <v>48</v>
      </c>
      <c r="H444" s="6" t="s">
        <v>105</v>
      </c>
      <c r="I444" s="6" t="s">
        <v>463</v>
      </c>
      <c r="J444" s="6"/>
      <c r="K444" s="6" t="s">
        <v>724</v>
      </c>
      <c r="L444" s="6" t="s">
        <v>304</v>
      </c>
      <c r="M444" s="6" t="s">
        <v>59</v>
      </c>
      <c r="N444" s="6"/>
    </row>
    <row r="445" ht="15.75" customHeight="1">
      <c r="A445" s="6" t="s">
        <v>903</v>
      </c>
      <c r="B445" s="6" t="s">
        <v>468</v>
      </c>
      <c r="C445" s="6" t="s">
        <v>50</v>
      </c>
      <c r="D445" s="6" t="s">
        <v>401</v>
      </c>
      <c r="E445" s="6" t="s">
        <v>73</v>
      </c>
      <c r="F445" s="6" t="s">
        <v>24</v>
      </c>
      <c r="G445" s="6" t="s">
        <v>48</v>
      </c>
      <c r="H445" s="6" t="s">
        <v>101</v>
      </c>
      <c r="I445" s="6" t="s">
        <v>474</v>
      </c>
      <c r="J445" s="6"/>
      <c r="K445" s="6" t="s">
        <v>820</v>
      </c>
      <c r="L445" s="6" t="s">
        <v>304</v>
      </c>
      <c r="M445" s="6" t="s">
        <v>59</v>
      </c>
      <c r="N445" s="6"/>
    </row>
    <row r="446" ht="15.75" customHeight="1">
      <c r="A446" s="6" t="s">
        <v>903</v>
      </c>
      <c r="B446" s="6" t="s">
        <v>494</v>
      </c>
      <c r="C446" s="6" t="s">
        <v>111</v>
      </c>
      <c r="D446" s="6" t="s">
        <v>299</v>
      </c>
      <c r="E446" s="6" t="s">
        <v>37</v>
      </c>
      <c r="F446" s="6" t="s">
        <v>24</v>
      </c>
      <c r="G446" s="6" t="s">
        <v>48</v>
      </c>
      <c r="H446" s="6" t="s">
        <v>156</v>
      </c>
      <c r="I446" s="6" t="s">
        <v>498</v>
      </c>
      <c r="J446" s="6"/>
      <c r="K446" s="6"/>
      <c r="L446" s="6" t="s">
        <v>304</v>
      </c>
      <c r="M446" s="6" t="s">
        <v>59</v>
      </c>
      <c r="N446" s="6"/>
    </row>
    <row r="447" ht="15.75" customHeight="1">
      <c r="A447" s="6" t="s">
        <v>903</v>
      </c>
      <c r="B447" s="6" t="s">
        <v>816</v>
      </c>
      <c r="C447" s="6" t="s">
        <v>133</v>
      </c>
      <c r="D447" s="6" t="s">
        <v>1060</v>
      </c>
      <c r="E447" s="6" t="s">
        <v>311</v>
      </c>
      <c r="F447" s="6" t="s">
        <v>24</v>
      </c>
      <c r="G447" s="6" t="s">
        <v>48</v>
      </c>
      <c r="H447" s="6" t="s">
        <v>1039</v>
      </c>
      <c r="I447" s="6" t="s">
        <v>819</v>
      </c>
      <c r="J447" s="6"/>
      <c r="K447" s="6"/>
      <c r="L447" s="6" t="s">
        <v>304</v>
      </c>
      <c r="M447" s="6" t="s">
        <v>59</v>
      </c>
      <c r="N447" s="6"/>
    </row>
    <row r="448" ht="15.75" customHeight="1">
      <c r="A448" s="6" t="s">
        <v>903</v>
      </c>
      <c r="B448" s="6" t="s">
        <v>510</v>
      </c>
      <c r="C448" s="6" t="s">
        <v>133</v>
      </c>
      <c r="D448" s="6" t="s">
        <v>443</v>
      </c>
      <c r="E448" s="6" t="s">
        <v>907</v>
      </c>
      <c r="F448" s="6" t="s">
        <v>138</v>
      </c>
      <c r="G448" s="6" t="s">
        <v>140</v>
      </c>
      <c r="H448" s="6" t="s">
        <v>70</v>
      </c>
      <c r="I448" s="6" t="s">
        <v>514</v>
      </c>
      <c r="J448" s="6"/>
      <c r="K448" s="6" t="s">
        <v>820</v>
      </c>
      <c r="L448" s="6" t="s">
        <v>304</v>
      </c>
      <c r="M448" s="6" t="s">
        <v>59</v>
      </c>
      <c r="N448" s="6"/>
    </row>
    <row r="449" ht="15.75" customHeight="1">
      <c r="A449" s="6" t="s">
        <v>903</v>
      </c>
      <c r="B449" s="6" t="s">
        <v>523</v>
      </c>
      <c r="C449" s="6" t="s">
        <v>262</v>
      </c>
      <c r="D449" s="6" t="s">
        <v>401</v>
      </c>
      <c r="E449" s="6" t="s">
        <v>280</v>
      </c>
      <c r="F449" s="6" t="s">
        <v>181</v>
      </c>
      <c r="G449" s="6" t="s">
        <v>100</v>
      </c>
      <c r="H449" s="6" t="s">
        <v>101</v>
      </c>
      <c r="I449" s="6" t="s">
        <v>530</v>
      </c>
      <c r="J449" s="6"/>
      <c r="K449" s="6" t="s">
        <v>820</v>
      </c>
      <c r="L449" s="6" t="s">
        <v>304</v>
      </c>
      <c r="M449" s="6" t="s">
        <v>59</v>
      </c>
      <c r="N449" s="6"/>
    </row>
    <row r="450" ht="15.75" customHeight="1">
      <c r="A450" s="6" t="s">
        <v>903</v>
      </c>
      <c r="B450" s="6" t="s">
        <v>533</v>
      </c>
      <c r="C450" s="6" t="s">
        <v>61</v>
      </c>
      <c r="D450" s="6" t="s">
        <v>365</v>
      </c>
      <c r="E450" s="6" t="s">
        <v>211</v>
      </c>
      <c r="F450" s="6" t="s">
        <v>78</v>
      </c>
      <c r="G450" s="6" t="s">
        <v>48</v>
      </c>
      <c r="H450" s="6" t="s">
        <v>49</v>
      </c>
      <c r="I450" s="6" t="s">
        <v>538</v>
      </c>
      <c r="J450" s="6"/>
      <c r="K450" s="6"/>
      <c r="L450" s="6" t="s">
        <v>304</v>
      </c>
      <c r="M450" s="6" t="s">
        <v>59</v>
      </c>
      <c r="N450" s="6"/>
    </row>
    <row r="451" ht="15.75" customHeight="1">
      <c r="A451" s="6" t="s">
        <v>903</v>
      </c>
      <c r="B451" s="6" t="s">
        <v>856</v>
      </c>
      <c r="C451" s="6" t="s">
        <v>177</v>
      </c>
      <c r="D451" s="6" t="s">
        <v>1272</v>
      </c>
      <c r="E451" s="6" t="s">
        <v>280</v>
      </c>
      <c r="F451" s="6" t="s">
        <v>181</v>
      </c>
      <c r="G451" s="6" t="s">
        <v>100</v>
      </c>
      <c r="H451" s="6" t="s">
        <v>1108</v>
      </c>
      <c r="I451" s="6" t="s">
        <v>861</v>
      </c>
      <c r="J451" s="6"/>
      <c r="K451" s="6"/>
      <c r="L451" s="6" t="s">
        <v>304</v>
      </c>
      <c r="M451" s="6" t="s">
        <v>59</v>
      </c>
      <c r="N451" s="6"/>
    </row>
    <row r="452" ht="15.75" customHeight="1">
      <c r="A452" s="6" t="s">
        <v>903</v>
      </c>
      <c r="B452" s="6" t="s">
        <v>1021</v>
      </c>
      <c r="C452" s="6" t="s">
        <v>262</v>
      </c>
      <c r="D452" s="6" t="s">
        <v>499</v>
      </c>
      <c r="E452" s="6" t="s">
        <v>77</v>
      </c>
      <c r="F452" s="6" t="s">
        <v>24</v>
      </c>
      <c r="G452" s="6" t="s">
        <v>48</v>
      </c>
      <c r="H452" s="6" t="s">
        <v>26</v>
      </c>
      <c r="I452" s="6"/>
      <c r="J452" s="6"/>
      <c r="K452" s="6"/>
      <c r="L452" s="6" t="s">
        <v>304</v>
      </c>
      <c r="M452" s="6" t="s">
        <v>59</v>
      </c>
      <c r="N452" s="6"/>
    </row>
    <row r="453" ht="15.75" customHeight="1">
      <c r="A453" s="6" t="s">
        <v>903</v>
      </c>
      <c r="B453" s="6" t="s">
        <v>572</v>
      </c>
      <c r="C453" s="6" t="s">
        <v>133</v>
      </c>
      <c r="D453" s="6" t="s">
        <v>401</v>
      </c>
      <c r="E453" s="6" t="s">
        <v>280</v>
      </c>
      <c r="F453" s="6" t="s">
        <v>98</v>
      </c>
      <c r="G453" s="6" t="s">
        <v>100</v>
      </c>
      <c r="H453" s="6" t="s">
        <v>101</v>
      </c>
      <c r="I453" s="6" t="s">
        <v>579</v>
      </c>
      <c r="J453" s="6"/>
      <c r="K453" s="6" t="s">
        <v>820</v>
      </c>
      <c r="L453" s="6" t="s">
        <v>304</v>
      </c>
      <c r="M453" s="6" t="s">
        <v>59</v>
      </c>
      <c r="N453" s="6"/>
    </row>
    <row r="454" ht="15.75" customHeight="1">
      <c r="A454" s="6" t="s">
        <v>903</v>
      </c>
      <c r="B454" s="6" t="s">
        <v>572</v>
      </c>
      <c r="C454" s="6" t="s">
        <v>21</v>
      </c>
      <c r="D454" s="6" t="s">
        <v>401</v>
      </c>
      <c r="E454" s="6" t="s">
        <v>280</v>
      </c>
      <c r="F454" s="6" t="s">
        <v>67</v>
      </c>
      <c r="G454" s="6" t="s">
        <v>68</v>
      </c>
      <c r="H454" s="6" t="s">
        <v>101</v>
      </c>
      <c r="I454" s="6" t="s">
        <v>579</v>
      </c>
      <c r="J454" s="6" t="s">
        <v>589</v>
      </c>
      <c r="K454" s="6" t="s">
        <v>820</v>
      </c>
      <c r="L454" s="6" t="s">
        <v>304</v>
      </c>
      <c r="M454" s="6" t="s">
        <v>59</v>
      </c>
      <c r="N454" s="6"/>
    </row>
    <row r="455" ht="15.75" customHeight="1">
      <c r="A455" s="6" t="s">
        <v>903</v>
      </c>
      <c r="B455" s="6" t="s">
        <v>611</v>
      </c>
      <c r="C455" s="6" t="s">
        <v>177</v>
      </c>
      <c r="D455" s="6" t="s">
        <v>443</v>
      </c>
      <c r="E455" s="6" t="s">
        <v>37</v>
      </c>
      <c r="F455" s="6" t="s">
        <v>24</v>
      </c>
      <c r="G455" s="6" t="s">
        <v>48</v>
      </c>
      <c r="H455" s="6" t="s">
        <v>70</v>
      </c>
      <c r="I455" s="6" t="s">
        <v>614</v>
      </c>
      <c r="J455" s="6"/>
      <c r="K455" s="6" t="s">
        <v>820</v>
      </c>
      <c r="L455" s="6" t="s">
        <v>304</v>
      </c>
      <c r="M455" s="6" t="s">
        <v>59</v>
      </c>
      <c r="N455" s="6"/>
    </row>
    <row r="456" ht="15.75" customHeight="1">
      <c r="A456" s="6" t="s">
        <v>903</v>
      </c>
      <c r="B456" s="6" t="s">
        <v>611</v>
      </c>
      <c r="C456" s="6" t="s">
        <v>94</v>
      </c>
      <c r="D456" s="6" t="s">
        <v>499</v>
      </c>
      <c r="E456" s="6" t="s">
        <v>280</v>
      </c>
      <c r="F456" s="6" t="s">
        <v>98</v>
      </c>
      <c r="G456" s="6" t="s">
        <v>100</v>
      </c>
      <c r="H456" s="6" t="s">
        <v>26</v>
      </c>
      <c r="I456" s="6" t="s">
        <v>614</v>
      </c>
      <c r="J456" s="6"/>
      <c r="K456" s="6"/>
      <c r="L456" s="6" t="s">
        <v>304</v>
      </c>
      <c r="M456" s="6" t="s">
        <v>59</v>
      </c>
      <c r="N456" s="6"/>
    </row>
    <row r="457" ht="15.75" customHeight="1">
      <c r="A457" s="6" t="s">
        <v>903</v>
      </c>
      <c r="B457" s="6" t="s">
        <v>621</v>
      </c>
      <c r="C457" s="6" t="s">
        <v>43</v>
      </c>
      <c r="D457" s="6" t="s">
        <v>821</v>
      </c>
      <c r="E457" s="6" t="s">
        <v>280</v>
      </c>
      <c r="F457" s="6" t="s">
        <v>67</v>
      </c>
      <c r="G457" s="6" t="s">
        <v>68</v>
      </c>
      <c r="H457" s="6" t="s">
        <v>55</v>
      </c>
      <c r="I457" s="6" t="s">
        <v>624</v>
      </c>
      <c r="J457" s="6"/>
      <c r="K457" s="6"/>
      <c r="L457" s="6" t="s">
        <v>304</v>
      </c>
      <c r="M457" s="6" t="s">
        <v>59</v>
      </c>
      <c r="N457" s="6"/>
    </row>
    <row r="458" ht="15.75" customHeight="1">
      <c r="A458" s="6" t="s">
        <v>903</v>
      </c>
      <c r="B458" s="6" t="s">
        <v>366</v>
      </c>
      <c r="C458" s="6" t="s">
        <v>94</v>
      </c>
      <c r="D458" s="6" t="s">
        <v>361</v>
      </c>
      <c r="E458" s="6" t="s">
        <v>73</v>
      </c>
      <c r="F458" s="6" t="s">
        <v>24</v>
      </c>
      <c r="G458" s="6" t="s">
        <v>48</v>
      </c>
      <c r="H458" s="6" t="s">
        <v>105</v>
      </c>
      <c r="I458" s="6" t="s">
        <v>369</v>
      </c>
      <c r="J458" s="6"/>
      <c r="K458" s="6" t="s">
        <v>724</v>
      </c>
      <c r="L458" s="6" t="s">
        <v>304</v>
      </c>
      <c r="M458" s="6" t="s">
        <v>59</v>
      </c>
      <c r="N458" s="6"/>
    </row>
    <row r="459" ht="15.75" customHeight="1">
      <c r="A459" s="6" t="s">
        <v>903</v>
      </c>
      <c r="B459" s="6" t="s">
        <v>631</v>
      </c>
      <c r="C459" s="6" t="s">
        <v>177</v>
      </c>
      <c r="D459" s="6" t="s">
        <v>526</v>
      </c>
      <c r="E459" s="6" t="s">
        <v>37</v>
      </c>
      <c r="F459" s="6" t="s">
        <v>24</v>
      </c>
      <c r="G459" s="6" t="s">
        <v>48</v>
      </c>
      <c r="H459" s="6" t="s">
        <v>66</v>
      </c>
      <c r="I459" s="6" t="s">
        <v>640</v>
      </c>
      <c r="J459" s="6"/>
      <c r="K459" s="6"/>
      <c r="L459" s="6" t="s">
        <v>304</v>
      </c>
      <c r="M459" s="6" t="s">
        <v>59</v>
      </c>
      <c r="N459" s="6"/>
    </row>
    <row r="460" ht="15.75" customHeight="1">
      <c r="A460" s="6" t="s">
        <v>903</v>
      </c>
      <c r="B460" s="6" t="s">
        <v>1280</v>
      </c>
      <c r="C460" s="6" t="s">
        <v>133</v>
      </c>
      <c r="D460" s="6" t="s">
        <v>1114</v>
      </c>
      <c r="E460" s="6" t="s">
        <v>37</v>
      </c>
      <c r="F460" s="6" t="s">
        <v>24</v>
      </c>
      <c r="G460" s="6" t="s">
        <v>48</v>
      </c>
      <c r="H460" s="6" t="s">
        <v>1115</v>
      </c>
      <c r="I460" s="6" t="s">
        <v>1281</v>
      </c>
      <c r="J460" s="6"/>
      <c r="K460" s="6" t="s">
        <v>724</v>
      </c>
      <c r="L460" s="6" t="s">
        <v>304</v>
      </c>
      <c r="M460" s="6" t="s">
        <v>59</v>
      </c>
      <c r="N460" s="6"/>
    </row>
    <row r="461" ht="15.75" customHeight="1">
      <c r="A461" s="6" t="s">
        <v>903</v>
      </c>
      <c r="B461" s="6" t="s">
        <v>1051</v>
      </c>
      <c r="C461" s="6" t="s">
        <v>262</v>
      </c>
      <c r="D461" s="6" t="s">
        <v>731</v>
      </c>
      <c r="E461" s="6" t="s">
        <v>280</v>
      </c>
      <c r="F461" s="6" t="s">
        <v>181</v>
      </c>
      <c r="G461" s="6" t="s">
        <v>100</v>
      </c>
      <c r="H461" s="6" t="s">
        <v>38</v>
      </c>
      <c r="I461" s="6" t="s">
        <v>1052</v>
      </c>
      <c r="J461" s="6"/>
      <c r="K461" s="6" t="s">
        <v>820</v>
      </c>
      <c r="L461" s="6" t="s">
        <v>304</v>
      </c>
      <c r="M461" s="6" t="s">
        <v>59</v>
      </c>
      <c r="N461" s="6"/>
    </row>
    <row r="462" ht="15.75" customHeight="1">
      <c r="A462" s="6" t="s">
        <v>903</v>
      </c>
      <c r="B462" s="6" t="s">
        <v>1051</v>
      </c>
      <c r="C462" s="6" t="s">
        <v>43</v>
      </c>
      <c r="D462" s="6" t="s">
        <v>299</v>
      </c>
      <c r="E462" s="6" t="s">
        <v>37</v>
      </c>
      <c r="F462" s="6" t="s">
        <v>24</v>
      </c>
      <c r="G462" s="6" t="s">
        <v>48</v>
      </c>
      <c r="H462" s="6" t="s">
        <v>156</v>
      </c>
      <c r="I462" s="6" t="s">
        <v>1052</v>
      </c>
      <c r="J462" s="6"/>
      <c r="K462" s="6"/>
      <c r="L462" s="6" t="s">
        <v>304</v>
      </c>
      <c r="M462" s="6" t="s">
        <v>59</v>
      </c>
      <c r="N462" s="6"/>
    </row>
    <row r="463" ht="15.75" customHeight="1">
      <c r="A463" s="6" t="s">
        <v>903</v>
      </c>
      <c r="B463" s="6" t="s">
        <v>1132</v>
      </c>
      <c r="C463" s="6" t="s">
        <v>145</v>
      </c>
      <c r="D463" s="6" t="s">
        <v>499</v>
      </c>
      <c r="E463" s="6" t="s">
        <v>280</v>
      </c>
      <c r="F463" s="6" t="s">
        <v>67</v>
      </c>
      <c r="G463" s="6" t="s">
        <v>68</v>
      </c>
      <c r="H463" s="6" t="s">
        <v>26</v>
      </c>
      <c r="I463" s="6" t="s">
        <v>1133</v>
      </c>
      <c r="J463" s="6"/>
      <c r="K463" s="6"/>
      <c r="L463" s="6" t="s">
        <v>304</v>
      </c>
      <c r="M463" s="6" t="s">
        <v>59</v>
      </c>
      <c r="N463" s="6"/>
    </row>
    <row r="464" ht="15.75" customHeight="1">
      <c r="A464" s="6" t="s">
        <v>903</v>
      </c>
      <c r="B464" s="6" t="s">
        <v>929</v>
      </c>
      <c r="C464" s="6" t="s">
        <v>177</v>
      </c>
      <c r="D464" s="6" t="s">
        <v>1282</v>
      </c>
      <c r="E464" s="6" t="s">
        <v>280</v>
      </c>
      <c r="F464" s="6" t="s">
        <v>98</v>
      </c>
      <c r="G464" s="6" t="s">
        <v>100</v>
      </c>
      <c r="H464" s="6" t="s">
        <v>1269</v>
      </c>
      <c r="I464" s="6" t="s">
        <v>934</v>
      </c>
      <c r="K464" s="6" t="s">
        <v>820</v>
      </c>
      <c r="L464" s="6" t="s">
        <v>304</v>
      </c>
      <c r="M464" s="6" t="s">
        <v>561</v>
      </c>
    </row>
    <row r="465" ht="15.75" customHeight="1">
      <c r="A465" s="6" t="s">
        <v>903</v>
      </c>
      <c r="B465" s="6" t="s">
        <v>660</v>
      </c>
      <c r="C465" s="6" t="s">
        <v>62</v>
      </c>
      <c r="D465" s="6" t="s">
        <v>526</v>
      </c>
      <c r="E465" s="6" t="s">
        <v>907</v>
      </c>
      <c r="F465" s="6" t="s">
        <v>138</v>
      </c>
      <c r="G465" s="6" t="s">
        <v>140</v>
      </c>
      <c r="H465" s="6" t="s">
        <v>66</v>
      </c>
      <c r="I465" s="6" t="s">
        <v>664</v>
      </c>
      <c r="J465" s="6"/>
      <c r="K465" s="6"/>
      <c r="L465" s="6" t="s">
        <v>304</v>
      </c>
      <c r="M465" s="6" t="s">
        <v>59</v>
      </c>
      <c r="N465" s="6"/>
    </row>
    <row r="466" ht="15.75" customHeight="1">
      <c r="A466" s="6" t="s">
        <v>903</v>
      </c>
      <c r="B466" s="6" t="s">
        <v>1199</v>
      </c>
      <c r="C466" s="6" t="s">
        <v>61</v>
      </c>
      <c r="D466" s="6" t="s">
        <v>331</v>
      </c>
      <c r="E466" s="6" t="s">
        <v>311</v>
      </c>
      <c r="F466" s="6" t="s">
        <v>24</v>
      </c>
      <c r="G466" s="6" t="s">
        <v>48</v>
      </c>
      <c r="H466" s="6" t="s">
        <v>130</v>
      </c>
      <c r="I466" s="6" t="s">
        <v>1200</v>
      </c>
      <c r="J466" s="6"/>
      <c r="K466" s="6"/>
      <c r="L466" s="6" t="s">
        <v>304</v>
      </c>
      <c r="M466" s="6" t="s">
        <v>30</v>
      </c>
      <c r="N466" s="6"/>
    </row>
    <row r="467" ht="15.75" customHeight="1">
      <c r="A467" s="6" t="s">
        <v>903</v>
      </c>
      <c r="B467" s="6" t="s">
        <v>1064</v>
      </c>
      <c r="C467" s="6" t="s">
        <v>43</v>
      </c>
      <c r="D467" s="6" t="s">
        <v>821</v>
      </c>
      <c r="E467" s="6" t="s">
        <v>77</v>
      </c>
      <c r="F467" s="6" t="s">
        <v>24</v>
      </c>
      <c r="G467" s="6" t="s">
        <v>48</v>
      </c>
      <c r="H467" s="6" t="s">
        <v>55</v>
      </c>
      <c r="I467" s="6" t="s">
        <v>1066</v>
      </c>
      <c r="J467" s="6" t="s">
        <v>1134</v>
      </c>
      <c r="K467" s="6"/>
      <c r="L467" s="6" t="s">
        <v>304</v>
      </c>
      <c r="M467" s="6" t="s">
        <v>59</v>
      </c>
      <c r="N467" s="6"/>
    </row>
    <row r="468" ht="15.75" customHeight="1"/>
    <row r="469" ht="15.75" customHeight="1">
      <c r="A469" s="16" t="s">
        <v>928</v>
      </c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ht="15.75" customHeight="1">
      <c r="A470" s="17" t="s">
        <v>1283</v>
      </c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</row>
    <row r="471" ht="15.75" customHeight="1">
      <c r="A471" s="18" t="s">
        <v>4</v>
      </c>
      <c r="B471" s="18" t="s">
        <v>6</v>
      </c>
      <c r="C471" s="18" t="s">
        <v>7</v>
      </c>
      <c r="D471" s="18" t="s">
        <v>8</v>
      </c>
      <c r="E471" s="18" t="s">
        <v>9</v>
      </c>
      <c r="F471" s="18" t="s">
        <v>10</v>
      </c>
      <c r="G471" s="18" t="s">
        <v>11</v>
      </c>
      <c r="H471" s="18" t="s">
        <v>12</v>
      </c>
      <c r="I471" s="18" t="s">
        <v>13</v>
      </c>
      <c r="J471" s="18" t="s">
        <v>14</v>
      </c>
      <c r="K471" s="18" t="s">
        <v>15</v>
      </c>
      <c r="L471" s="18" t="s">
        <v>16</v>
      </c>
      <c r="M471" s="18" t="s">
        <v>17</v>
      </c>
      <c r="N471" s="18" t="s">
        <v>18</v>
      </c>
    </row>
    <row r="472" ht="15.75" customHeight="1">
      <c r="A472" s="6" t="s">
        <v>935</v>
      </c>
      <c r="B472" s="6" t="s">
        <v>697</v>
      </c>
      <c r="C472" s="6" t="s">
        <v>539</v>
      </c>
      <c r="D472" s="6" t="s">
        <v>30</v>
      </c>
      <c r="E472" s="6" t="s">
        <v>430</v>
      </c>
      <c r="F472" s="6" t="s">
        <v>24</v>
      </c>
      <c r="G472" s="6" t="s">
        <v>936</v>
      </c>
      <c r="H472" s="6" t="s">
        <v>49</v>
      </c>
      <c r="I472" s="6" t="s">
        <v>699</v>
      </c>
      <c r="J472" s="6"/>
      <c r="K472" s="6"/>
      <c r="L472" s="6" t="s">
        <v>304</v>
      </c>
      <c r="M472" s="6" t="s">
        <v>59</v>
      </c>
      <c r="N472" s="6"/>
    </row>
    <row r="473" ht="15.75" customHeight="1">
      <c r="A473" s="6" t="s">
        <v>935</v>
      </c>
      <c r="B473" s="6" t="s">
        <v>701</v>
      </c>
      <c r="C473" s="6" t="s">
        <v>469</v>
      </c>
      <c r="D473" s="6" t="s">
        <v>429</v>
      </c>
      <c r="E473" s="6" t="s">
        <v>224</v>
      </c>
      <c r="F473" s="6" t="s">
        <v>255</v>
      </c>
      <c r="G473" s="6" t="s">
        <v>936</v>
      </c>
      <c r="H473" s="6" t="s">
        <v>130</v>
      </c>
      <c r="I473" s="6" t="s">
        <v>706</v>
      </c>
      <c r="J473" s="6"/>
      <c r="K473" s="6"/>
      <c r="L473" s="6" t="s">
        <v>304</v>
      </c>
      <c r="M473" s="6" t="s">
        <v>59</v>
      </c>
      <c r="N473" s="6"/>
    </row>
    <row r="474" ht="15.75" customHeight="1">
      <c r="A474" s="6" t="s">
        <v>935</v>
      </c>
      <c r="B474" s="6" t="s">
        <v>447</v>
      </c>
      <c r="C474" s="6" t="s">
        <v>539</v>
      </c>
      <c r="D474" s="6" t="s">
        <v>429</v>
      </c>
      <c r="E474" s="6" t="s">
        <v>592</v>
      </c>
      <c r="F474" s="6" t="s">
        <v>24</v>
      </c>
      <c r="G474" s="6" t="s">
        <v>936</v>
      </c>
      <c r="H474" s="6" t="s">
        <v>156</v>
      </c>
      <c r="I474" s="6" t="s">
        <v>451</v>
      </c>
      <c r="J474" s="6"/>
      <c r="K474" s="6"/>
      <c r="L474" s="6" t="s">
        <v>304</v>
      </c>
      <c r="M474" s="6" t="s">
        <v>59</v>
      </c>
      <c r="N474" s="6"/>
    </row>
    <row r="475" ht="15.75" customHeight="1">
      <c r="A475" s="6" t="s">
        <v>935</v>
      </c>
      <c r="B475" s="6" t="s">
        <v>725</v>
      </c>
      <c r="C475" s="6" t="s">
        <v>591</v>
      </c>
      <c r="D475" s="6" t="s">
        <v>429</v>
      </c>
      <c r="E475" s="6" t="s">
        <v>508</v>
      </c>
      <c r="F475" s="6" t="s">
        <v>78</v>
      </c>
      <c r="G475" s="6" t="s">
        <v>936</v>
      </c>
      <c r="H475" s="6" t="s">
        <v>55</v>
      </c>
      <c r="I475" s="6" t="s">
        <v>728</v>
      </c>
      <c r="J475" s="6"/>
      <c r="K475" s="6"/>
      <c r="L475" s="6" t="s">
        <v>304</v>
      </c>
      <c r="M475" s="6" t="s">
        <v>373</v>
      </c>
      <c r="N475" s="6"/>
    </row>
    <row r="476" ht="15.75" customHeight="1">
      <c r="A476" s="6" t="s">
        <v>935</v>
      </c>
      <c r="B476" s="6" t="s">
        <v>148</v>
      </c>
      <c r="C476" s="6" t="s">
        <v>608</v>
      </c>
      <c r="D476" s="6" t="s">
        <v>553</v>
      </c>
      <c r="E476" s="6" t="s">
        <v>459</v>
      </c>
      <c r="F476" s="6" t="s">
        <v>24</v>
      </c>
      <c r="G476" s="6" t="s">
        <v>936</v>
      </c>
      <c r="H476" s="6" t="s">
        <v>558</v>
      </c>
      <c r="I476" s="6" t="s">
        <v>154</v>
      </c>
      <c r="L476" s="6" t="s">
        <v>995</v>
      </c>
      <c r="M476" s="6"/>
    </row>
    <row r="477" ht="15.75" customHeight="1">
      <c r="A477" s="6" t="s">
        <v>935</v>
      </c>
      <c r="B477" s="6" t="s">
        <v>483</v>
      </c>
      <c r="C477" s="6" t="s">
        <v>445</v>
      </c>
      <c r="D477" s="6" t="s">
        <v>429</v>
      </c>
      <c r="E477" s="6" t="s">
        <v>592</v>
      </c>
      <c r="F477" s="6" t="s">
        <v>24</v>
      </c>
      <c r="G477" s="6" t="s">
        <v>936</v>
      </c>
      <c r="H477" s="6" t="s">
        <v>38</v>
      </c>
      <c r="I477" s="6" t="s">
        <v>488</v>
      </c>
      <c r="J477" s="6"/>
      <c r="K477" s="6" t="s">
        <v>937</v>
      </c>
      <c r="L477" s="6" t="s">
        <v>304</v>
      </c>
      <c r="M477" s="6" t="s">
        <v>59</v>
      </c>
      <c r="N477" s="6"/>
    </row>
    <row r="478" ht="15.75" customHeight="1">
      <c r="A478" s="6" t="s">
        <v>935</v>
      </c>
      <c r="B478" s="6" t="s">
        <v>741</v>
      </c>
      <c r="C478" s="6" t="s">
        <v>588</v>
      </c>
      <c r="D478" s="6" t="s">
        <v>429</v>
      </c>
      <c r="E478" s="6" t="s">
        <v>325</v>
      </c>
      <c r="F478" s="6" t="s">
        <v>138</v>
      </c>
      <c r="G478" s="6" t="s">
        <v>936</v>
      </c>
      <c r="H478" s="6" t="s">
        <v>70</v>
      </c>
      <c r="I478" s="6" t="s">
        <v>744</v>
      </c>
      <c r="J478" s="6"/>
      <c r="K478" s="6" t="s">
        <v>937</v>
      </c>
      <c r="L478" s="6" t="s">
        <v>304</v>
      </c>
      <c r="M478" s="6" t="s">
        <v>59</v>
      </c>
      <c r="N478" s="6"/>
    </row>
    <row r="479" ht="15.75" customHeight="1">
      <c r="A479" s="6" t="s">
        <v>935</v>
      </c>
      <c r="B479" s="6" t="s">
        <v>494</v>
      </c>
      <c r="C479" s="6" t="s">
        <v>608</v>
      </c>
      <c r="D479" s="6" t="s">
        <v>30</v>
      </c>
      <c r="E479" s="6" t="s">
        <v>430</v>
      </c>
      <c r="F479" s="6" t="s">
        <v>24</v>
      </c>
      <c r="G479" s="6" t="s">
        <v>936</v>
      </c>
      <c r="H479" s="6" t="s">
        <v>49</v>
      </c>
      <c r="I479" s="6" t="s">
        <v>498</v>
      </c>
      <c r="J479" s="6"/>
      <c r="K479" s="6"/>
      <c r="L479" s="6" t="s">
        <v>304</v>
      </c>
      <c r="M479" s="6" t="s">
        <v>59</v>
      </c>
      <c r="N479" s="6"/>
    </row>
    <row r="480" ht="15.75" customHeight="1">
      <c r="A480" s="6" t="s">
        <v>935</v>
      </c>
      <c r="B480" s="6" t="s">
        <v>748</v>
      </c>
      <c r="C480" s="6" t="s">
        <v>639</v>
      </c>
      <c r="D480" s="6" t="s">
        <v>429</v>
      </c>
      <c r="E480" s="6" t="s">
        <v>714</v>
      </c>
      <c r="F480" s="6" t="s">
        <v>24</v>
      </c>
      <c r="G480" s="6" t="s">
        <v>936</v>
      </c>
      <c r="H480" s="6" t="s">
        <v>130</v>
      </c>
      <c r="I480" s="6" t="s">
        <v>751</v>
      </c>
      <c r="J480" s="6"/>
      <c r="K480" s="6"/>
      <c r="L480" s="6" t="s">
        <v>304</v>
      </c>
      <c r="M480" s="6" t="s">
        <v>59</v>
      </c>
      <c r="N480" s="6"/>
    </row>
    <row r="481" ht="15.75" customHeight="1">
      <c r="A481" s="6" t="s">
        <v>935</v>
      </c>
      <c r="B481" s="6" t="s">
        <v>748</v>
      </c>
      <c r="C481" s="6" t="s">
        <v>588</v>
      </c>
      <c r="D481" s="6" t="s">
        <v>429</v>
      </c>
      <c r="E481" s="6" t="s">
        <v>224</v>
      </c>
      <c r="F481" s="6" t="s">
        <v>255</v>
      </c>
      <c r="G481" s="6" t="s">
        <v>936</v>
      </c>
      <c r="H481" s="6" t="s">
        <v>807</v>
      </c>
      <c r="I481" s="6" t="s">
        <v>751</v>
      </c>
      <c r="J481" s="6"/>
      <c r="K481" s="6"/>
      <c r="L481" s="6" t="s">
        <v>304</v>
      </c>
      <c r="M481" s="6" t="s">
        <v>59</v>
      </c>
      <c r="N481" s="6"/>
    </row>
    <row r="482" ht="15.75" customHeight="1">
      <c r="A482" s="6" t="s">
        <v>935</v>
      </c>
      <c r="B482" s="6" t="s">
        <v>778</v>
      </c>
      <c r="C482" s="6" t="s">
        <v>973</v>
      </c>
      <c r="D482" s="6" t="s">
        <v>429</v>
      </c>
      <c r="E482" s="6" t="s">
        <v>136</v>
      </c>
      <c r="F482" s="6" t="s">
        <v>138</v>
      </c>
      <c r="G482" s="6" t="s">
        <v>936</v>
      </c>
      <c r="H482" s="6" t="s">
        <v>105</v>
      </c>
      <c r="I482" s="6" t="s">
        <v>782</v>
      </c>
      <c r="J482" s="6"/>
      <c r="K482" s="6" t="s">
        <v>945</v>
      </c>
      <c r="L482" s="6" t="s">
        <v>304</v>
      </c>
      <c r="M482" s="6" t="s">
        <v>59</v>
      </c>
      <c r="N482" s="6"/>
    </row>
    <row r="483" ht="15.75" customHeight="1">
      <c r="A483" s="6" t="s">
        <v>935</v>
      </c>
      <c r="B483" s="6" t="s">
        <v>795</v>
      </c>
      <c r="C483" s="6" t="s">
        <v>469</v>
      </c>
      <c r="D483" s="6" t="s">
        <v>429</v>
      </c>
      <c r="E483" s="6" t="s">
        <v>438</v>
      </c>
      <c r="F483" s="6" t="s">
        <v>113</v>
      </c>
      <c r="G483" s="6" t="s">
        <v>936</v>
      </c>
      <c r="H483" s="6" t="s">
        <v>70</v>
      </c>
      <c r="I483" s="6" t="s">
        <v>803</v>
      </c>
      <c r="J483" s="6" t="s">
        <v>804</v>
      </c>
      <c r="K483" s="6" t="s">
        <v>937</v>
      </c>
      <c r="L483" s="6" t="s">
        <v>304</v>
      </c>
      <c r="M483" s="6" t="s">
        <v>59</v>
      </c>
      <c r="N483" s="6"/>
    </row>
    <row r="484" ht="15.75" customHeight="1">
      <c r="A484" s="6" t="s">
        <v>935</v>
      </c>
      <c r="B484" s="6" t="s">
        <v>808</v>
      </c>
      <c r="C484" s="6" t="s">
        <v>482</v>
      </c>
      <c r="D484" s="6" t="s">
        <v>429</v>
      </c>
      <c r="E484" s="6" t="s">
        <v>438</v>
      </c>
      <c r="F484" s="6" t="s">
        <v>98</v>
      </c>
      <c r="G484" s="6" t="s">
        <v>936</v>
      </c>
      <c r="H484" s="6" t="s">
        <v>101</v>
      </c>
      <c r="I484" s="6" t="s">
        <v>813</v>
      </c>
      <c r="J484" s="6"/>
      <c r="K484" s="6" t="s">
        <v>937</v>
      </c>
      <c r="L484" s="6" t="s">
        <v>304</v>
      </c>
      <c r="M484" s="6" t="s">
        <v>59</v>
      </c>
      <c r="N484" s="6"/>
    </row>
    <row r="485" ht="15.75" customHeight="1">
      <c r="A485" s="6" t="s">
        <v>935</v>
      </c>
      <c r="B485" s="6" t="s">
        <v>816</v>
      </c>
      <c r="C485" s="6" t="s">
        <v>445</v>
      </c>
      <c r="D485" s="6" t="s">
        <v>429</v>
      </c>
      <c r="E485" s="6" t="s">
        <v>592</v>
      </c>
      <c r="F485" s="6" t="s">
        <v>24</v>
      </c>
      <c r="G485" s="6" t="s">
        <v>936</v>
      </c>
      <c r="H485" s="6" t="s">
        <v>162</v>
      </c>
      <c r="I485" s="6" t="s">
        <v>819</v>
      </c>
      <c r="J485" s="6"/>
      <c r="K485" s="6"/>
      <c r="L485" s="6" t="s">
        <v>304</v>
      </c>
      <c r="M485" s="6" t="s">
        <v>59</v>
      </c>
      <c r="N485" s="6"/>
    </row>
    <row r="486" ht="15.75" customHeight="1">
      <c r="A486" s="6" t="s">
        <v>935</v>
      </c>
      <c r="B486" s="6" t="s">
        <v>822</v>
      </c>
      <c r="C486" s="6" t="s">
        <v>469</v>
      </c>
      <c r="D486" s="6" t="s">
        <v>429</v>
      </c>
      <c r="E486" s="6" t="s">
        <v>438</v>
      </c>
      <c r="F486" s="6" t="s">
        <v>98</v>
      </c>
      <c r="G486" s="6" t="s">
        <v>936</v>
      </c>
      <c r="H486" s="6" t="s">
        <v>49</v>
      </c>
      <c r="I486" s="6" t="s">
        <v>826</v>
      </c>
      <c r="J486" s="6"/>
      <c r="K486" s="6"/>
      <c r="L486" s="6" t="s">
        <v>304</v>
      </c>
      <c r="M486" s="6" t="s">
        <v>59</v>
      </c>
      <c r="N486" s="6"/>
    </row>
    <row r="487" ht="15.75" customHeight="1">
      <c r="A487" s="6" t="s">
        <v>935</v>
      </c>
      <c r="B487" s="6" t="s">
        <v>830</v>
      </c>
      <c r="C487" s="6" t="s">
        <v>639</v>
      </c>
      <c r="D487" s="6" t="s">
        <v>429</v>
      </c>
      <c r="E487" s="6" t="s">
        <v>592</v>
      </c>
      <c r="F487" s="6" t="s">
        <v>24</v>
      </c>
      <c r="G487" s="6" t="s">
        <v>936</v>
      </c>
      <c r="H487" s="6" t="s">
        <v>49</v>
      </c>
      <c r="I487" s="6" t="s">
        <v>834</v>
      </c>
      <c r="L487" s="6" t="s">
        <v>304</v>
      </c>
      <c r="M487" s="6" t="s">
        <v>373</v>
      </c>
    </row>
    <row r="488" ht="15.75" customHeight="1">
      <c r="A488" s="6" t="s">
        <v>935</v>
      </c>
      <c r="B488" s="6" t="s">
        <v>856</v>
      </c>
      <c r="C488" s="6" t="s">
        <v>428</v>
      </c>
      <c r="D488" s="6" t="s">
        <v>429</v>
      </c>
      <c r="E488" s="6" t="s">
        <v>714</v>
      </c>
      <c r="F488" s="6" t="s">
        <v>181</v>
      </c>
      <c r="G488" s="6" t="s">
        <v>936</v>
      </c>
      <c r="H488" s="6" t="s">
        <v>1193</v>
      </c>
      <c r="I488" s="6" t="s">
        <v>861</v>
      </c>
      <c r="J488" s="6"/>
      <c r="K488" s="6"/>
      <c r="L488" s="6" t="s">
        <v>304</v>
      </c>
      <c r="M488" s="6" t="s">
        <v>59</v>
      </c>
      <c r="N488" s="6"/>
    </row>
    <row r="489" ht="15.75" customHeight="1">
      <c r="A489" s="6" t="s">
        <v>935</v>
      </c>
      <c r="B489" s="6" t="s">
        <v>849</v>
      </c>
      <c r="C489" s="6" t="s">
        <v>469</v>
      </c>
      <c r="D489" s="6" t="s">
        <v>429</v>
      </c>
      <c r="E489" s="6" t="s">
        <v>438</v>
      </c>
      <c r="F489" s="6" t="s">
        <v>98</v>
      </c>
      <c r="G489" s="6" t="s">
        <v>936</v>
      </c>
      <c r="H489" s="6" t="s">
        <v>105</v>
      </c>
      <c r="I489" s="6" t="s">
        <v>851</v>
      </c>
      <c r="J489" s="6"/>
      <c r="K489" s="6" t="s">
        <v>945</v>
      </c>
      <c r="L489" s="6" t="s">
        <v>304</v>
      </c>
      <c r="M489" s="6" t="s">
        <v>373</v>
      </c>
      <c r="N489" s="6"/>
    </row>
    <row r="490" ht="15.75" customHeight="1">
      <c r="A490" s="6" t="s">
        <v>935</v>
      </c>
      <c r="B490" s="6" t="s">
        <v>865</v>
      </c>
      <c r="C490" s="6" t="s">
        <v>457</v>
      </c>
      <c r="D490" s="6" t="s">
        <v>429</v>
      </c>
      <c r="E490" s="6" t="s">
        <v>714</v>
      </c>
      <c r="F490" s="6" t="s">
        <v>181</v>
      </c>
      <c r="G490" s="6" t="s">
        <v>936</v>
      </c>
      <c r="H490" s="6" t="s">
        <v>156</v>
      </c>
      <c r="I490" s="6" t="s">
        <v>867</v>
      </c>
      <c r="J490" s="6"/>
      <c r="K490" s="6"/>
      <c r="L490" s="6" t="s">
        <v>304</v>
      </c>
      <c r="M490" s="6" t="s">
        <v>30</v>
      </c>
      <c r="N490" s="6"/>
    </row>
    <row r="491" ht="15.75" customHeight="1">
      <c r="A491" s="6" t="s">
        <v>935</v>
      </c>
      <c r="B491" s="6" t="s">
        <v>874</v>
      </c>
      <c r="C491" s="6" t="s">
        <v>445</v>
      </c>
      <c r="D491" s="6" t="s">
        <v>429</v>
      </c>
      <c r="E491" s="6" t="s">
        <v>282</v>
      </c>
      <c r="F491" s="6" t="s">
        <v>255</v>
      </c>
      <c r="G491" s="6" t="s">
        <v>936</v>
      </c>
      <c r="H491" s="6" t="s">
        <v>156</v>
      </c>
      <c r="I491" s="6">
        <v>9.01234206E8</v>
      </c>
      <c r="L491" s="6" t="s">
        <v>304</v>
      </c>
      <c r="M491" s="6" t="s">
        <v>373</v>
      </c>
    </row>
    <row r="492" ht="15.75" customHeight="1">
      <c r="A492" s="6" t="s">
        <v>935</v>
      </c>
      <c r="B492" s="6" t="s">
        <v>288</v>
      </c>
      <c r="C492" s="6" t="s">
        <v>639</v>
      </c>
      <c r="D492" s="6" t="s">
        <v>429</v>
      </c>
      <c r="E492" s="6" t="s">
        <v>459</v>
      </c>
      <c r="F492" s="6" t="s">
        <v>24</v>
      </c>
      <c r="G492" s="6" t="s">
        <v>936</v>
      </c>
      <c r="H492" s="6" t="s">
        <v>101</v>
      </c>
      <c r="I492" s="6" t="s">
        <v>291</v>
      </c>
      <c r="J492" s="6"/>
      <c r="K492" s="6" t="s">
        <v>937</v>
      </c>
      <c r="L492" s="6" t="s">
        <v>304</v>
      </c>
      <c r="M492" s="6" t="s">
        <v>59</v>
      </c>
      <c r="N492" s="6"/>
    </row>
    <row r="493" ht="15.75" customHeight="1">
      <c r="A493" s="6" t="s">
        <v>935</v>
      </c>
      <c r="B493" s="6" t="s">
        <v>572</v>
      </c>
      <c r="C493" s="6" t="s">
        <v>457</v>
      </c>
      <c r="D493" s="6" t="s">
        <v>429</v>
      </c>
      <c r="E493" s="6" t="s">
        <v>343</v>
      </c>
      <c r="F493" s="6" t="s">
        <v>138</v>
      </c>
      <c r="G493" s="6" t="s">
        <v>936</v>
      </c>
      <c r="H493" s="6" t="s">
        <v>1293</v>
      </c>
      <c r="I493" s="6" t="s">
        <v>579</v>
      </c>
      <c r="J493" s="6"/>
      <c r="K493" s="6"/>
      <c r="L493" s="6" t="s">
        <v>304</v>
      </c>
      <c r="M493" s="6" t="s">
        <v>59</v>
      </c>
      <c r="N493" s="6"/>
    </row>
    <row r="494" ht="15.75" customHeight="1">
      <c r="A494" s="6" t="s">
        <v>935</v>
      </c>
      <c r="B494" s="6" t="s">
        <v>901</v>
      </c>
      <c r="C494" s="6" t="s">
        <v>482</v>
      </c>
      <c r="D494" s="6" t="s">
        <v>429</v>
      </c>
      <c r="E494" s="6" t="s">
        <v>343</v>
      </c>
      <c r="F494" s="6" t="s">
        <v>138</v>
      </c>
      <c r="G494" s="6" t="s">
        <v>936</v>
      </c>
      <c r="H494" s="6" t="s">
        <v>38</v>
      </c>
      <c r="I494" s="6" t="s">
        <v>902</v>
      </c>
      <c r="K494" s="6" t="s">
        <v>937</v>
      </c>
      <c r="L494" s="6" t="s">
        <v>304</v>
      </c>
      <c r="M494" s="6" t="s">
        <v>373</v>
      </c>
    </row>
    <row r="495" ht="15.75" customHeight="1">
      <c r="A495" s="6" t="s">
        <v>935</v>
      </c>
      <c r="B495" s="6" t="s">
        <v>918</v>
      </c>
      <c r="C495" s="6" t="s">
        <v>445</v>
      </c>
      <c r="D495" s="6" t="s">
        <v>429</v>
      </c>
      <c r="E495" s="6" t="s">
        <v>714</v>
      </c>
      <c r="F495" s="6" t="s">
        <v>98</v>
      </c>
      <c r="G495" s="6" t="s">
        <v>936</v>
      </c>
      <c r="H495" s="6" t="s">
        <v>105</v>
      </c>
      <c r="I495" s="6" t="s">
        <v>919</v>
      </c>
      <c r="J495" s="6"/>
      <c r="K495" s="6" t="s">
        <v>945</v>
      </c>
      <c r="L495" s="6" t="s">
        <v>304</v>
      </c>
      <c r="M495" s="6" t="s">
        <v>59</v>
      </c>
      <c r="N495" s="6"/>
    </row>
    <row r="496" ht="15.75" customHeight="1">
      <c r="A496" s="6" t="s">
        <v>935</v>
      </c>
      <c r="B496" s="6" t="s">
        <v>355</v>
      </c>
      <c r="C496" s="6" t="s">
        <v>445</v>
      </c>
      <c r="D496" s="6" t="s">
        <v>553</v>
      </c>
      <c r="E496" s="6" t="s">
        <v>430</v>
      </c>
      <c r="F496" s="6" t="s">
        <v>24</v>
      </c>
      <c r="G496" s="6" t="s">
        <v>936</v>
      </c>
      <c r="H496" s="6" t="s">
        <v>558</v>
      </c>
      <c r="I496" s="6" t="s">
        <v>359</v>
      </c>
      <c r="L496" s="6" t="s">
        <v>995</v>
      </c>
      <c r="M496" s="6"/>
    </row>
    <row r="497" ht="15.75" customHeight="1">
      <c r="A497" s="6" t="s">
        <v>935</v>
      </c>
      <c r="B497" s="6" t="s">
        <v>376</v>
      </c>
      <c r="C497" s="6" t="s">
        <v>596</v>
      </c>
      <c r="D497" s="6" t="s">
        <v>429</v>
      </c>
      <c r="E497" s="6" t="s">
        <v>459</v>
      </c>
      <c r="F497" s="6" t="s">
        <v>78</v>
      </c>
      <c r="G497" s="6" t="s">
        <v>936</v>
      </c>
      <c r="H497" s="6" t="s">
        <v>66</v>
      </c>
      <c r="I497" s="6" t="s">
        <v>387</v>
      </c>
      <c r="J497" s="6"/>
      <c r="K497" s="6"/>
      <c r="L497" s="6" t="s">
        <v>304</v>
      </c>
      <c r="M497" s="6" t="s">
        <v>59</v>
      </c>
      <c r="N497" s="6"/>
    </row>
    <row r="498" ht="15.75" customHeight="1">
      <c r="A498" s="6" t="s">
        <v>935</v>
      </c>
      <c r="B498" s="6" t="s">
        <v>376</v>
      </c>
      <c r="C498" s="6" t="s">
        <v>482</v>
      </c>
      <c r="D498" s="6" t="s">
        <v>429</v>
      </c>
      <c r="E498" s="6" t="s">
        <v>438</v>
      </c>
      <c r="F498" s="6" t="s">
        <v>98</v>
      </c>
      <c r="G498" s="6" t="s">
        <v>936</v>
      </c>
      <c r="H498" s="6" t="s">
        <v>105</v>
      </c>
      <c r="I498" s="6" t="s">
        <v>387</v>
      </c>
      <c r="J498" s="6"/>
      <c r="K498" s="6" t="s">
        <v>945</v>
      </c>
      <c r="L498" s="6" t="s">
        <v>304</v>
      </c>
      <c r="M498" s="6" t="s">
        <v>59</v>
      </c>
      <c r="N498" s="6"/>
    </row>
    <row r="499" ht="15.75" customHeight="1">
      <c r="A499" s="6" t="s">
        <v>935</v>
      </c>
      <c r="B499" s="6" t="s">
        <v>924</v>
      </c>
      <c r="C499" s="6" t="s">
        <v>576</v>
      </c>
      <c r="D499" s="6" t="s">
        <v>429</v>
      </c>
      <c r="E499" s="6" t="s">
        <v>343</v>
      </c>
      <c r="F499" s="6" t="s">
        <v>138</v>
      </c>
      <c r="G499" s="6" t="s">
        <v>936</v>
      </c>
      <c r="H499" s="6" t="s">
        <v>807</v>
      </c>
      <c r="I499" s="6" t="s">
        <v>927</v>
      </c>
      <c r="J499" s="6"/>
      <c r="K499" s="6"/>
      <c r="L499" s="6" t="s">
        <v>304</v>
      </c>
      <c r="M499" s="6" t="s">
        <v>59</v>
      </c>
      <c r="N499" s="6"/>
    </row>
    <row r="500" ht="15.75" customHeight="1">
      <c r="A500" s="6" t="s">
        <v>935</v>
      </c>
      <c r="B500" s="6" t="s">
        <v>929</v>
      </c>
      <c r="C500" s="6" t="s">
        <v>428</v>
      </c>
      <c r="D500" s="6" t="s">
        <v>429</v>
      </c>
      <c r="E500" s="6" t="s">
        <v>714</v>
      </c>
      <c r="F500" s="6" t="s">
        <v>98</v>
      </c>
      <c r="G500" s="6" t="s">
        <v>936</v>
      </c>
      <c r="H500" s="6" t="s">
        <v>1269</v>
      </c>
      <c r="I500" s="6" t="s">
        <v>934</v>
      </c>
      <c r="K500" s="6" t="s">
        <v>937</v>
      </c>
      <c r="L500" s="6" t="s">
        <v>304</v>
      </c>
      <c r="M500" s="6" t="s">
        <v>373</v>
      </c>
    </row>
    <row r="501" ht="15.75" customHeight="1"/>
    <row r="502" ht="15.75" customHeight="1">
      <c r="A502" s="16" t="s">
        <v>928</v>
      </c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ht="15.75" customHeight="1">
      <c r="A503" s="17" t="s">
        <v>3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</row>
    <row r="504" ht="15.75" customHeight="1">
      <c r="A504" s="18" t="s">
        <v>4</v>
      </c>
      <c r="B504" s="18" t="s">
        <v>6</v>
      </c>
      <c r="C504" s="18" t="s">
        <v>7</v>
      </c>
      <c r="D504" s="18" t="s">
        <v>8</v>
      </c>
      <c r="E504" s="18" t="s">
        <v>9</v>
      </c>
      <c r="F504" s="18" t="s">
        <v>10</v>
      </c>
      <c r="G504" s="18" t="s">
        <v>11</v>
      </c>
      <c r="H504" s="18" t="s">
        <v>12</v>
      </c>
      <c r="I504" s="18" t="s">
        <v>13</v>
      </c>
      <c r="J504" s="18" t="s">
        <v>14</v>
      </c>
      <c r="K504" s="18" t="s">
        <v>15</v>
      </c>
      <c r="L504" s="18" t="s">
        <v>16</v>
      </c>
      <c r="M504" s="18" t="s">
        <v>17</v>
      </c>
      <c r="N504" s="18" t="s">
        <v>18</v>
      </c>
    </row>
    <row r="505" ht="15.75" customHeight="1">
      <c r="A505" s="6" t="s">
        <v>935</v>
      </c>
      <c r="B505" s="6" t="s">
        <v>675</v>
      </c>
      <c r="C505" s="6" t="s">
        <v>565</v>
      </c>
      <c r="D505" s="6" t="s">
        <v>429</v>
      </c>
      <c r="E505" s="6" t="s">
        <v>1113</v>
      </c>
      <c r="F505" s="6" t="s">
        <v>113</v>
      </c>
      <c r="G505" s="6" t="s">
        <v>936</v>
      </c>
      <c r="H505" s="6" t="s">
        <v>70</v>
      </c>
      <c r="I505" s="6" t="s">
        <v>680</v>
      </c>
      <c r="J505" s="6" t="s">
        <v>314</v>
      </c>
      <c r="K505" s="6" t="s">
        <v>937</v>
      </c>
      <c r="L505" s="6" t="s">
        <v>304</v>
      </c>
      <c r="M505" s="6" t="s">
        <v>30</v>
      </c>
      <c r="N505" s="6"/>
    </row>
    <row r="506" ht="15.75" customHeight="1"/>
    <row r="507" ht="15.75" customHeight="1">
      <c r="A507" s="16" t="s">
        <v>975</v>
      </c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ht="15.75" customHeight="1">
      <c r="A508" s="17" t="s">
        <v>1294</v>
      </c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</row>
    <row r="509" ht="15.75" customHeight="1">
      <c r="A509" s="18" t="s">
        <v>4</v>
      </c>
      <c r="B509" s="18" t="s">
        <v>6</v>
      </c>
      <c r="C509" s="18" t="s">
        <v>7</v>
      </c>
      <c r="D509" s="18" t="s">
        <v>8</v>
      </c>
      <c r="E509" s="18" t="s">
        <v>9</v>
      </c>
      <c r="F509" s="18" t="s">
        <v>10</v>
      </c>
      <c r="G509" s="18" t="s">
        <v>11</v>
      </c>
      <c r="H509" s="18" t="s">
        <v>12</v>
      </c>
      <c r="I509" s="18" t="s">
        <v>13</v>
      </c>
      <c r="J509" s="18" t="s">
        <v>14</v>
      </c>
      <c r="K509" s="18" t="s">
        <v>15</v>
      </c>
      <c r="L509" s="18" t="s">
        <v>16</v>
      </c>
      <c r="M509" s="18" t="s">
        <v>17</v>
      </c>
      <c r="N509" s="18" t="s">
        <v>18</v>
      </c>
    </row>
    <row r="510" ht="15.75" customHeight="1">
      <c r="A510" s="6" t="s">
        <v>978</v>
      </c>
      <c r="B510" s="6" t="s">
        <v>42</v>
      </c>
      <c r="C510" s="6" t="s">
        <v>565</v>
      </c>
      <c r="D510" s="6" t="s">
        <v>429</v>
      </c>
      <c r="E510" s="6" t="s">
        <v>946</v>
      </c>
      <c r="F510" s="6" t="s">
        <v>24</v>
      </c>
      <c r="G510" s="6" t="s">
        <v>936</v>
      </c>
      <c r="H510" s="6" t="s">
        <v>101</v>
      </c>
      <c r="I510" s="6" t="s">
        <v>51</v>
      </c>
      <c r="J510" s="6"/>
      <c r="K510" s="6" t="s">
        <v>985</v>
      </c>
      <c r="L510" s="6" t="s">
        <v>304</v>
      </c>
      <c r="M510" s="6" t="s">
        <v>59</v>
      </c>
      <c r="N510" s="6"/>
    </row>
    <row r="511" ht="15.75" customHeight="1">
      <c r="A511" s="6" t="s">
        <v>978</v>
      </c>
      <c r="B511" s="6" t="s">
        <v>42</v>
      </c>
      <c r="C511" s="6" t="s">
        <v>616</v>
      </c>
      <c r="D511" s="6" t="s">
        <v>429</v>
      </c>
      <c r="E511" s="6" t="s">
        <v>946</v>
      </c>
      <c r="F511" s="6" t="s">
        <v>172</v>
      </c>
      <c r="G511" s="6" t="s">
        <v>936</v>
      </c>
      <c r="H511" s="6" t="s">
        <v>49</v>
      </c>
      <c r="I511" s="6" t="s">
        <v>51</v>
      </c>
      <c r="J511" s="6"/>
      <c r="K511" s="6"/>
      <c r="L511" s="6" t="s">
        <v>304</v>
      </c>
      <c r="M511" s="6" t="s">
        <v>59</v>
      </c>
      <c r="N511" s="6"/>
    </row>
    <row r="512" ht="15.75" customHeight="1">
      <c r="A512" s="6" t="s">
        <v>978</v>
      </c>
      <c r="B512" s="6" t="s">
        <v>90</v>
      </c>
      <c r="C512" s="6" t="s">
        <v>596</v>
      </c>
      <c r="D512" s="6" t="s">
        <v>429</v>
      </c>
      <c r="E512" s="6" t="s">
        <v>438</v>
      </c>
      <c r="F512" s="6" t="s">
        <v>98</v>
      </c>
      <c r="G512" s="6" t="s">
        <v>936</v>
      </c>
      <c r="H512" s="6" t="s">
        <v>66</v>
      </c>
      <c r="I512" s="6" t="s">
        <v>103</v>
      </c>
      <c r="J512" s="6"/>
      <c r="K512" s="6"/>
      <c r="L512" s="6" t="s">
        <v>304</v>
      </c>
      <c r="M512" s="20" t="s">
        <v>59</v>
      </c>
      <c r="N512" s="6"/>
    </row>
    <row r="513" ht="15.75" customHeight="1">
      <c r="A513" s="6" t="s">
        <v>978</v>
      </c>
      <c r="B513" s="6" t="s">
        <v>460</v>
      </c>
      <c r="C513" s="6" t="s">
        <v>588</v>
      </c>
      <c r="D513" s="6" t="s">
        <v>429</v>
      </c>
      <c r="E513" s="6" t="s">
        <v>430</v>
      </c>
      <c r="F513" s="6" t="s">
        <v>24</v>
      </c>
      <c r="G513" s="6" t="s">
        <v>936</v>
      </c>
      <c r="H513" s="6" t="s">
        <v>130</v>
      </c>
      <c r="I513" s="6" t="s">
        <v>463</v>
      </c>
      <c r="J513" s="6"/>
      <c r="K513" s="6"/>
      <c r="L513" s="6" t="s">
        <v>304</v>
      </c>
      <c r="M513" s="6" t="s">
        <v>59</v>
      </c>
      <c r="N513" s="6"/>
    </row>
    <row r="514" ht="15.75" customHeight="1">
      <c r="A514" s="6" t="s">
        <v>978</v>
      </c>
      <c r="B514" s="6" t="s">
        <v>126</v>
      </c>
      <c r="C514" s="6" t="s">
        <v>482</v>
      </c>
      <c r="D514" s="6" t="s">
        <v>429</v>
      </c>
      <c r="E514" s="6" t="s">
        <v>136</v>
      </c>
      <c r="F514" s="6" t="s">
        <v>138</v>
      </c>
      <c r="G514" s="6" t="s">
        <v>936</v>
      </c>
      <c r="H514" s="6" t="s">
        <v>209</v>
      </c>
      <c r="I514" s="6" t="s">
        <v>144</v>
      </c>
      <c r="J514" s="6"/>
      <c r="K514" s="6"/>
      <c r="L514" s="6" t="s">
        <v>304</v>
      </c>
      <c r="M514" s="20" t="s">
        <v>59</v>
      </c>
      <c r="N514" s="6"/>
    </row>
    <row r="515" ht="15.75" customHeight="1">
      <c r="A515" s="6" t="s">
        <v>978</v>
      </c>
      <c r="B515" s="6" t="s">
        <v>108</v>
      </c>
      <c r="C515" s="6" t="s">
        <v>501</v>
      </c>
      <c r="D515" s="6" t="s">
        <v>429</v>
      </c>
      <c r="E515" s="6" t="s">
        <v>438</v>
      </c>
      <c r="F515" s="6" t="s">
        <v>113</v>
      </c>
      <c r="G515" s="6" t="s">
        <v>936</v>
      </c>
      <c r="H515" s="6" t="s">
        <v>70</v>
      </c>
      <c r="I515" s="6" t="s">
        <v>116</v>
      </c>
      <c r="K515" s="6" t="s">
        <v>985</v>
      </c>
      <c r="L515" s="6" t="s">
        <v>304</v>
      </c>
      <c r="M515" s="6" t="s">
        <v>373</v>
      </c>
    </row>
    <row r="516" ht="15.75" customHeight="1">
      <c r="A516" s="6" t="s">
        <v>978</v>
      </c>
      <c r="B516" s="6" t="s">
        <v>158</v>
      </c>
      <c r="C516" s="6" t="s">
        <v>596</v>
      </c>
      <c r="D516" s="6" t="s">
        <v>429</v>
      </c>
      <c r="E516" s="6" t="s">
        <v>438</v>
      </c>
      <c r="F516" s="6" t="s">
        <v>98</v>
      </c>
      <c r="G516" s="6" t="s">
        <v>936</v>
      </c>
      <c r="H516" s="6" t="s">
        <v>1184</v>
      </c>
      <c r="I516" s="6" t="s">
        <v>164</v>
      </c>
      <c r="J516" s="6"/>
      <c r="K516" s="6"/>
      <c r="L516" s="6" t="s">
        <v>304</v>
      </c>
      <c r="M516" s="20" t="s">
        <v>59</v>
      </c>
      <c r="N516" s="6"/>
    </row>
    <row r="517" ht="15.75" customHeight="1">
      <c r="A517" s="6" t="s">
        <v>978</v>
      </c>
      <c r="B517" s="6" t="s">
        <v>1295</v>
      </c>
      <c r="C517" s="6" t="s">
        <v>1013</v>
      </c>
      <c r="D517" s="6" t="s">
        <v>429</v>
      </c>
      <c r="E517" s="6" t="s">
        <v>240</v>
      </c>
      <c r="F517" s="6" t="s">
        <v>241</v>
      </c>
      <c r="G517" s="6" t="s">
        <v>936</v>
      </c>
      <c r="H517" s="6" t="s">
        <v>156</v>
      </c>
      <c r="I517" s="6" t="s">
        <v>1297</v>
      </c>
      <c r="J517" s="6"/>
      <c r="K517" s="6"/>
      <c r="L517" s="6" t="s">
        <v>304</v>
      </c>
      <c r="M517" s="6" t="s">
        <v>59</v>
      </c>
      <c r="N517" s="6"/>
    </row>
    <row r="518" ht="15.75" customHeight="1">
      <c r="A518" s="6" t="s">
        <v>978</v>
      </c>
      <c r="B518" s="6" t="s">
        <v>1295</v>
      </c>
      <c r="C518" s="6" t="s">
        <v>1013</v>
      </c>
      <c r="D518" s="6" t="s">
        <v>429</v>
      </c>
      <c r="E518" s="6" t="s">
        <v>240</v>
      </c>
      <c r="F518" s="6" t="s">
        <v>257</v>
      </c>
      <c r="G518" s="6" t="s">
        <v>936</v>
      </c>
      <c r="H518" s="6" t="s">
        <v>66</v>
      </c>
      <c r="I518" s="6" t="s">
        <v>1297</v>
      </c>
      <c r="J518" s="6"/>
      <c r="K518" s="6"/>
      <c r="L518" s="6" t="s">
        <v>304</v>
      </c>
      <c r="M518" s="6" t="s">
        <v>59</v>
      </c>
      <c r="N518" s="6"/>
    </row>
    <row r="519" ht="15.75" customHeight="1">
      <c r="A519" s="6" t="s">
        <v>978</v>
      </c>
      <c r="B519" s="6" t="s">
        <v>972</v>
      </c>
      <c r="C519" s="6" t="s">
        <v>973</v>
      </c>
      <c r="D519" s="6" t="s">
        <v>429</v>
      </c>
      <c r="E519" s="6" t="s">
        <v>430</v>
      </c>
      <c r="F519" s="6" t="s">
        <v>67</v>
      </c>
      <c r="G519" s="6" t="s">
        <v>936</v>
      </c>
      <c r="H519" s="6" t="s">
        <v>105</v>
      </c>
      <c r="I519" s="6" t="s">
        <v>974</v>
      </c>
      <c r="J519" s="6"/>
      <c r="K519" s="6" t="s">
        <v>988</v>
      </c>
      <c r="L519" s="6" t="s">
        <v>304</v>
      </c>
      <c r="M519" s="6" t="s">
        <v>59</v>
      </c>
      <c r="N519" s="6"/>
    </row>
    <row r="520" ht="15.75" customHeight="1">
      <c r="A520" s="6" t="s">
        <v>978</v>
      </c>
      <c r="B520" s="6" t="s">
        <v>972</v>
      </c>
      <c r="C520" s="6" t="s">
        <v>639</v>
      </c>
      <c r="D520" s="6" t="s">
        <v>429</v>
      </c>
      <c r="E520" s="6" t="s">
        <v>430</v>
      </c>
      <c r="F520" s="6" t="s">
        <v>78</v>
      </c>
      <c r="G520" s="6" t="s">
        <v>936</v>
      </c>
      <c r="H520" s="6" t="s">
        <v>101</v>
      </c>
      <c r="I520" s="6" t="s">
        <v>974</v>
      </c>
      <c r="J520" s="6"/>
      <c r="K520" s="6" t="s">
        <v>985</v>
      </c>
      <c r="L520" s="6" t="s">
        <v>304</v>
      </c>
      <c r="M520" s="6" t="s">
        <v>59</v>
      </c>
      <c r="N520" s="6"/>
    </row>
    <row r="521" ht="15.75" customHeight="1">
      <c r="A521" s="6" t="s">
        <v>978</v>
      </c>
      <c r="B521" s="6" t="s">
        <v>748</v>
      </c>
      <c r="C521" s="6" t="s">
        <v>482</v>
      </c>
      <c r="D521" s="6" t="s">
        <v>429</v>
      </c>
      <c r="E521" s="6" t="s">
        <v>240</v>
      </c>
      <c r="F521" s="6" t="s">
        <v>241</v>
      </c>
      <c r="G521" s="6" t="s">
        <v>936</v>
      </c>
      <c r="H521" s="6" t="s">
        <v>26</v>
      </c>
      <c r="I521" s="6" t="s">
        <v>751</v>
      </c>
      <c r="J521" s="6"/>
      <c r="K521" s="6"/>
      <c r="L521" s="6" t="s">
        <v>304</v>
      </c>
      <c r="M521" s="20" t="s">
        <v>59</v>
      </c>
      <c r="N521" s="6"/>
    </row>
    <row r="522" ht="15.75" customHeight="1">
      <c r="A522" s="6" t="s">
        <v>978</v>
      </c>
      <c r="B522" s="6" t="s">
        <v>748</v>
      </c>
      <c r="C522" s="6" t="s">
        <v>482</v>
      </c>
      <c r="D522" s="6" t="s">
        <v>429</v>
      </c>
      <c r="E522" s="6" t="s">
        <v>240</v>
      </c>
      <c r="F522" s="6" t="s">
        <v>257</v>
      </c>
      <c r="G522" s="6" t="s">
        <v>936</v>
      </c>
      <c r="H522" s="6" t="s">
        <v>26</v>
      </c>
      <c r="I522" s="6" t="s">
        <v>751</v>
      </c>
      <c r="J522" s="6"/>
      <c r="K522" s="6"/>
      <c r="L522" s="6" t="s">
        <v>304</v>
      </c>
      <c r="M522" s="20" t="s">
        <v>59</v>
      </c>
      <c r="N522" s="6"/>
    </row>
    <row r="523" ht="15.75" customHeight="1">
      <c r="A523" s="6" t="s">
        <v>978</v>
      </c>
      <c r="B523" s="6" t="s">
        <v>169</v>
      </c>
      <c r="C523" s="6" t="s">
        <v>588</v>
      </c>
      <c r="D523" s="6" t="s">
        <v>553</v>
      </c>
      <c r="E523" s="6" t="s">
        <v>459</v>
      </c>
      <c r="F523" s="6" t="s">
        <v>172</v>
      </c>
      <c r="G523" s="6" t="s">
        <v>936</v>
      </c>
      <c r="H523" s="6" t="s">
        <v>558</v>
      </c>
      <c r="I523" s="6" t="s">
        <v>176</v>
      </c>
      <c r="L523" s="6" t="s">
        <v>995</v>
      </c>
      <c r="M523" s="6"/>
    </row>
    <row r="524" ht="15.75" customHeight="1">
      <c r="A524" s="6" t="s">
        <v>978</v>
      </c>
      <c r="B524" s="6" t="s">
        <v>180</v>
      </c>
      <c r="C524" s="6" t="s">
        <v>596</v>
      </c>
      <c r="D524" s="6" t="s">
        <v>429</v>
      </c>
      <c r="E524" s="6" t="s">
        <v>438</v>
      </c>
      <c r="F524" s="6" t="s">
        <v>181</v>
      </c>
      <c r="G524" s="6" t="s">
        <v>936</v>
      </c>
      <c r="H524" s="6" t="s">
        <v>807</v>
      </c>
      <c r="I524" s="6" t="s">
        <v>186</v>
      </c>
      <c r="J524" s="6"/>
      <c r="K524" s="6"/>
      <c r="L524" s="6" t="s">
        <v>304</v>
      </c>
      <c r="M524" s="20" t="s">
        <v>59</v>
      </c>
      <c r="N524" s="6"/>
    </row>
    <row r="525" ht="15.75" customHeight="1">
      <c r="A525" s="6" t="s">
        <v>978</v>
      </c>
      <c r="B525" s="6" t="s">
        <v>991</v>
      </c>
      <c r="C525" s="6" t="s">
        <v>457</v>
      </c>
      <c r="D525" s="6" t="s">
        <v>429</v>
      </c>
      <c r="E525" s="6" t="s">
        <v>946</v>
      </c>
      <c r="F525" s="6" t="s">
        <v>172</v>
      </c>
      <c r="G525" s="6" t="s">
        <v>936</v>
      </c>
      <c r="H525" s="6" t="s">
        <v>963</v>
      </c>
      <c r="I525" s="6" t="s">
        <v>993</v>
      </c>
      <c r="J525" s="6"/>
      <c r="K525" s="6" t="s">
        <v>985</v>
      </c>
      <c r="L525" s="6" t="s">
        <v>304</v>
      </c>
      <c r="M525" s="6" t="s">
        <v>59</v>
      </c>
      <c r="N525" s="6"/>
    </row>
    <row r="526" ht="15.75" customHeight="1">
      <c r="A526" s="6" t="s">
        <v>978</v>
      </c>
      <c r="B526" s="6" t="s">
        <v>1305</v>
      </c>
      <c r="C526" s="6" t="s">
        <v>996</v>
      </c>
      <c r="D526" s="6" t="s">
        <v>429</v>
      </c>
      <c r="E526" s="6" t="s">
        <v>240</v>
      </c>
      <c r="F526" s="6" t="s">
        <v>257</v>
      </c>
      <c r="G526" s="6" t="s">
        <v>936</v>
      </c>
      <c r="H526" s="6" t="s">
        <v>130</v>
      </c>
      <c r="I526" s="6" t="s">
        <v>1308</v>
      </c>
      <c r="J526" s="6"/>
      <c r="K526" s="6"/>
      <c r="L526" s="6" t="s">
        <v>304</v>
      </c>
      <c r="M526" s="20" t="s">
        <v>59</v>
      </c>
      <c r="N526" s="6"/>
    </row>
    <row r="527" ht="15.75" customHeight="1">
      <c r="A527" s="6" t="s">
        <v>978</v>
      </c>
      <c r="B527" s="6" t="s">
        <v>1305</v>
      </c>
      <c r="C527" s="6" t="s">
        <v>996</v>
      </c>
      <c r="D527" s="6" t="s">
        <v>429</v>
      </c>
      <c r="E527" s="6" t="s">
        <v>240</v>
      </c>
      <c r="F527" s="6" t="s">
        <v>241</v>
      </c>
      <c r="G527" s="6" t="s">
        <v>936</v>
      </c>
      <c r="H527" s="6" t="s">
        <v>130</v>
      </c>
      <c r="I527" s="6" t="s">
        <v>1308</v>
      </c>
      <c r="J527" s="6"/>
      <c r="K527" s="6"/>
      <c r="L527" s="6" t="s">
        <v>304</v>
      </c>
      <c r="M527" s="20" t="s">
        <v>59</v>
      </c>
      <c r="N527" s="6"/>
    </row>
    <row r="528" ht="15.75" customHeight="1">
      <c r="A528" s="6" t="s">
        <v>978</v>
      </c>
      <c r="B528" s="6" t="s">
        <v>1002</v>
      </c>
      <c r="C528" s="6" t="s">
        <v>596</v>
      </c>
      <c r="D528" s="6" t="s">
        <v>429</v>
      </c>
      <c r="E528" s="6" t="s">
        <v>508</v>
      </c>
      <c r="F528" s="6" t="s">
        <v>24</v>
      </c>
      <c r="G528" s="6" t="s">
        <v>936</v>
      </c>
      <c r="H528" s="6" t="s">
        <v>101</v>
      </c>
      <c r="I528" s="6" t="s">
        <v>1003</v>
      </c>
      <c r="K528" s="6" t="s">
        <v>985</v>
      </c>
      <c r="L528" s="6" t="s">
        <v>304</v>
      </c>
      <c r="M528" s="6" t="s">
        <v>373</v>
      </c>
    </row>
    <row r="529" ht="15.75" customHeight="1">
      <c r="A529" s="6" t="s">
        <v>978</v>
      </c>
      <c r="B529" s="6" t="s">
        <v>1004</v>
      </c>
      <c r="C529" s="6" t="s">
        <v>501</v>
      </c>
      <c r="D529" s="6" t="s">
        <v>429</v>
      </c>
      <c r="E529" s="6" t="s">
        <v>459</v>
      </c>
      <c r="F529" s="6" t="s">
        <v>24</v>
      </c>
      <c r="G529" s="6" t="s">
        <v>936</v>
      </c>
      <c r="H529" s="6" t="s">
        <v>101</v>
      </c>
      <c r="I529" s="6" t="s">
        <v>1005</v>
      </c>
      <c r="J529" s="6"/>
      <c r="K529" s="6" t="s">
        <v>985</v>
      </c>
      <c r="L529" s="6" t="s">
        <v>304</v>
      </c>
      <c r="M529" s="6" t="s">
        <v>59</v>
      </c>
      <c r="N529" s="6"/>
    </row>
    <row r="530" ht="15.75" customHeight="1">
      <c r="A530" s="6" t="s">
        <v>978</v>
      </c>
      <c r="B530" s="6" t="s">
        <v>264</v>
      </c>
      <c r="C530" s="6" t="s">
        <v>596</v>
      </c>
      <c r="D530" s="6" t="s">
        <v>429</v>
      </c>
      <c r="E530" s="6" t="s">
        <v>438</v>
      </c>
      <c r="F530" s="6" t="s">
        <v>98</v>
      </c>
      <c r="G530" s="6" t="s">
        <v>936</v>
      </c>
      <c r="H530" s="6" t="s">
        <v>807</v>
      </c>
      <c r="I530" s="6" t="s">
        <v>268</v>
      </c>
      <c r="J530" s="6"/>
      <c r="K530" s="6"/>
      <c r="L530" s="6" t="s">
        <v>304</v>
      </c>
      <c r="M530" s="20" t="s">
        <v>59</v>
      </c>
      <c r="N530" s="6"/>
    </row>
    <row r="531" ht="15.75" customHeight="1">
      <c r="A531" s="6" t="s">
        <v>978</v>
      </c>
      <c r="B531" s="6" t="s">
        <v>1007</v>
      </c>
      <c r="C531" s="6" t="s">
        <v>639</v>
      </c>
      <c r="D531" s="6" t="s">
        <v>429</v>
      </c>
      <c r="E531" s="6" t="s">
        <v>438</v>
      </c>
      <c r="F531" s="6" t="s">
        <v>181</v>
      </c>
      <c r="G531" s="6" t="s">
        <v>936</v>
      </c>
      <c r="H531" s="6" t="s">
        <v>26</v>
      </c>
      <c r="I531" s="6" t="s">
        <v>1010</v>
      </c>
      <c r="J531" s="6"/>
      <c r="K531" s="6"/>
      <c r="L531" s="6" t="s">
        <v>304</v>
      </c>
      <c r="M531" s="6" t="s">
        <v>59</v>
      </c>
      <c r="N531" s="6"/>
    </row>
    <row r="532" ht="15.75" customHeight="1">
      <c r="A532" s="6" t="s">
        <v>978</v>
      </c>
      <c r="B532" s="6" t="s">
        <v>1021</v>
      </c>
      <c r="C532" s="6" t="s">
        <v>539</v>
      </c>
      <c r="D532" s="6" t="s">
        <v>429</v>
      </c>
      <c r="E532" s="6" t="s">
        <v>541</v>
      </c>
      <c r="F532" s="6" t="s">
        <v>24</v>
      </c>
      <c r="G532" s="6" t="s">
        <v>936</v>
      </c>
      <c r="H532" s="6" t="s">
        <v>66</v>
      </c>
      <c r="I532" s="6" t="s">
        <v>1315</v>
      </c>
      <c r="J532" s="6"/>
      <c r="K532" s="6"/>
      <c r="L532" s="6" t="s">
        <v>304</v>
      </c>
      <c r="M532" s="6" t="s">
        <v>59</v>
      </c>
      <c r="N532" s="6"/>
    </row>
    <row r="533" ht="15.75" customHeight="1">
      <c r="A533" s="6" t="s">
        <v>978</v>
      </c>
      <c r="B533" s="6" t="s">
        <v>1027</v>
      </c>
      <c r="C533" s="6" t="s">
        <v>596</v>
      </c>
      <c r="D533" s="6" t="s">
        <v>429</v>
      </c>
      <c r="E533" s="6" t="s">
        <v>224</v>
      </c>
      <c r="F533" s="6" t="s">
        <v>138</v>
      </c>
      <c r="G533" s="6" t="s">
        <v>936</v>
      </c>
      <c r="H533" s="6" t="s">
        <v>341</v>
      </c>
      <c r="I533" s="6" t="s">
        <v>1028</v>
      </c>
      <c r="J533" s="6"/>
      <c r="K533" s="6"/>
      <c r="L533" s="6" t="s">
        <v>304</v>
      </c>
      <c r="M533" s="20" t="s">
        <v>59</v>
      </c>
      <c r="N533" s="6"/>
    </row>
    <row r="534" ht="15.75" customHeight="1">
      <c r="A534" s="6" t="s">
        <v>978</v>
      </c>
      <c r="B534" s="6" t="s">
        <v>887</v>
      </c>
      <c r="C534" s="6" t="s">
        <v>482</v>
      </c>
      <c r="D534" s="6" t="s">
        <v>553</v>
      </c>
      <c r="E534" s="6" t="s">
        <v>508</v>
      </c>
      <c r="F534" s="6" t="s">
        <v>24</v>
      </c>
      <c r="G534" s="6" t="s">
        <v>936</v>
      </c>
      <c r="H534" s="6" t="s">
        <v>558</v>
      </c>
      <c r="I534" s="6" t="s">
        <v>890</v>
      </c>
      <c r="L534" s="6" t="s">
        <v>995</v>
      </c>
      <c r="M534" s="6"/>
    </row>
    <row r="535" ht="15.75" customHeight="1">
      <c r="A535" s="6" t="s">
        <v>978</v>
      </c>
      <c r="B535" s="6" t="s">
        <v>1030</v>
      </c>
      <c r="C535" s="6" t="s">
        <v>588</v>
      </c>
      <c r="D535" s="6" t="s">
        <v>429</v>
      </c>
      <c r="E535" s="6" t="s">
        <v>438</v>
      </c>
      <c r="F535" s="6" t="s">
        <v>98</v>
      </c>
      <c r="G535" s="6" t="s">
        <v>936</v>
      </c>
      <c r="H535" s="6" t="s">
        <v>156</v>
      </c>
      <c r="I535" s="6" t="s">
        <v>1032</v>
      </c>
      <c r="J535" s="6"/>
      <c r="K535" s="6"/>
      <c r="L535" s="6" t="s">
        <v>304</v>
      </c>
      <c r="M535" s="6" t="s">
        <v>59</v>
      </c>
      <c r="N535" s="6"/>
    </row>
    <row r="536" ht="15.75" customHeight="1">
      <c r="A536" s="6" t="s">
        <v>978</v>
      </c>
      <c r="B536" s="6" t="s">
        <v>295</v>
      </c>
      <c r="C536" s="6" t="s">
        <v>616</v>
      </c>
      <c r="D536" s="6" t="s">
        <v>553</v>
      </c>
      <c r="E536" s="6" t="s">
        <v>438</v>
      </c>
      <c r="F536" s="6" t="s">
        <v>181</v>
      </c>
      <c r="G536" s="6" t="s">
        <v>936</v>
      </c>
      <c r="H536" s="6" t="s">
        <v>558</v>
      </c>
      <c r="I536" s="6" t="s">
        <v>300</v>
      </c>
      <c r="L536" s="6" t="s">
        <v>995</v>
      </c>
      <c r="M536" s="6"/>
    </row>
    <row r="537" ht="15.75" customHeight="1">
      <c r="A537" s="6" t="s">
        <v>978</v>
      </c>
      <c r="B537" s="6" t="s">
        <v>303</v>
      </c>
      <c r="C537" s="6" t="s">
        <v>501</v>
      </c>
      <c r="D537" s="6" t="s">
        <v>429</v>
      </c>
      <c r="E537" s="6" t="s">
        <v>438</v>
      </c>
      <c r="F537" s="6" t="s">
        <v>181</v>
      </c>
      <c r="G537" s="6" t="s">
        <v>936</v>
      </c>
      <c r="H537" s="6" t="s">
        <v>1039</v>
      </c>
      <c r="I537" s="6" t="s">
        <v>310</v>
      </c>
      <c r="J537" s="6"/>
      <c r="K537" s="6"/>
      <c r="L537" s="6" t="s">
        <v>304</v>
      </c>
      <c r="M537" s="20" t="s">
        <v>59</v>
      </c>
      <c r="N537" s="6"/>
    </row>
    <row r="538" ht="15.75" customHeight="1">
      <c r="A538" s="6" t="s">
        <v>978</v>
      </c>
      <c r="B538" s="6" t="s">
        <v>1103</v>
      </c>
      <c r="C538" s="6" t="s">
        <v>482</v>
      </c>
      <c r="D538" s="6" t="s">
        <v>429</v>
      </c>
      <c r="E538" s="6" t="s">
        <v>438</v>
      </c>
      <c r="F538" s="6" t="s">
        <v>98</v>
      </c>
      <c r="G538" s="6" t="s">
        <v>936</v>
      </c>
      <c r="H538" s="6" t="s">
        <v>55</v>
      </c>
      <c r="I538" s="6">
        <v>9.00624787E8</v>
      </c>
      <c r="J538" s="6"/>
      <c r="K538" s="6"/>
      <c r="L538" s="6" t="s">
        <v>304</v>
      </c>
      <c r="M538" s="20" t="s">
        <v>59</v>
      </c>
      <c r="N538" s="6"/>
    </row>
    <row r="539" ht="15.75" customHeight="1">
      <c r="A539" s="6" t="s">
        <v>978</v>
      </c>
      <c r="B539" s="6" t="s">
        <v>316</v>
      </c>
      <c r="C539" s="6" t="s">
        <v>457</v>
      </c>
      <c r="D539" s="6" t="s">
        <v>429</v>
      </c>
      <c r="E539" s="6" t="s">
        <v>541</v>
      </c>
      <c r="F539" s="6" t="s">
        <v>24</v>
      </c>
      <c r="G539" s="6" t="s">
        <v>936</v>
      </c>
      <c r="H539" s="6" t="s">
        <v>101</v>
      </c>
      <c r="I539" s="6" t="s">
        <v>320</v>
      </c>
      <c r="J539" s="6"/>
      <c r="K539" s="6" t="s">
        <v>985</v>
      </c>
      <c r="L539" s="6" t="s">
        <v>304</v>
      </c>
      <c r="M539" s="20" t="s">
        <v>59</v>
      </c>
      <c r="N539" s="6"/>
    </row>
    <row r="540" ht="15.75" customHeight="1">
      <c r="A540" s="6" t="s">
        <v>978</v>
      </c>
      <c r="B540" s="6" t="s">
        <v>323</v>
      </c>
      <c r="C540" s="6" t="s">
        <v>445</v>
      </c>
      <c r="D540" s="6" t="s">
        <v>429</v>
      </c>
      <c r="E540" s="6" t="s">
        <v>541</v>
      </c>
      <c r="F540" s="6" t="s">
        <v>24</v>
      </c>
      <c r="G540" s="6" t="s">
        <v>936</v>
      </c>
      <c r="H540" s="6" t="s">
        <v>70</v>
      </c>
      <c r="I540" s="6" t="s">
        <v>326</v>
      </c>
      <c r="J540" s="6"/>
      <c r="K540" s="6" t="s">
        <v>985</v>
      </c>
      <c r="L540" s="6" t="s">
        <v>304</v>
      </c>
      <c r="M540" s="6" t="s">
        <v>59</v>
      </c>
      <c r="N540" s="6"/>
    </row>
    <row r="541" ht="15.75" customHeight="1">
      <c r="A541" s="6" t="s">
        <v>978</v>
      </c>
      <c r="B541" s="6" t="s">
        <v>323</v>
      </c>
      <c r="C541" s="6" t="s">
        <v>428</v>
      </c>
      <c r="D541" s="6" t="s">
        <v>429</v>
      </c>
      <c r="E541" s="6" t="s">
        <v>438</v>
      </c>
      <c r="F541" s="6" t="s">
        <v>98</v>
      </c>
      <c r="G541" s="6" t="s">
        <v>936</v>
      </c>
      <c r="H541" s="6" t="s">
        <v>38</v>
      </c>
      <c r="I541" s="6" t="s">
        <v>326</v>
      </c>
      <c r="J541" s="6"/>
      <c r="K541" s="6" t="s">
        <v>985</v>
      </c>
      <c r="L541" s="6" t="s">
        <v>304</v>
      </c>
      <c r="M541" s="6" t="s">
        <v>59</v>
      </c>
      <c r="N541" s="6"/>
    </row>
    <row r="542" ht="15.75" customHeight="1">
      <c r="A542" s="6" t="s">
        <v>978</v>
      </c>
      <c r="B542" s="6" t="s">
        <v>349</v>
      </c>
      <c r="C542" s="6" t="s">
        <v>596</v>
      </c>
      <c r="D542" s="6" t="s">
        <v>429</v>
      </c>
      <c r="E542" s="6" t="s">
        <v>430</v>
      </c>
      <c r="F542" s="6" t="s">
        <v>24</v>
      </c>
      <c r="G542" s="6" t="s">
        <v>936</v>
      </c>
      <c r="H542" s="6" t="s">
        <v>807</v>
      </c>
      <c r="I542" s="6" t="s">
        <v>352</v>
      </c>
      <c r="J542" s="6"/>
      <c r="K542" s="6"/>
      <c r="L542" s="6" t="s">
        <v>304</v>
      </c>
      <c r="M542" s="6" t="s">
        <v>59</v>
      </c>
      <c r="N542" s="6"/>
    </row>
    <row r="543" ht="15.75" customHeight="1">
      <c r="A543" s="6" t="s">
        <v>978</v>
      </c>
      <c r="B543" s="6" t="s">
        <v>355</v>
      </c>
      <c r="C543" s="6" t="s">
        <v>445</v>
      </c>
      <c r="D543" s="6" t="s">
        <v>553</v>
      </c>
      <c r="E543" s="6" t="s">
        <v>438</v>
      </c>
      <c r="F543" s="6" t="s">
        <v>98</v>
      </c>
      <c r="G543" s="6" t="s">
        <v>936</v>
      </c>
      <c r="H543" s="6" t="s">
        <v>558</v>
      </c>
      <c r="I543" s="6" t="s">
        <v>359</v>
      </c>
      <c r="L543" s="6" t="s">
        <v>995</v>
      </c>
      <c r="M543" s="6"/>
    </row>
    <row r="544" ht="15.75" customHeight="1">
      <c r="A544" s="6" t="s">
        <v>978</v>
      </c>
      <c r="B544" s="6" t="s">
        <v>355</v>
      </c>
      <c r="C544" s="6" t="s">
        <v>428</v>
      </c>
      <c r="D544" s="6" t="s">
        <v>553</v>
      </c>
      <c r="E544" s="6" t="s">
        <v>430</v>
      </c>
      <c r="F544" s="6" t="s">
        <v>24</v>
      </c>
      <c r="G544" s="6" t="s">
        <v>936</v>
      </c>
      <c r="H544" s="6" t="s">
        <v>558</v>
      </c>
      <c r="I544" s="6" t="s">
        <v>359</v>
      </c>
      <c r="L544" s="6" t="s">
        <v>995</v>
      </c>
      <c r="M544" s="6"/>
    </row>
    <row r="545" ht="15.75" customHeight="1">
      <c r="A545" s="6" t="s">
        <v>978</v>
      </c>
      <c r="B545" s="6" t="s">
        <v>1325</v>
      </c>
      <c r="C545" s="6" t="s">
        <v>428</v>
      </c>
      <c r="D545" s="6" t="s">
        <v>429</v>
      </c>
      <c r="E545" s="6" t="s">
        <v>459</v>
      </c>
      <c r="F545" s="6" t="s">
        <v>85</v>
      </c>
      <c r="G545" s="6" t="s">
        <v>936</v>
      </c>
      <c r="H545" s="6" t="s">
        <v>88</v>
      </c>
      <c r="I545" s="6" t="s">
        <v>1326</v>
      </c>
      <c r="J545" s="6"/>
      <c r="K545" s="6" t="s">
        <v>1327</v>
      </c>
      <c r="L545" s="6" t="s">
        <v>304</v>
      </c>
      <c r="M545" s="6" t="s">
        <v>59</v>
      </c>
      <c r="N545" s="6"/>
    </row>
    <row r="546" ht="15.75" customHeight="1">
      <c r="A546" s="6" t="s">
        <v>978</v>
      </c>
      <c r="B546" s="6" t="s">
        <v>1325</v>
      </c>
      <c r="C546" s="6" t="s">
        <v>428</v>
      </c>
      <c r="D546" s="6" t="s">
        <v>429</v>
      </c>
      <c r="E546" s="6" t="s">
        <v>459</v>
      </c>
      <c r="F546" s="6" t="s">
        <v>24</v>
      </c>
      <c r="G546" s="6" t="s">
        <v>936</v>
      </c>
      <c r="H546" s="6" t="s">
        <v>105</v>
      </c>
      <c r="I546" s="6" t="s">
        <v>1326</v>
      </c>
      <c r="J546" s="6"/>
      <c r="K546" s="6" t="s">
        <v>988</v>
      </c>
      <c r="L546" s="6" t="s">
        <v>304</v>
      </c>
      <c r="M546" s="6" t="s">
        <v>59</v>
      </c>
      <c r="N546" s="6" t="s">
        <v>1328</v>
      </c>
    </row>
    <row r="547" ht="15.75" customHeight="1">
      <c r="A547" s="6" t="s">
        <v>978</v>
      </c>
      <c r="B547" s="6" t="s">
        <v>1280</v>
      </c>
      <c r="C547" s="6" t="s">
        <v>445</v>
      </c>
      <c r="D547" s="6" t="s">
        <v>429</v>
      </c>
      <c r="E547" s="6" t="s">
        <v>459</v>
      </c>
      <c r="F547" s="6" t="s">
        <v>24</v>
      </c>
      <c r="G547" s="6" t="s">
        <v>936</v>
      </c>
      <c r="H547" s="6" t="s">
        <v>1115</v>
      </c>
      <c r="I547" s="6" t="s">
        <v>1281</v>
      </c>
      <c r="K547" s="6" t="s">
        <v>988</v>
      </c>
      <c r="L547" s="6" t="s">
        <v>304</v>
      </c>
      <c r="M547" s="6" t="s">
        <v>373</v>
      </c>
    </row>
    <row r="548" ht="15.75" customHeight="1">
      <c r="A548" s="6" t="s">
        <v>978</v>
      </c>
      <c r="B548" s="6" t="s">
        <v>395</v>
      </c>
      <c r="C548" s="6" t="s">
        <v>616</v>
      </c>
      <c r="D548" s="6" t="s">
        <v>429</v>
      </c>
      <c r="E548" s="6" t="s">
        <v>438</v>
      </c>
      <c r="F548" s="6" t="s">
        <v>181</v>
      </c>
      <c r="G548" s="6" t="s">
        <v>936</v>
      </c>
      <c r="H548" s="6" t="s">
        <v>38</v>
      </c>
      <c r="I548" s="6" t="s">
        <v>398</v>
      </c>
      <c r="J548" s="6"/>
      <c r="K548" s="6" t="s">
        <v>985</v>
      </c>
      <c r="L548" s="6" t="s">
        <v>304</v>
      </c>
      <c r="M548" s="6" t="s">
        <v>59</v>
      </c>
      <c r="N548" s="6"/>
    </row>
    <row r="549" ht="15.75" customHeight="1">
      <c r="A549" s="6" t="s">
        <v>978</v>
      </c>
      <c r="B549" s="6" t="s">
        <v>924</v>
      </c>
      <c r="C549" s="6" t="s">
        <v>576</v>
      </c>
      <c r="D549" s="6" t="s">
        <v>429</v>
      </c>
      <c r="E549" s="6" t="s">
        <v>343</v>
      </c>
      <c r="F549" s="6" t="s">
        <v>138</v>
      </c>
      <c r="G549" s="6" t="s">
        <v>936</v>
      </c>
      <c r="H549" s="6" t="s">
        <v>55</v>
      </c>
      <c r="I549" s="6" t="s">
        <v>927</v>
      </c>
      <c r="J549" s="6"/>
      <c r="K549" s="6"/>
      <c r="L549" s="6" t="s">
        <v>304</v>
      </c>
      <c r="M549" s="6" t="s">
        <v>59</v>
      </c>
      <c r="N549" s="6"/>
    </row>
    <row r="550" ht="15.75" customHeight="1">
      <c r="A550" s="6" t="s">
        <v>978</v>
      </c>
      <c r="B550" s="6" t="s">
        <v>1051</v>
      </c>
      <c r="C550" s="6" t="s">
        <v>539</v>
      </c>
      <c r="D550" s="6" t="s">
        <v>30</v>
      </c>
      <c r="E550" s="6" t="s">
        <v>459</v>
      </c>
      <c r="F550" s="6" t="s">
        <v>24</v>
      </c>
      <c r="G550" s="6" t="s">
        <v>936</v>
      </c>
      <c r="H550" s="6" t="s">
        <v>49</v>
      </c>
      <c r="I550" s="6" t="s">
        <v>1052</v>
      </c>
      <c r="J550" s="6"/>
      <c r="K550" s="6"/>
      <c r="L550" s="6" t="s">
        <v>304</v>
      </c>
      <c r="M550" s="6" t="s">
        <v>59</v>
      </c>
      <c r="N550" s="6"/>
    </row>
    <row r="551" ht="15.75" customHeight="1">
      <c r="A551" s="6" t="s">
        <v>978</v>
      </c>
      <c r="B551" s="6" t="s">
        <v>660</v>
      </c>
      <c r="C551" s="6" t="s">
        <v>501</v>
      </c>
      <c r="D551" s="6" t="s">
        <v>429</v>
      </c>
      <c r="E551" s="6" t="s">
        <v>946</v>
      </c>
      <c r="F551" s="6" t="s">
        <v>67</v>
      </c>
      <c r="G551" s="6" t="s">
        <v>936</v>
      </c>
      <c r="H551" s="6" t="s">
        <v>26</v>
      </c>
      <c r="I551" s="6" t="s">
        <v>664</v>
      </c>
      <c r="J551" s="6"/>
      <c r="K551" s="6"/>
      <c r="L551" s="6" t="s">
        <v>304</v>
      </c>
      <c r="M551" s="6" t="s">
        <v>59</v>
      </c>
      <c r="N551" s="6"/>
    </row>
    <row r="552" ht="15.75" customHeight="1">
      <c r="A552" s="6" t="s">
        <v>978</v>
      </c>
      <c r="B552" s="6" t="s">
        <v>660</v>
      </c>
      <c r="C552" s="6" t="s">
        <v>445</v>
      </c>
      <c r="D552" s="6" t="s">
        <v>429</v>
      </c>
      <c r="E552" s="6" t="s">
        <v>946</v>
      </c>
      <c r="F552" s="6" t="s">
        <v>24</v>
      </c>
      <c r="G552" s="6" t="s">
        <v>936</v>
      </c>
      <c r="H552" s="6" t="s">
        <v>66</v>
      </c>
      <c r="I552" s="6" t="s">
        <v>664</v>
      </c>
      <c r="J552" s="6"/>
      <c r="K552" s="6"/>
      <c r="L552" s="6" t="s">
        <v>304</v>
      </c>
      <c r="M552" s="6" t="s">
        <v>59</v>
      </c>
      <c r="N552" s="6"/>
    </row>
    <row r="553" ht="15.75" customHeight="1">
      <c r="A553" s="6" t="s">
        <v>978</v>
      </c>
      <c r="B553" s="6" t="s">
        <v>666</v>
      </c>
      <c r="C553" s="6" t="s">
        <v>435</v>
      </c>
      <c r="D553" s="6" t="s">
        <v>429</v>
      </c>
      <c r="E553" s="6" t="s">
        <v>438</v>
      </c>
      <c r="F553" s="6" t="s">
        <v>113</v>
      </c>
      <c r="G553" s="6" t="s">
        <v>936</v>
      </c>
      <c r="H553" s="6" t="s">
        <v>66</v>
      </c>
      <c r="I553" s="6" t="s">
        <v>668</v>
      </c>
      <c r="J553" s="6"/>
      <c r="K553" s="6"/>
      <c r="L553" s="6" t="s">
        <v>304</v>
      </c>
      <c r="M553" s="20" t="s">
        <v>373</v>
      </c>
      <c r="N553" s="6"/>
    </row>
    <row r="554" ht="15.75" customHeight="1">
      <c r="A554" s="6" t="s">
        <v>978</v>
      </c>
      <c r="B554" s="6" t="s">
        <v>1064</v>
      </c>
      <c r="C554" s="6" t="s">
        <v>565</v>
      </c>
      <c r="D554" s="6" t="s">
        <v>429</v>
      </c>
      <c r="E554" s="6" t="s">
        <v>556</v>
      </c>
      <c r="F554" s="6" t="s">
        <v>98</v>
      </c>
      <c r="G554" s="6" t="s">
        <v>936</v>
      </c>
      <c r="H554" s="6" t="s">
        <v>26</v>
      </c>
      <c r="I554" s="6" t="s">
        <v>1066</v>
      </c>
      <c r="J554" s="6"/>
      <c r="K554" s="6"/>
      <c r="L554" s="6" t="s">
        <v>304</v>
      </c>
      <c r="M554" s="20" t="s">
        <v>59</v>
      </c>
      <c r="N554" s="6"/>
    </row>
    <row r="555" ht="15.75" customHeight="1">
      <c r="A555" s="6" t="s">
        <v>978</v>
      </c>
      <c r="B555" s="6" t="s">
        <v>1064</v>
      </c>
      <c r="C555" s="6" t="s">
        <v>616</v>
      </c>
      <c r="D555" s="6" t="s">
        <v>429</v>
      </c>
      <c r="E555" s="6" t="s">
        <v>541</v>
      </c>
      <c r="F555" s="6" t="s">
        <v>24</v>
      </c>
      <c r="G555" s="6" t="s">
        <v>936</v>
      </c>
      <c r="H555" s="6" t="s">
        <v>26</v>
      </c>
      <c r="I555" s="6" t="s">
        <v>1066</v>
      </c>
      <c r="J555" s="6"/>
      <c r="K555" s="6"/>
      <c r="L555" s="6" t="s">
        <v>304</v>
      </c>
      <c r="M555" s="6" t="s">
        <v>59</v>
      </c>
      <c r="N555" s="6"/>
    </row>
    <row r="556" ht="15.75" customHeight="1">
      <c r="A556" s="6" t="s">
        <v>978</v>
      </c>
      <c r="B556" s="6" t="s">
        <v>425</v>
      </c>
      <c r="C556" s="6" t="s">
        <v>616</v>
      </c>
      <c r="D556" s="6" t="s">
        <v>429</v>
      </c>
      <c r="E556" s="6" t="s">
        <v>438</v>
      </c>
      <c r="F556" s="6" t="s">
        <v>98</v>
      </c>
      <c r="G556" s="6" t="s">
        <v>936</v>
      </c>
      <c r="H556" s="6" t="s">
        <v>55</v>
      </c>
      <c r="I556" s="6" t="s">
        <v>427</v>
      </c>
      <c r="J556" s="6"/>
      <c r="K556" s="6"/>
      <c r="L556" s="6" t="s">
        <v>304</v>
      </c>
      <c r="M556" s="6" t="s">
        <v>59</v>
      </c>
      <c r="N556" s="6"/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3:N3"/>
    <mergeCell ref="A4:N4"/>
    <mergeCell ref="A45:N45"/>
    <mergeCell ref="A46:N46"/>
    <mergeCell ref="A76:N76"/>
    <mergeCell ref="A77:N77"/>
    <mergeCell ref="A81:N81"/>
  </mergeCells>
  <conditionalFormatting sqref="A6:N43">
    <cfRule type="expression" dxfId="0" priority="1">
      <formula>OR(ISNUMBER(SEARCH("Finalizado",$D6)),$M6="Finalizado",$M6="Validado")</formula>
    </cfRule>
  </conditionalFormatting>
  <conditionalFormatting sqref="A6:N43">
    <cfRule type="expression" dxfId="1" priority="2">
      <formula>AND(NOT(ISNUMBER(SEARCH("Finalizado",$D6))),$M6="Pendente",NOT(ISNUMBER(SEARCH("Falta Justificada",$D6))))</formula>
    </cfRule>
  </conditionalFormatting>
  <conditionalFormatting sqref="K6:K43">
    <cfRule type="expression" dxfId="2" priority="3">
      <formula>OR(ISNUMBER(SEARCH("1ª SESSÃO",K6)),ISNUMBER(SEARCH("ALERTA FINAL",K6)),ISNUMBER(SEARCH("MEDSÊNIOR",K6)))</formula>
    </cfRule>
  </conditionalFormatting>
  <conditionalFormatting sqref="A48:N74">
    <cfRule type="expression" dxfId="0" priority="4">
      <formula>OR(ISNUMBER(SEARCH("Finalizado",$D48)),$M48="Finalizado",$M48="Validado")</formula>
    </cfRule>
  </conditionalFormatting>
  <conditionalFormatting sqref="A48:N74">
    <cfRule type="expression" dxfId="1" priority="5">
      <formula>AND(NOT(ISNUMBER(SEARCH("Finalizado",$D48))),$M48="Pendente",NOT(ISNUMBER(SEARCH("Falta Justificada",$D48))))</formula>
    </cfRule>
  </conditionalFormatting>
  <conditionalFormatting sqref="K48:K74">
    <cfRule type="expression" dxfId="2" priority="6">
      <formula>OR(ISNUMBER(SEARCH("1ª SESSÃO",K48)),ISNUMBER(SEARCH("ALERTA FINAL",K48)),ISNUMBER(SEARCH("MEDSÊNIOR",K48)))</formula>
    </cfRule>
  </conditionalFormatting>
  <conditionalFormatting sqref="A79:N79">
    <cfRule type="expression" dxfId="0" priority="7">
      <formula>OR(ISNUMBER(SEARCH("Finalizado",$D79)),$M79="Finalizado",$M79="Validado")</formula>
    </cfRule>
  </conditionalFormatting>
  <conditionalFormatting sqref="A79:N79">
    <cfRule type="expression" dxfId="1" priority="8">
      <formula>AND(NOT(ISNUMBER(SEARCH("Finalizado",$D79))),$M79="Pendente",NOT(ISNUMBER(SEARCH("Falta Justificada",$D79))))</formula>
    </cfRule>
  </conditionalFormatting>
  <conditionalFormatting sqref="K79">
    <cfRule type="expression" dxfId="2" priority="9">
      <formula>OR(ISNUMBER(SEARCH("1ª SESSÃO",K79)),ISNUMBER(SEARCH("ALERTA FINAL",K79)),ISNUMBER(SEARCH("MEDSÊNIOR",K79)))</formula>
    </cfRule>
  </conditionalFormatting>
  <conditionalFormatting sqref="A83:N119">
    <cfRule type="expression" dxfId="0" priority="10">
      <formula>OR(ISNUMBER(SEARCH("Finalizado",$D83)),$M83="Finalizado",$M83="Validado")</formula>
    </cfRule>
  </conditionalFormatting>
  <conditionalFormatting sqref="A83:N119">
    <cfRule type="expression" dxfId="1" priority="11">
      <formula>AND(NOT(ISNUMBER(SEARCH("Finalizado",$D83))),$M83="Pendente",NOT(ISNUMBER(SEARCH("Falta Justificada",$D83))))</formula>
    </cfRule>
  </conditionalFormatting>
  <conditionalFormatting sqref="K83:K119">
    <cfRule type="expression" dxfId="2" priority="12">
      <formula>OR(ISNUMBER(SEARCH("1ª SESSÃO",K83)),ISNUMBER(SEARCH("ALERTA FINAL",K83)),ISNUMBER(SEARCH("MEDSÊNIOR",K83)))</formula>
    </cfRule>
  </conditionalFormatting>
  <conditionalFormatting sqref="A124:N124">
    <cfRule type="expression" dxfId="3" priority="13">
      <formula>OR($M124="Finalizado",$M124="Validado",$D124="Finalizado")</formula>
    </cfRule>
  </conditionalFormatting>
  <conditionalFormatting sqref="A124:N124">
    <cfRule type="expression" dxfId="4" priority="14">
      <formula>AND($M124="Pendente",$D124&lt;&gt;"Finalizado")</formula>
    </cfRule>
  </conditionalFormatting>
  <conditionalFormatting sqref="A125:N125">
    <cfRule type="expression" dxfId="3" priority="15">
      <formula>OR($M125="Finalizado",$M125="Validado",$D125="Finalizado")</formula>
    </cfRule>
  </conditionalFormatting>
  <conditionalFormatting sqref="A125:N125">
    <cfRule type="expression" dxfId="4" priority="16">
      <formula>AND($M125="Pendente",$D125&lt;&gt;"Finalizado")</formula>
    </cfRule>
  </conditionalFormatting>
  <conditionalFormatting sqref="A126:N126">
    <cfRule type="expression" dxfId="3" priority="17">
      <formula>OR($M126="Finalizado",$M126="Validado",$D126="Finalizado")</formula>
    </cfRule>
  </conditionalFormatting>
  <conditionalFormatting sqref="A126:N126">
    <cfRule type="expression" dxfId="4" priority="18">
      <formula>AND($M126="Pendente",$D126&lt;&gt;"Finalizado")</formula>
    </cfRule>
  </conditionalFormatting>
  <conditionalFormatting sqref="A127:N127">
    <cfRule type="expression" dxfId="3" priority="19">
      <formula>OR($M127="Finalizado",$M127="Validado",$D127="Finalizado")</formula>
    </cfRule>
  </conditionalFormatting>
  <conditionalFormatting sqref="A127:N127">
    <cfRule type="expression" dxfId="4" priority="20">
      <formula>AND($M127="Pendente",$D127&lt;&gt;"Finalizado")</formula>
    </cfRule>
  </conditionalFormatting>
  <conditionalFormatting sqref="A128:N128">
    <cfRule type="expression" dxfId="3" priority="21">
      <formula>OR($M128="Finalizado",$M128="Validado",$D128="Finalizado")</formula>
    </cfRule>
  </conditionalFormatting>
  <conditionalFormatting sqref="A128:N128">
    <cfRule type="expression" dxfId="4" priority="22">
      <formula>AND($M128="Pendente",$D128&lt;&gt;"Finalizado")</formula>
    </cfRule>
  </conditionalFormatting>
  <conditionalFormatting sqref="A129:N129">
    <cfRule type="expression" dxfId="3" priority="23">
      <formula>OR($M129="Finalizado",$M129="Validado",$D129="Finalizado")</formula>
    </cfRule>
  </conditionalFormatting>
  <conditionalFormatting sqref="A129:N129">
    <cfRule type="expression" dxfId="4" priority="24">
      <formula>AND($M129="Pendente",$D129&lt;&gt;"Finalizado")</formula>
    </cfRule>
  </conditionalFormatting>
  <conditionalFormatting sqref="A130:N130">
    <cfRule type="expression" dxfId="3" priority="25">
      <formula>OR($M130="Finalizado",$M130="Validado",$D130="Finalizado")</formula>
    </cfRule>
  </conditionalFormatting>
  <conditionalFormatting sqref="A130:N130">
    <cfRule type="expression" dxfId="4" priority="26">
      <formula>AND($M130="Pendente",$D130&lt;&gt;"Finalizado")</formula>
    </cfRule>
  </conditionalFormatting>
  <conditionalFormatting sqref="A131:N131">
    <cfRule type="expression" dxfId="3" priority="27">
      <formula>OR($M131="Finalizado",$M131="Validado",$D131="Finalizado")</formula>
    </cfRule>
  </conditionalFormatting>
  <conditionalFormatting sqref="A131:N131">
    <cfRule type="expression" dxfId="4" priority="28">
      <formula>AND($M131="Pendente",$D131&lt;&gt;"Finalizado")</formula>
    </cfRule>
  </conditionalFormatting>
  <conditionalFormatting sqref="A132:N132">
    <cfRule type="expression" dxfId="3" priority="29">
      <formula>OR($M132="Finalizado",$M132="Validado",$D132="Finalizado")</formula>
    </cfRule>
  </conditionalFormatting>
  <conditionalFormatting sqref="A132:N132">
    <cfRule type="expression" dxfId="4" priority="30">
      <formula>AND($M132="Pendente",$D132&lt;&gt;"Finalizado")</formula>
    </cfRule>
  </conditionalFormatting>
  <conditionalFormatting sqref="A133:N133">
    <cfRule type="expression" dxfId="3" priority="31">
      <formula>OR($M133="Finalizado",$M133="Validado",$D133="Finalizado")</formula>
    </cfRule>
  </conditionalFormatting>
  <conditionalFormatting sqref="A133:N133">
    <cfRule type="expression" dxfId="4" priority="32">
      <formula>AND($M133="Pendente",$D133&lt;&gt;"Finalizado")</formula>
    </cfRule>
  </conditionalFormatting>
  <conditionalFormatting sqref="A134:N134">
    <cfRule type="expression" dxfId="3" priority="33">
      <formula>OR($M134="Finalizado",$M134="Validado",$D134="Finalizado")</formula>
    </cfRule>
  </conditionalFormatting>
  <conditionalFormatting sqref="A134:N134">
    <cfRule type="expression" dxfId="4" priority="34">
      <formula>AND($M134="Pendente",$D134&lt;&gt;"Finalizado")</formula>
    </cfRule>
  </conditionalFormatting>
  <conditionalFormatting sqref="A135:N135">
    <cfRule type="expression" dxfId="3" priority="35">
      <formula>OR($M135="Finalizado",$M135="Validado",$D135="Finalizado")</formula>
    </cfRule>
  </conditionalFormatting>
  <conditionalFormatting sqref="A135:N135">
    <cfRule type="expression" dxfId="4" priority="36">
      <formula>AND($M135="Pendente",$D135&lt;&gt;"Finalizado")</formula>
    </cfRule>
  </conditionalFormatting>
  <conditionalFormatting sqref="A136:N136">
    <cfRule type="expression" dxfId="3" priority="37">
      <formula>OR($M136="Finalizado",$M136="Validado",$D136="Finalizado")</formula>
    </cfRule>
  </conditionalFormatting>
  <conditionalFormatting sqref="A136:N136">
    <cfRule type="expression" dxfId="4" priority="38">
      <formula>AND($M136="Pendente",$D136&lt;&gt;"Finalizado")</formula>
    </cfRule>
  </conditionalFormatting>
  <conditionalFormatting sqref="A137:N137">
    <cfRule type="expression" dxfId="3" priority="39">
      <formula>OR($M137="Finalizado",$M137="Validado",$D137="Finalizado")</formula>
    </cfRule>
  </conditionalFormatting>
  <conditionalFormatting sqref="A137:N137">
    <cfRule type="expression" dxfId="4" priority="40">
      <formula>AND($M137="Pendente",$D137&lt;&gt;"Finalizado")</formula>
    </cfRule>
  </conditionalFormatting>
  <conditionalFormatting sqref="A138:N138">
    <cfRule type="expression" dxfId="3" priority="41">
      <formula>OR($M138="Finalizado",$M138="Validado",$D138="Finalizado")</formula>
    </cfRule>
  </conditionalFormatting>
  <conditionalFormatting sqref="A138:N138">
    <cfRule type="expression" dxfId="4" priority="42">
      <formula>AND($M138="Pendente",$D138&lt;&gt;"Finalizado")</formula>
    </cfRule>
  </conditionalFormatting>
  <conditionalFormatting sqref="A139:N139">
    <cfRule type="expression" dxfId="3" priority="43">
      <formula>OR($M139="Finalizado",$M139="Validado",$D139="Finalizado")</formula>
    </cfRule>
  </conditionalFormatting>
  <conditionalFormatting sqref="A139:N139">
    <cfRule type="expression" dxfId="4" priority="44">
      <formula>AND($M139="Pendente",$D139&lt;&gt;"Finalizado")</formula>
    </cfRule>
  </conditionalFormatting>
  <conditionalFormatting sqref="A140:N140">
    <cfRule type="expression" dxfId="3" priority="45">
      <formula>OR($M140="Finalizado",$M140="Validado",$D140="Finalizado")</formula>
    </cfRule>
  </conditionalFormatting>
  <conditionalFormatting sqref="A140:N140">
    <cfRule type="expression" dxfId="4" priority="46">
      <formula>AND($M140="Pendente",$D140&lt;&gt;"Finalizado")</formula>
    </cfRule>
  </conditionalFormatting>
  <conditionalFormatting sqref="A141:N141">
    <cfRule type="expression" dxfId="3" priority="47">
      <formula>OR($M141="Finalizado",$M141="Validado",$D141="Finalizado")</formula>
    </cfRule>
  </conditionalFormatting>
  <conditionalFormatting sqref="A141:N141">
    <cfRule type="expression" dxfId="4" priority="48">
      <formula>AND($M141="Pendente",$D141&lt;&gt;"Finalizado")</formula>
    </cfRule>
  </conditionalFormatting>
  <conditionalFormatting sqref="A142:N142">
    <cfRule type="expression" dxfId="3" priority="49">
      <formula>OR($M142="Finalizado",$M142="Validado",$D142="Finalizado")</formula>
    </cfRule>
  </conditionalFormatting>
  <conditionalFormatting sqref="A142:N142">
    <cfRule type="expression" dxfId="4" priority="50">
      <formula>AND($M142="Pendente",$D142&lt;&gt;"Finalizado")</formula>
    </cfRule>
  </conditionalFormatting>
  <conditionalFormatting sqref="A143:N143">
    <cfRule type="expression" dxfId="3" priority="51">
      <formula>OR($M143="Finalizado",$M143="Validado",$D143="Finalizado")</formula>
    </cfRule>
  </conditionalFormatting>
  <conditionalFormatting sqref="A143:N143">
    <cfRule type="expression" dxfId="4" priority="52">
      <formula>AND($M143="Pendente",$D143&lt;&gt;"Finalizado")</formula>
    </cfRule>
  </conditionalFormatting>
  <conditionalFormatting sqref="A144:N144">
    <cfRule type="expression" dxfId="3" priority="53">
      <formula>OR($M144="Finalizado",$M144="Validado",$D144="Finalizado")</formula>
    </cfRule>
  </conditionalFormatting>
  <conditionalFormatting sqref="A144:N144">
    <cfRule type="expression" dxfId="4" priority="54">
      <formula>AND($M144="Pendente",$D144&lt;&gt;"Finalizado")</formula>
    </cfRule>
  </conditionalFormatting>
  <conditionalFormatting sqref="A145:N145">
    <cfRule type="expression" dxfId="3" priority="55">
      <formula>OR($M145="Finalizado",$M145="Validado",$D145="Finalizado")</formula>
    </cfRule>
  </conditionalFormatting>
  <conditionalFormatting sqref="A145:N145">
    <cfRule type="expression" dxfId="4" priority="56">
      <formula>AND($M145="Pendente",$D145&lt;&gt;"Finalizado")</formula>
    </cfRule>
  </conditionalFormatting>
  <conditionalFormatting sqref="A146:N146">
    <cfRule type="expression" dxfId="3" priority="57">
      <formula>OR($M146="Finalizado",$M146="Validado",$D146="Finalizado")</formula>
    </cfRule>
  </conditionalFormatting>
  <conditionalFormatting sqref="A146:N146">
    <cfRule type="expression" dxfId="4" priority="58">
      <formula>AND($M146="Pendente",$D146&lt;&gt;"Finalizado")</formula>
    </cfRule>
  </conditionalFormatting>
  <conditionalFormatting sqref="A147:N147">
    <cfRule type="expression" dxfId="3" priority="59">
      <formula>OR($M147="Finalizado",$M147="Validado",$D147="Finalizado")</formula>
    </cfRule>
  </conditionalFormatting>
  <conditionalFormatting sqref="A147:N147">
    <cfRule type="expression" dxfId="4" priority="60">
      <formula>AND($M147="Pendente",$D147&lt;&gt;"Finalizado")</formula>
    </cfRule>
  </conditionalFormatting>
  <conditionalFormatting sqref="A148:N148">
    <cfRule type="expression" dxfId="3" priority="61">
      <formula>OR($M148="Finalizado",$M148="Validado",$D148="Finalizado")</formula>
    </cfRule>
  </conditionalFormatting>
  <conditionalFormatting sqref="A148:N148">
    <cfRule type="expression" dxfId="4" priority="62">
      <formula>AND($M148="Pendente",$D148&lt;&gt;"Finalizado")</formula>
    </cfRule>
  </conditionalFormatting>
  <conditionalFormatting sqref="A149:N149">
    <cfRule type="expression" dxfId="3" priority="63">
      <formula>OR($M149="Finalizado",$M149="Validado",$D149="Finalizado")</formula>
    </cfRule>
  </conditionalFormatting>
  <conditionalFormatting sqref="A149:N149">
    <cfRule type="expression" dxfId="4" priority="64">
      <formula>AND($M149="Pendente",$D149&lt;&gt;"Finalizado")</formula>
    </cfRule>
  </conditionalFormatting>
  <conditionalFormatting sqref="A150:N150">
    <cfRule type="expression" dxfId="3" priority="65">
      <formula>OR($M150="Finalizado",$M150="Validado",$D150="Finalizado")</formula>
    </cfRule>
  </conditionalFormatting>
  <conditionalFormatting sqref="A150:N150">
    <cfRule type="expression" dxfId="4" priority="66">
      <formula>AND($M150="Pendente",$D150&lt;&gt;"Finalizado")</formula>
    </cfRule>
  </conditionalFormatting>
  <conditionalFormatting sqref="A151:N151">
    <cfRule type="expression" dxfId="3" priority="67">
      <formula>OR($M151="Finalizado",$M151="Validado",$D151="Finalizado")</formula>
    </cfRule>
  </conditionalFormatting>
  <conditionalFormatting sqref="A151:N151">
    <cfRule type="expression" dxfId="4" priority="68">
      <formula>AND($M151="Pendente",$D151&lt;&gt;"Finalizado")</formula>
    </cfRule>
  </conditionalFormatting>
  <conditionalFormatting sqref="A152:N152">
    <cfRule type="expression" dxfId="3" priority="69">
      <formula>OR($M152="Finalizado",$M152="Validado",$D152="Finalizado")</formula>
    </cfRule>
  </conditionalFormatting>
  <conditionalFormatting sqref="A152:N152">
    <cfRule type="expression" dxfId="4" priority="70">
      <formula>AND($M152="Pendente",$D152&lt;&gt;"Finalizado")</formula>
    </cfRule>
  </conditionalFormatting>
  <conditionalFormatting sqref="A153:N153">
    <cfRule type="expression" dxfId="3" priority="71">
      <formula>OR($M153="Finalizado",$M153="Validado",$D153="Finalizado")</formula>
    </cfRule>
  </conditionalFormatting>
  <conditionalFormatting sqref="A153:N153">
    <cfRule type="expression" dxfId="4" priority="72">
      <formula>AND($M153="Pendente",$D153&lt;&gt;"Finalizado")</formula>
    </cfRule>
  </conditionalFormatting>
  <conditionalFormatting sqref="A154:N154">
    <cfRule type="expression" dxfId="3" priority="73">
      <formula>OR($M154="Finalizado",$M154="Validado",$D154="Finalizado")</formula>
    </cfRule>
  </conditionalFormatting>
  <conditionalFormatting sqref="A154:N154">
    <cfRule type="expression" dxfId="4" priority="74">
      <formula>AND($M154="Pendente",$D154&lt;&gt;"Finalizado")</formula>
    </cfRule>
  </conditionalFormatting>
  <conditionalFormatting sqref="A155:N155">
    <cfRule type="expression" dxfId="3" priority="75">
      <formula>OR($M155="Finalizado",$M155="Validado",$D155="Finalizado")</formula>
    </cfRule>
  </conditionalFormatting>
  <conditionalFormatting sqref="A155:N155">
    <cfRule type="expression" dxfId="4" priority="76">
      <formula>AND($M155="Pendente",$D155&lt;&gt;"Finalizado")</formula>
    </cfRule>
  </conditionalFormatting>
  <conditionalFormatting sqref="A156:N156">
    <cfRule type="expression" dxfId="3" priority="77">
      <formula>OR($M156="Finalizado",$M156="Validado",$D156="Finalizado")</formula>
    </cfRule>
  </conditionalFormatting>
  <conditionalFormatting sqref="A156:N156">
    <cfRule type="expression" dxfId="4" priority="78">
      <formula>AND($M156="Pendente",$D156&lt;&gt;"Finalizado")</formula>
    </cfRule>
  </conditionalFormatting>
  <conditionalFormatting sqref="A157:N157">
    <cfRule type="expression" dxfId="3" priority="79">
      <formula>OR($M157="Finalizado",$M157="Validado",$D157="Finalizado")</formula>
    </cfRule>
  </conditionalFormatting>
  <conditionalFormatting sqref="A157:N157">
    <cfRule type="expression" dxfId="4" priority="80">
      <formula>AND($M157="Pendente",$D157&lt;&gt;"Finalizado")</formula>
    </cfRule>
  </conditionalFormatting>
  <conditionalFormatting sqref="A158:N158">
    <cfRule type="expression" dxfId="3" priority="81">
      <formula>OR($M158="Finalizado",$M158="Validado",$D158="Finalizado")</formula>
    </cfRule>
  </conditionalFormatting>
  <conditionalFormatting sqref="A158:N158">
    <cfRule type="expression" dxfId="4" priority="82">
      <formula>AND($M158="Pendente",$D158&lt;&gt;"Finalizado")</formula>
    </cfRule>
  </conditionalFormatting>
  <conditionalFormatting sqref="A159:N159">
    <cfRule type="expression" dxfId="3" priority="83">
      <formula>OR($M159="Finalizado",$M159="Validado",$D159="Finalizado")</formula>
    </cfRule>
  </conditionalFormatting>
  <conditionalFormatting sqref="A159:N159">
    <cfRule type="expression" dxfId="4" priority="84">
      <formula>AND($M159="Pendente",$D159&lt;&gt;"Finalizado")</formula>
    </cfRule>
  </conditionalFormatting>
  <conditionalFormatting sqref="A160:N160">
    <cfRule type="expression" dxfId="3" priority="85">
      <formula>OR($M160="Finalizado",$M160="Validado",$D160="Finalizado")</formula>
    </cfRule>
  </conditionalFormatting>
  <conditionalFormatting sqref="A160:N160">
    <cfRule type="expression" dxfId="4" priority="86">
      <formula>AND($M160="Pendente",$D160&lt;&gt;"Finalizado")</formula>
    </cfRule>
  </conditionalFormatting>
  <conditionalFormatting sqref="A161:N161">
    <cfRule type="expression" dxfId="3" priority="87">
      <formula>OR($M161="Finalizado",$M161="Validado",$D161="Finalizado")</formula>
    </cfRule>
  </conditionalFormatting>
  <conditionalFormatting sqref="A161:N161">
    <cfRule type="expression" dxfId="4" priority="88">
      <formula>AND($M161="Pendente",$D161&lt;&gt;"Finalizado")</formula>
    </cfRule>
  </conditionalFormatting>
  <conditionalFormatting sqref="A162:N162">
    <cfRule type="expression" dxfId="3" priority="89">
      <formula>OR($M162="Finalizado",$M162="Validado",$D162="Finalizado")</formula>
    </cfRule>
  </conditionalFormatting>
  <conditionalFormatting sqref="A162:N162">
    <cfRule type="expression" dxfId="4" priority="90">
      <formula>AND($M162="Pendente",$D162&lt;&gt;"Finalizado")</formula>
    </cfRule>
  </conditionalFormatting>
  <conditionalFormatting sqref="A163:N163">
    <cfRule type="expression" dxfId="3" priority="91">
      <formula>OR($M163="Finalizado",$M163="Validado",$D163="Finalizado")</formula>
    </cfRule>
  </conditionalFormatting>
  <conditionalFormatting sqref="A163:N163">
    <cfRule type="expression" dxfId="4" priority="92">
      <formula>AND($M163="Pendente",$D163&lt;&gt;"Finalizado")</formula>
    </cfRule>
  </conditionalFormatting>
  <conditionalFormatting sqref="A164:N164">
    <cfRule type="expression" dxfId="3" priority="93">
      <formula>OR($M164="Finalizado",$M164="Validado",$D164="Finalizado")</formula>
    </cfRule>
  </conditionalFormatting>
  <conditionalFormatting sqref="A164:N164">
    <cfRule type="expression" dxfId="4" priority="94">
      <formula>AND($M164="Pendente",$D164&lt;&gt;"Finalizado")</formula>
    </cfRule>
  </conditionalFormatting>
  <conditionalFormatting sqref="A165:N165">
    <cfRule type="expression" dxfId="3" priority="95">
      <formula>OR($M165="Finalizado",$M165="Validado",$D165="Finalizado")</formula>
    </cfRule>
  </conditionalFormatting>
  <conditionalFormatting sqref="A165:N165">
    <cfRule type="expression" dxfId="4" priority="96">
      <formula>AND($M165="Pendente",$D165&lt;&gt;"Finalizado")</formula>
    </cfRule>
  </conditionalFormatting>
  <conditionalFormatting sqref="A166:N166">
    <cfRule type="expression" dxfId="3" priority="97">
      <formula>OR($M166="Finalizado",$M166="Validado",$D166="Finalizado")</formula>
    </cfRule>
  </conditionalFormatting>
  <conditionalFormatting sqref="A166:N166">
    <cfRule type="expression" dxfId="4" priority="98">
      <formula>AND($M166="Pendente",$D166&lt;&gt;"Finalizado")</formula>
    </cfRule>
  </conditionalFormatting>
  <conditionalFormatting sqref="A167:N167">
    <cfRule type="expression" dxfId="3" priority="99">
      <formula>OR($M167="Finalizado",$M167="Validado",$D167="Finalizado")</formula>
    </cfRule>
  </conditionalFormatting>
  <conditionalFormatting sqref="A167:N167">
    <cfRule type="expression" dxfId="4" priority="100">
      <formula>AND($M167="Pendente",$D167&lt;&gt;"Finalizado")</formula>
    </cfRule>
  </conditionalFormatting>
  <conditionalFormatting sqref="A168:N168">
    <cfRule type="expression" dxfId="3" priority="101">
      <formula>OR($M168="Finalizado",$M168="Validado",$D168="Finalizado")</formula>
    </cfRule>
  </conditionalFormatting>
  <conditionalFormatting sqref="A168:N168">
    <cfRule type="expression" dxfId="4" priority="102">
      <formula>AND($M168="Pendente",$D168&lt;&gt;"Finalizado")</formula>
    </cfRule>
  </conditionalFormatting>
  <conditionalFormatting sqref="A169:N169">
    <cfRule type="expression" dxfId="3" priority="103">
      <formula>OR($M169="Finalizado",$M169="Validado",$D169="Finalizado")</formula>
    </cfRule>
  </conditionalFormatting>
  <conditionalFormatting sqref="A169:N169">
    <cfRule type="expression" dxfId="4" priority="104">
      <formula>AND($M169="Pendente",$D169&lt;&gt;"Finalizado")</formula>
    </cfRule>
  </conditionalFormatting>
  <conditionalFormatting sqref="A174:N174">
    <cfRule type="expression" dxfId="3" priority="105">
      <formula>OR($M174="Finalizado",$M174="Validado",$D174="Finalizado")</formula>
    </cfRule>
  </conditionalFormatting>
  <conditionalFormatting sqref="A174:N174">
    <cfRule type="expression" dxfId="4" priority="106">
      <formula>AND($M174="Pendente",$D174&lt;&gt;"Finalizado")</formula>
    </cfRule>
  </conditionalFormatting>
  <conditionalFormatting sqref="A175:N175">
    <cfRule type="expression" dxfId="3" priority="107">
      <formula>OR($M175="Finalizado",$M175="Validado",$D175="Finalizado")</formula>
    </cfRule>
  </conditionalFormatting>
  <conditionalFormatting sqref="A175:N175">
    <cfRule type="expression" dxfId="4" priority="108">
      <formula>AND($M175="Pendente",$D175&lt;&gt;"Finalizado")</formula>
    </cfRule>
  </conditionalFormatting>
  <conditionalFormatting sqref="A176:N176">
    <cfRule type="expression" dxfId="3" priority="109">
      <formula>OR($M176="Finalizado",$M176="Validado",$D176="Finalizado")</formula>
    </cfRule>
  </conditionalFormatting>
  <conditionalFormatting sqref="A176:N176">
    <cfRule type="expression" dxfId="4" priority="110">
      <formula>AND($M176="Pendente",$D176&lt;&gt;"Finalizado")</formula>
    </cfRule>
  </conditionalFormatting>
  <conditionalFormatting sqref="A177:N177">
    <cfRule type="expression" dxfId="3" priority="111">
      <formula>OR($M177="Finalizado",$M177="Validado",$D177="Finalizado")</formula>
    </cfRule>
  </conditionalFormatting>
  <conditionalFormatting sqref="A177:N177">
    <cfRule type="expression" dxfId="4" priority="112">
      <formula>AND($M177="Pendente",$D177&lt;&gt;"Finalizado")</formula>
    </cfRule>
  </conditionalFormatting>
  <conditionalFormatting sqref="A178:N178">
    <cfRule type="expression" dxfId="3" priority="113">
      <formula>OR($M178="Finalizado",$M178="Validado",$D178="Finalizado")</formula>
    </cfRule>
  </conditionalFormatting>
  <conditionalFormatting sqref="A178:N178">
    <cfRule type="expression" dxfId="4" priority="114">
      <formula>AND($M178="Pendente",$D178&lt;&gt;"Finalizado")</formula>
    </cfRule>
  </conditionalFormatting>
  <conditionalFormatting sqref="A179:N179">
    <cfRule type="expression" dxfId="3" priority="115">
      <formula>OR($M179="Finalizado",$M179="Validado",$D179="Finalizado")</formula>
    </cfRule>
  </conditionalFormatting>
  <conditionalFormatting sqref="A179:N179">
    <cfRule type="expression" dxfId="4" priority="116">
      <formula>AND($M179="Pendente",$D179&lt;&gt;"Finalizado")</formula>
    </cfRule>
  </conditionalFormatting>
  <conditionalFormatting sqref="A180:N180">
    <cfRule type="expression" dxfId="3" priority="117">
      <formula>OR($M180="Finalizado",$M180="Validado",$D180="Finalizado")</formula>
    </cfRule>
  </conditionalFormatting>
  <conditionalFormatting sqref="A180:N180">
    <cfRule type="expression" dxfId="4" priority="118">
      <formula>AND($M180="Pendente",$D180&lt;&gt;"Finalizado")</formula>
    </cfRule>
  </conditionalFormatting>
  <conditionalFormatting sqref="A181:N181">
    <cfRule type="expression" dxfId="3" priority="119">
      <formula>OR($M181="Finalizado",$M181="Validado",$D181="Finalizado")</formula>
    </cfRule>
  </conditionalFormatting>
  <conditionalFormatting sqref="A181:N181">
    <cfRule type="expression" dxfId="4" priority="120">
      <formula>AND($M181="Pendente",$D181&lt;&gt;"Finalizado")</formula>
    </cfRule>
  </conditionalFormatting>
  <conditionalFormatting sqref="A182:N182">
    <cfRule type="expression" dxfId="3" priority="121">
      <formula>OR($M182="Finalizado",$M182="Validado",$D182="Finalizado")</formula>
    </cfRule>
  </conditionalFormatting>
  <conditionalFormatting sqref="A182:N182">
    <cfRule type="expression" dxfId="4" priority="122">
      <formula>AND($M182="Pendente",$D182&lt;&gt;"Finalizado")</formula>
    </cfRule>
  </conditionalFormatting>
  <conditionalFormatting sqref="A183:N183">
    <cfRule type="expression" dxfId="3" priority="123">
      <formula>OR($M183="Finalizado",$M183="Validado",$D183="Finalizado")</formula>
    </cfRule>
  </conditionalFormatting>
  <conditionalFormatting sqref="A183:N183">
    <cfRule type="expression" dxfId="4" priority="124">
      <formula>AND($M183="Pendente",$D183&lt;&gt;"Finalizado")</formula>
    </cfRule>
  </conditionalFormatting>
  <conditionalFormatting sqref="A184:N184">
    <cfRule type="expression" dxfId="3" priority="125">
      <formula>OR($M184="Finalizado",$M184="Validado",$D184="Finalizado")</formula>
    </cfRule>
  </conditionalFormatting>
  <conditionalFormatting sqref="A184:N184">
    <cfRule type="expression" dxfId="4" priority="126">
      <formula>AND($M184="Pendente",$D184&lt;&gt;"Finalizado")</formula>
    </cfRule>
  </conditionalFormatting>
  <conditionalFormatting sqref="A185:N185">
    <cfRule type="expression" dxfId="3" priority="127">
      <formula>OR($M185="Finalizado",$M185="Validado",$D185="Finalizado")</formula>
    </cfRule>
  </conditionalFormatting>
  <conditionalFormatting sqref="A185:N185">
    <cfRule type="expression" dxfId="4" priority="128">
      <formula>AND($M185="Pendente",$D185&lt;&gt;"Finalizado")</formula>
    </cfRule>
  </conditionalFormatting>
  <conditionalFormatting sqref="A186:N186">
    <cfRule type="expression" dxfId="3" priority="129">
      <formula>OR($M186="Finalizado",$M186="Validado",$D186="Finalizado")</formula>
    </cfRule>
  </conditionalFormatting>
  <conditionalFormatting sqref="A186:N186">
    <cfRule type="expression" dxfId="4" priority="130">
      <formula>AND($M186="Pendente",$D186&lt;&gt;"Finalizado")</formula>
    </cfRule>
  </conditionalFormatting>
  <conditionalFormatting sqref="A187:N187">
    <cfRule type="expression" dxfId="3" priority="131">
      <formula>OR($M187="Finalizado",$M187="Validado",$D187="Finalizado")</formula>
    </cfRule>
  </conditionalFormatting>
  <conditionalFormatting sqref="A187:N187">
    <cfRule type="expression" dxfId="4" priority="132">
      <formula>AND($M187="Pendente",$D187&lt;&gt;"Finalizado")</formula>
    </cfRule>
  </conditionalFormatting>
  <conditionalFormatting sqref="A188:N188">
    <cfRule type="expression" dxfId="3" priority="133">
      <formula>OR($M188="Finalizado",$M188="Validado",$D188="Finalizado")</formula>
    </cfRule>
  </conditionalFormatting>
  <conditionalFormatting sqref="A188:N188">
    <cfRule type="expression" dxfId="4" priority="134">
      <formula>AND($M188="Pendente",$D188&lt;&gt;"Finalizado")</formula>
    </cfRule>
  </conditionalFormatting>
  <conditionalFormatting sqref="A189:N189">
    <cfRule type="expression" dxfId="3" priority="135">
      <formula>OR($M189="Finalizado",$M189="Validado",$D189="Finalizado")</formula>
    </cfRule>
  </conditionalFormatting>
  <conditionalFormatting sqref="A189:N189">
    <cfRule type="expression" dxfId="4" priority="136">
      <formula>AND($M189="Pendente",$D189&lt;&gt;"Finalizado")</formula>
    </cfRule>
  </conditionalFormatting>
  <conditionalFormatting sqref="A190:N190">
    <cfRule type="expression" dxfId="3" priority="137">
      <formula>OR($M190="Finalizado",$M190="Validado",$D190="Finalizado")</formula>
    </cfRule>
  </conditionalFormatting>
  <conditionalFormatting sqref="A190:N190">
    <cfRule type="expression" dxfId="4" priority="138">
      <formula>AND($M190="Pendente",$D190&lt;&gt;"Finalizado")</formula>
    </cfRule>
  </conditionalFormatting>
  <conditionalFormatting sqref="A191:N191">
    <cfRule type="expression" dxfId="3" priority="139">
      <formula>OR($M191="Finalizado",$M191="Validado",$D191="Finalizado")</formula>
    </cfRule>
  </conditionalFormatting>
  <conditionalFormatting sqref="A191:N191">
    <cfRule type="expression" dxfId="4" priority="140">
      <formula>AND($M191="Pendente",$D191&lt;&gt;"Finalizado")</formula>
    </cfRule>
  </conditionalFormatting>
  <conditionalFormatting sqref="A192:N192">
    <cfRule type="expression" dxfId="3" priority="141">
      <formula>OR($M192="Finalizado",$M192="Validado",$D192="Finalizado")</formula>
    </cfRule>
  </conditionalFormatting>
  <conditionalFormatting sqref="A192:N192">
    <cfRule type="expression" dxfId="4" priority="142">
      <formula>AND($M192="Pendente",$D192&lt;&gt;"Finalizado")</formula>
    </cfRule>
  </conditionalFormatting>
  <conditionalFormatting sqref="A193:N193">
    <cfRule type="expression" dxfId="3" priority="143">
      <formula>OR($M193="Finalizado",$M193="Validado",$D193="Finalizado")</formula>
    </cfRule>
  </conditionalFormatting>
  <conditionalFormatting sqref="A193:N193">
    <cfRule type="expression" dxfId="4" priority="144">
      <formula>AND($M193="Pendente",$D193&lt;&gt;"Finalizado")</formula>
    </cfRule>
  </conditionalFormatting>
  <conditionalFormatting sqref="A194:N194">
    <cfRule type="expression" dxfId="3" priority="145">
      <formula>OR($M194="Finalizado",$M194="Validado",$D194="Finalizado")</formula>
    </cfRule>
  </conditionalFormatting>
  <conditionalFormatting sqref="A194:N194">
    <cfRule type="expression" dxfId="4" priority="146">
      <formula>AND($M194="Pendente",$D194&lt;&gt;"Finalizado")</formula>
    </cfRule>
  </conditionalFormatting>
  <conditionalFormatting sqref="A195:N195">
    <cfRule type="expression" dxfId="3" priority="147">
      <formula>OR($M195="Finalizado",$M195="Validado",$D195="Finalizado")</formula>
    </cfRule>
  </conditionalFormatting>
  <conditionalFormatting sqref="A195:N195">
    <cfRule type="expression" dxfId="4" priority="148">
      <formula>AND($M195="Pendente",$D195&lt;&gt;"Finalizado")</formula>
    </cfRule>
  </conditionalFormatting>
  <conditionalFormatting sqref="A196:N196">
    <cfRule type="expression" dxfId="3" priority="149">
      <formula>OR($M196="Finalizado",$M196="Validado",$D196="Finalizado")</formula>
    </cfRule>
  </conditionalFormatting>
  <conditionalFormatting sqref="A196:N196">
    <cfRule type="expression" dxfId="4" priority="150">
      <formula>AND($M196="Pendente",$D196&lt;&gt;"Finalizado")</formula>
    </cfRule>
  </conditionalFormatting>
  <conditionalFormatting sqref="A197:N197">
    <cfRule type="expression" dxfId="3" priority="151">
      <formula>OR($M197="Finalizado",$M197="Validado",$D197="Finalizado")</formula>
    </cfRule>
  </conditionalFormatting>
  <conditionalFormatting sqref="A197:N197">
    <cfRule type="expression" dxfId="4" priority="152">
      <formula>AND($M197="Pendente",$D197&lt;&gt;"Finalizado")</formula>
    </cfRule>
  </conditionalFormatting>
  <conditionalFormatting sqref="A198:N198">
    <cfRule type="expression" dxfId="3" priority="153">
      <formula>OR($M198="Finalizado",$M198="Validado",$D198="Finalizado")</formula>
    </cfRule>
  </conditionalFormatting>
  <conditionalFormatting sqref="A198:N198">
    <cfRule type="expression" dxfId="4" priority="154">
      <formula>AND($M198="Pendente",$D198&lt;&gt;"Finalizado")</formula>
    </cfRule>
  </conditionalFormatting>
  <conditionalFormatting sqref="A199:N199">
    <cfRule type="expression" dxfId="3" priority="155">
      <formula>OR($M199="Finalizado",$M199="Validado",$D199="Finalizado")</formula>
    </cfRule>
  </conditionalFormatting>
  <conditionalFormatting sqref="A199:N199">
    <cfRule type="expression" dxfId="4" priority="156">
      <formula>AND($M199="Pendente",$D199&lt;&gt;"Finalizado")</formula>
    </cfRule>
  </conditionalFormatting>
  <conditionalFormatting sqref="A200:N200">
    <cfRule type="expression" dxfId="3" priority="157">
      <formula>OR($M200="Finalizado",$M200="Validado",$D200="Finalizado")</formula>
    </cfRule>
  </conditionalFormatting>
  <conditionalFormatting sqref="A200:N200">
    <cfRule type="expression" dxfId="4" priority="158">
      <formula>AND($M200="Pendente",$D200&lt;&gt;"Finalizado")</formula>
    </cfRule>
  </conditionalFormatting>
  <conditionalFormatting sqref="A201:N201">
    <cfRule type="expression" dxfId="3" priority="159">
      <formula>OR($M201="Finalizado",$M201="Validado",$D201="Finalizado")</formula>
    </cfRule>
  </conditionalFormatting>
  <conditionalFormatting sqref="A201:N201">
    <cfRule type="expression" dxfId="4" priority="160">
      <formula>AND($M201="Pendente",$D201&lt;&gt;"Finalizado")</formula>
    </cfRule>
  </conditionalFormatting>
  <conditionalFormatting sqref="A202:N202">
    <cfRule type="expression" dxfId="3" priority="161">
      <formula>OR($M202="Finalizado",$M202="Validado",$D202="Finalizado")</formula>
    </cfRule>
  </conditionalFormatting>
  <conditionalFormatting sqref="A202:N202">
    <cfRule type="expression" dxfId="4" priority="162">
      <formula>AND($M202="Pendente",$D202&lt;&gt;"Finalizado")</formula>
    </cfRule>
  </conditionalFormatting>
  <conditionalFormatting sqref="A203:N203">
    <cfRule type="expression" dxfId="3" priority="163">
      <formula>OR($M203="Finalizado",$M203="Validado",$D203="Finalizado")</formula>
    </cfRule>
  </conditionalFormatting>
  <conditionalFormatting sqref="A203:N203">
    <cfRule type="expression" dxfId="4" priority="164">
      <formula>AND($M203="Pendente",$D203&lt;&gt;"Finalizado")</formula>
    </cfRule>
  </conditionalFormatting>
  <conditionalFormatting sqref="A204:N204">
    <cfRule type="expression" dxfId="3" priority="165">
      <formula>OR($M204="Finalizado",$M204="Validado",$D204="Finalizado")</formula>
    </cfRule>
  </conditionalFormatting>
  <conditionalFormatting sqref="A204:N204">
    <cfRule type="expression" dxfId="4" priority="166">
      <formula>AND($M204="Pendente",$D204&lt;&gt;"Finalizado")</formula>
    </cfRule>
  </conditionalFormatting>
  <conditionalFormatting sqref="A205:N205">
    <cfRule type="expression" dxfId="3" priority="167">
      <formula>OR($M205="Finalizado",$M205="Validado",$D205="Finalizado")</formula>
    </cfRule>
  </conditionalFormatting>
  <conditionalFormatting sqref="A205:N205">
    <cfRule type="expression" dxfId="4" priority="168">
      <formula>AND($M205="Pendente",$D205&lt;&gt;"Finalizado")</formula>
    </cfRule>
  </conditionalFormatting>
  <conditionalFormatting sqref="A206:N206">
    <cfRule type="expression" dxfId="3" priority="169">
      <formula>OR($M206="Finalizado",$M206="Validado",$D206="Finalizado")</formula>
    </cfRule>
  </conditionalFormatting>
  <conditionalFormatting sqref="A206:N206">
    <cfRule type="expression" dxfId="4" priority="170">
      <formula>AND($M206="Pendente",$D206&lt;&gt;"Finalizado")</formula>
    </cfRule>
  </conditionalFormatting>
  <conditionalFormatting sqref="A207:N207">
    <cfRule type="expression" dxfId="3" priority="171">
      <formula>OR($M207="Finalizado",$M207="Validado",$D207="Finalizado")</formula>
    </cfRule>
  </conditionalFormatting>
  <conditionalFormatting sqref="A207:N207">
    <cfRule type="expression" dxfId="4" priority="172">
      <formula>AND($M207="Pendente",$D207&lt;&gt;"Finalizado")</formula>
    </cfRule>
  </conditionalFormatting>
  <conditionalFormatting sqref="A208:N208">
    <cfRule type="expression" dxfId="3" priority="173">
      <formula>OR($M208="Finalizado",$M208="Validado",$D208="Finalizado")</formula>
    </cfRule>
  </conditionalFormatting>
  <conditionalFormatting sqref="A208:N208">
    <cfRule type="expression" dxfId="4" priority="174">
      <formula>AND($M208="Pendente",$D208&lt;&gt;"Finalizado")</formula>
    </cfRule>
  </conditionalFormatting>
  <conditionalFormatting sqref="A209:N209">
    <cfRule type="expression" dxfId="3" priority="175">
      <formula>OR($M209="Finalizado",$M209="Validado",$D209="Finalizado")</formula>
    </cfRule>
  </conditionalFormatting>
  <conditionalFormatting sqref="A209:N209">
    <cfRule type="expression" dxfId="4" priority="176">
      <formula>AND($M209="Pendente",$D209&lt;&gt;"Finalizado")</formula>
    </cfRule>
  </conditionalFormatting>
  <conditionalFormatting sqref="A210:N210">
    <cfRule type="expression" dxfId="3" priority="177">
      <formula>OR($M210="Finalizado",$M210="Validado",$D210="Finalizado")</formula>
    </cfRule>
  </conditionalFormatting>
  <conditionalFormatting sqref="A210:N210">
    <cfRule type="expression" dxfId="4" priority="178">
      <formula>AND($M210="Pendente",$D210&lt;&gt;"Finalizado")</formula>
    </cfRule>
  </conditionalFormatting>
  <conditionalFormatting sqref="A211:N211">
    <cfRule type="expression" dxfId="3" priority="179">
      <formula>OR($M211="Finalizado",$M211="Validado",$D211="Finalizado")</formula>
    </cfRule>
  </conditionalFormatting>
  <conditionalFormatting sqref="A211:N211">
    <cfRule type="expression" dxfId="4" priority="180">
      <formula>AND($M211="Pendente",$D211&lt;&gt;"Finalizado")</formula>
    </cfRule>
  </conditionalFormatting>
  <conditionalFormatting sqref="A212:N212">
    <cfRule type="expression" dxfId="3" priority="181">
      <formula>OR($M212="Finalizado",$M212="Validado",$D212="Finalizado")</formula>
    </cfRule>
  </conditionalFormatting>
  <conditionalFormatting sqref="A212:N212">
    <cfRule type="expression" dxfId="4" priority="182">
      <formula>AND($M212="Pendente",$D212&lt;&gt;"Finalizado")</formula>
    </cfRule>
  </conditionalFormatting>
  <conditionalFormatting sqref="A217:N217">
    <cfRule type="expression" dxfId="3" priority="183">
      <formula>OR($M217="Finalizado",$M217="Validado",$D217="Finalizado")</formula>
    </cfRule>
  </conditionalFormatting>
  <conditionalFormatting sqref="A217:N217">
    <cfRule type="expression" dxfId="4" priority="184">
      <formula>AND($M217="Pendente",$D217&lt;&gt;"Finalizado")</formula>
    </cfRule>
  </conditionalFormatting>
  <conditionalFormatting sqref="A124:N169">
    <cfRule type="containsText" dxfId="7" priority="185" operator="containsText" text="Cancelado">
      <formula>NOT(ISERROR(SEARCH(("Cancelado"),(A124))))</formula>
    </cfRule>
  </conditionalFormatting>
  <conditionalFormatting sqref="A222:N222">
    <cfRule type="expression" dxfId="3" priority="186">
      <formula>OR($M222="Finalizado",$M222="Validado",LEFT($D222,10)="Finalizado")</formula>
    </cfRule>
  </conditionalFormatting>
  <conditionalFormatting sqref="A222:N222">
    <cfRule type="expression" dxfId="4" priority="187">
      <formula>AND($M222="Pendente",LEFT($D222,10)&lt;&gt;"Finalizado")</formula>
    </cfRule>
  </conditionalFormatting>
  <conditionalFormatting sqref="A223:N223">
    <cfRule type="expression" dxfId="3" priority="188">
      <formula>OR($M223="Finalizado",$M223="Validado",LEFT($D223,10)="Finalizado")</formula>
    </cfRule>
  </conditionalFormatting>
  <conditionalFormatting sqref="A223:N223">
    <cfRule type="expression" dxfId="4" priority="189">
      <formula>AND($M223="Pendente",LEFT($D223,10)&lt;&gt;"Finalizado")</formula>
    </cfRule>
  </conditionalFormatting>
  <conditionalFormatting sqref="A224:N224">
    <cfRule type="expression" dxfId="3" priority="190">
      <formula>OR($M224="Finalizado",$M224="Validado",LEFT($D224,10)="Finalizado")</formula>
    </cfRule>
  </conditionalFormatting>
  <conditionalFormatting sqref="A224:N224">
    <cfRule type="expression" dxfId="4" priority="191">
      <formula>AND($M224="Pendente",LEFT($D224,10)&lt;&gt;"Finalizado")</formula>
    </cfRule>
  </conditionalFormatting>
  <conditionalFormatting sqref="A225:N225">
    <cfRule type="expression" dxfId="3" priority="192">
      <formula>OR($M225="Finalizado",$M225="Validado",LEFT($D225,10)="Finalizado")</formula>
    </cfRule>
  </conditionalFormatting>
  <conditionalFormatting sqref="A225:N225">
    <cfRule type="expression" dxfId="4" priority="193">
      <formula>AND($M225="Pendente",LEFT($D225,10)&lt;&gt;"Finalizado")</formula>
    </cfRule>
  </conditionalFormatting>
  <conditionalFormatting sqref="A226:N226">
    <cfRule type="expression" dxfId="3" priority="194">
      <formula>OR($M226="Finalizado",$M226="Validado",LEFT($D226,10)="Finalizado")</formula>
    </cfRule>
  </conditionalFormatting>
  <conditionalFormatting sqref="A226:N226">
    <cfRule type="expression" dxfId="4" priority="195">
      <formula>AND($M226="Pendente",LEFT($D226,10)&lt;&gt;"Finalizado")</formula>
    </cfRule>
  </conditionalFormatting>
  <conditionalFormatting sqref="A227:N227">
    <cfRule type="expression" dxfId="3" priority="196">
      <formula>OR($M227="Finalizado",$M227="Validado",LEFT($D227,10)="Finalizado")</formula>
    </cfRule>
  </conditionalFormatting>
  <conditionalFormatting sqref="A227:N227">
    <cfRule type="expression" dxfId="4" priority="197">
      <formula>AND($M227="Pendente",LEFT($D227,10)&lt;&gt;"Finalizado")</formula>
    </cfRule>
  </conditionalFormatting>
  <conditionalFormatting sqref="A228:N228">
    <cfRule type="expression" dxfId="3" priority="198">
      <formula>OR($M228="Finalizado",$M228="Validado",LEFT($D228,10)="Finalizado")</formula>
    </cfRule>
  </conditionalFormatting>
  <conditionalFormatting sqref="A228:N228">
    <cfRule type="expression" dxfId="4" priority="199">
      <formula>AND($M228="Pendente",LEFT($D228,10)&lt;&gt;"Finalizado")</formula>
    </cfRule>
  </conditionalFormatting>
  <conditionalFormatting sqref="A229:N229">
    <cfRule type="expression" dxfId="3" priority="200">
      <formula>OR($M229="Finalizado",$M229="Validado",LEFT($D229,10)="Finalizado")</formula>
    </cfRule>
  </conditionalFormatting>
  <conditionalFormatting sqref="A229:N229">
    <cfRule type="expression" dxfId="4" priority="201">
      <formula>AND($M229="Pendente",LEFT($D229,10)&lt;&gt;"Finalizado")</formula>
    </cfRule>
  </conditionalFormatting>
  <conditionalFormatting sqref="A230:N230">
    <cfRule type="expression" dxfId="3" priority="202">
      <formula>OR($M230="Finalizado",$M230="Validado",LEFT($D230,10)="Finalizado")</formula>
    </cfRule>
  </conditionalFormatting>
  <conditionalFormatting sqref="A230:N230">
    <cfRule type="expression" dxfId="4" priority="203">
      <formula>AND($M230="Pendente",LEFT($D230,10)&lt;&gt;"Finalizado")</formula>
    </cfRule>
  </conditionalFormatting>
  <conditionalFormatting sqref="A231:N231">
    <cfRule type="expression" dxfId="3" priority="204">
      <formula>OR($M231="Finalizado",$M231="Validado",LEFT($D231,10)="Finalizado")</formula>
    </cfRule>
  </conditionalFormatting>
  <conditionalFormatting sqref="A231:N231">
    <cfRule type="expression" dxfId="4" priority="205">
      <formula>AND($M231="Pendente",LEFT($D231,10)&lt;&gt;"Finalizado")</formula>
    </cfRule>
  </conditionalFormatting>
  <conditionalFormatting sqref="A232:N232">
    <cfRule type="expression" dxfId="3" priority="206">
      <formula>OR($M232="Finalizado",$M232="Validado",LEFT($D232,10)="Finalizado")</formula>
    </cfRule>
  </conditionalFormatting>
  <conditionalFormatting sqref="A232:N232">
    <cfRule type="expression" dxfId="4" priority="207">
      <formula>AND($M232="Pendente",LEFT($D232,10)&lt;&gt;"Finalizado")</formula>
    </cfRule>
  </conditionalFormatting>
  <conditionalFormatting sqref="A233:N233">
    <cfRule type="expression" dxfId="3" priority="208">
      <formula>OR($M233="Finalizado",$M233="Validado",LEFT($D233,10)="Finalizado")</formula>
    </cfRule>
  </conditionalFormatting>
  <conditionalFormatting sqref="A233:N233">
    <cfRule type="expression" dxfId="4" priority="209">
      <formula>AND($M233="Pendente",LEFT($D233,10)&lt;&gt;"Finalizado")</formula>
    </cfRule>
  </conditionalFormatting>
  <conditionalFormatting sqref="A234:N234">
    <cfRule type="expression" dxfId="3" priority="210">
      <formula>OR($M234="Finalizado",$M234="Validado",LEFT($D234,10)="Finalizado")</formula>
    </cfRule>
  </conditionalFormatting>
  <conditionalFormatting sqref="A234:N234">
    <cfRule type="expression" dxfId="4" priority="211">
      <formula>AND($M234="Pendente",LEFT($D234,10)&lt;&gt;"Finalizado")</formula>
    </cfRule>
  </conditionalFormatting>
  <conditionalFormatting sqref="A235:N235">
    <cfRule type="expression" dxfId="3" priority="212">
      <formula>OR($M235="Finalizado",$M235="Validado",LEFT($D235,10)="Finalizado")</formula>
    </cfRule>
  </conditionalFormatting>
  <conditionalFormatting sqref="A235:N235">
    <cfRule type="expression" dxfId="4" priority="213">
      <formula>AND($M235="Pendente",LEFT($D235,10)&lt;&gt;"Finalizado")</formula>
    </cfRule>
  </conditionalFormatting>
  <conditionalFormatting sqref="A236:N236">
    <cfRule type="expression" dxfId="3" priority="214">
      <formula>OR($M236="Finalizado",$M236="Validado",LEFT($D236,10)="Finalizado")</formula>
    </cfRule>
  </conditionalFormatting>
  <conditionalFormatting sqref="A236:N236">
    <cfRule type="expression" dxfId="4" priority="215">
      <formula>AND($M236="Pendente",LEFT($D236,10)&lt;&gt;"Finalizado")</formula>
    </cfRule>
  </conditionalFormatting>
  <conditionalFormatting sqref="A237:N237">
    <cfRule type="expression" dxfId="3" priority="216">
      <formula>OR($M237="Finalizado",$M237="Validado",LEFT($D237,10)="Finalizado")</formula>
    </cfRule>
  </conditionalFormatting>
  <conditionalFormatting sqref="A237:N237">
    <cfRule type="expression" dxfId="4" priority="217">
      <formula>AND($M237="Pendente",LEFT($D237,10)&lt;&gt;"Finalizado")</formula>
    </cfRule>
  </conditionalFormatting>
  <conditionalFormatting sqref="A238:N238">
    <cfRule type="expression" dxfId="3" priority="218">
      <formula>OR($M238="Finalizado",$M238="Validado",LEFT($D238,10)="Finalizado")</formula>
    </cfRule>
  </conditionalFormatting>
  <conditionalFormatting sqref="A238:N238">
    <cfRule type="expression" dxfId="4" priority="219">
      <formula>AND($M238="Pendente",LEFT($D238,10)&lt;&gt;"Finalizado")</formula>
    </cfRule>
  </conditionalFormatting>
  <conditionalFormatting sqref="A239:N239">
    <cfRule type="expression" dxfId="3" priority="220">
      <formula>OR($M239="Finalizado",$M239="Validado",LEFT($D239,10)="Finalizado")</formula>
    </cfRule>
  </conditionalFormatting>
  <conditionalFormatting sqref="A239:N239">
    <cfRule type="expression" dxfId="4" priority="221">
      <formula>AND($M239="Pendente",LEFT($D239,10)&lt;&gt;"Finalizado")</formula>
    </cfRule>
  </conditionalFormatting>
  <conditionalFormatting sqref="A240:N240">
    <cfRule type="expression" dxfId="3" priority="222">
      <formula>OR($M240="Finalizado",$M240="Validado",LEFT($D240,10)="Finalizado")</formula>
    </cfRule>
  </conditionalFormatting>
  <conditionalFormatting sqref="A240:N240">
    <cfRule type="expression" dxfId="4" priority="223">
      <formula>AND($M240="Pendente",LEFT($D240,10)&lt;&gt;"Finalizado")</formula>
    </cfRule>
  </conditionalFormatting>
  <conditionalFormatting sqref="A241:N241">
    <cfRule type="expression" dxfId="3" priority="224">
      <formula>OR($M241="Finalizado",$M241="Validado",LEFT($D241,10)="Finalizado")</formula>
    </cfRule>
  </conditionalFormatting>
  <conditionalFormatting sqref="A241:N241">
    <cfRule type="expression" dxfId="4" priority="225">
      <formula>AND($M241="Pendente",LEFT($D241,10)&lt;&gt;"Finalizado")</formula>
    </cfRule>
  </conditionalFormatting>
  <conditionalFormatting sqref="A242:N242">
    <cfRule type="expression" dxfId="3" priority="226">
      <formula>OR($M242="Finalizado",$M242="Validado",LEFT($D242,10)="Finalizado")</formula>
    </cfRule>
  </conditionalFormatting>
  <conditionalFormatting sqref="A242:N242">
    <cfRule type="expression" dxfId="4" priority="227">
      <formula>AND($M242="Pendente",LEFT($D242,10)&lt;&gt;"Finalizado")</formula>
    </cfRule>
  </conditionalFormatting>
  <conditionalFormatting sqref="A243:N243">
    <cfRule type="expression" dxfId="3" priority="228">
      <formula>OR($M243="Finalizado",$M243="Validado",LEFT($D243,10)="Finalizado")</formula>
    </cfRule>
  </conditionalFormatting>
  <conditionalFormatting sqref="A243:N243">
    <cfRule type="expression" dxfId="4" priority="229">
      <formula>AND($M243="Pendente",LEFT($D243,10)&lt;&gt;"Finalizado")</formula>
    </cfRule>
  </conditionalFormatting>
  <conditionalFormatting sqref="A244:N244">
    <cfRule type="expression" dxfId="3" priority="230">
      <formula>OR($M244="Finalizado",$M244="Validado",LEFT($D244,10)="Finalizado")</formula>
    </cfRule>
  </conditionalFormatting>
  <conditionalFormatting sqref="A244:N244">
    <cfRule type="expression" dxfId="4" priority="231">
      <formula>AND($M244="Pendente",LEFT($D244,10)&lt;&gt;"Finalizado")</formula>
    </cfRule>
  </conditionalFormatting>
  <conditionalFormatting sqref="A245:N245">
    <cfRule type="expression" dxfId="3" priority="232">
      <formula>OR($M245="Finalizado",$M245="Validado",LEFT($D245,10)="Finalizado")</formula>
    </cfRule>
  </conditionalFormatting>
  <conditionalFormatting sqref="A245:N245">
    <cfRule type="expression" dxfId="4" priority="233">
      <formula>AND($M245="Pendente",LEFT($D245,10)&lt;&gt;"Finalizado")</formula>
    </cfRule>
  </conditionalFormatting>
  <conditionalFormatting sqref="A246:N246">
    <cfRule type="expression" dxfId="3" priority="234">
      <formula>OR($M246="Finalizado",$M246="Validado",LEFT($D246,10)="Finalizado")</formula>
    </cfRule>
  </conditionalFormatting>
  <conditionalFormatting sqref="A246:N246">
    <cfRule type="expression" dxfId="4" priority="235">
      <formula>AND($M246="Pendente",LEFT($D246,10)&lt;&gt;"Finalizado")</formula>
    </cfRule>
  </conditionalFormatting>
  <conditionalFormatting sqref="A247:N247">
    <cfRule type="expression" dxfId="3" priority="236">
      <formula>OR($M247="Finalizado",$M247="Validado",LEFT($D247,10)="Finalizado")</formula>
    </cfRule>
  </conditionalFormatting>
  <conditionalFormatting sqref="A247:N247">
    <cfRule type="expression" dxfId="4" priority="237">
      <formula>AND($M247="Pendente",LEFT($D247,10)&lt;&gt;"Finalizado")</formula>
    </cfRule>
  </conditionalFormatting>
  <conditionalFormatting sqref="A248:N248">
    <cfRule type="expression" dxfId="3" priority="238">
      <formula>OR($M248="Finalizado",$M248="Validado",LEFT($D248,10)="Finalizado")</formula>
    </cfRule>
  </conditionalFormatting>
  <conditionalFormatting sqref="A248:N248">
    <cfRule type="expression" dxfId="4" priority="239">
      <formula>AND($M248="Pendente",LEFT($D248,10)&lt;&gt;"Finalizado")</formula>
    </cfRule>
  </conditionalFormatting>
  <conditionalFormatting sqref="A249:N249">
    <cfRule type="expression" dxfId="3" priority="240">
      <formula>OR($M249="Finalizado",$M249="Validado",LEFT($D249,10)="Finalizado")</formula>
    </cfRule>
  </conditionalFormatting>
  <conditionalFormatting sqref="A249:N249">
    <cfRule type="expression" dxfId="4" priority="241">
      <formula>AND($M249="Pendente",LEFT($D249,10)&lt;&gt;"Finalizado")</formula>
    </cfRule>
  </conditionalFormatting>
  <conditionalFormatting sqref="A250:N250">
    <cfRule type="expression" dxfId="3" priority="242">
      <formula>OR($M250="Finalizado",$M250="Validado",LEFT($D250,10)="Finalizado")</formula>
    </cfRule>
  </conditionalFormatting>
  <conditionalFormatting sqref="A250:N250">
    <cfRule type="expression" dxfId="4" priority="243">
      <formula>AND($M250="Pendente",LEFT($D250,10)&lt;&gt;"Finalizado")</formula>
    </cfRule>
  </conditionalFormatting>
  <conditionalFormatting sqref="A251:N251">
    <cfRule type="expression" dxfId="3" priority="244">
      <formula>OR($M251="Finalizado",$M251="Validado",LEFT($D251,10)="Finalizado")</formula>
    </cfRule>
  </conditionalFormatting>
  <conditionalFormatting sqref="A251:N251">
    <cfRule type="expression" dxfId="4" priority="245">
      <formula>AND($M251="Pendente",LEFT($D251,10)&lt;&gt;"Finalizado")</formula>
    </cfRule>
  </conditionalFormatting>
  <conditionalFormatting sqref="A252:N252">
    <cfRule type="expression" dxfId="3" priority="246">
      <formula>OR($M252="Finalizado",$M252="Validado",LEFT($D252,10)="Finalizado")</formula>
    </cfRule>
  </conditionalFormatting>
  <conditionalFormatting sqref="A252:N252">
    <cfRule type="expression" dxfId="4" priority="247">
      <formula>AND($M252="Pendente",LEFT($D252,10)&lt;&gt;"Finalizado")</formula>
    </cfRule>
  </conditionalFormatting>
  <conditionalFormatting sqref="A253:N253">
    <cfRule type="expression" dxfId="3" priority="248">
      <formula>OR($M253="Finalizado",$M253="Validado",LEFT($D253,10)="Finalizado")</formula>
    </cfRule>
  </conditionalFormatting>
  <conditionalFormatting sqref="A253:N253">
    <cfRule type="expression" dxfId="4" priority="249">
      <formula>AND($M253="Pendente",LEFT($D253,10)&lt;&gt;"Finalizado")</formula>
    </cfRule>
  </conditionalFormatting>
  <conditionalFormatting sqref="A254:N254">
    <cfRule type="expression" dxfId="3" priority="250">
      <formula>OR($M254="Finalizado",$M254="Validado",LEFT($D254,10)="Finalizado")</formula>
    </cfRule>
  </conditionalFormatting>
  <conditionalFormatting sqref="A254:N254">
    <cfRule type="expression" dxfId="4" priority="251">
      <formula>AND($M254="Pendente",LEFT($D254,10)&lt;&gt;"Finalizado")</formula>
    </cfRule>
  </conditionalFormatting>
  <conditionalFormatting sqref="A255:N255">
    <cfRule type="expression" dxfId="3" priority="252">
      <formula>OR($M255="Finalizado",$M255="Validado",LEFT($D255,10)="Finalizado")</formula>
    </cfRule>
  </conditionalFormatting>
  <conditionalFormatting sqref="A255:N255">
    <cfRule type="expression" dxfId="4" priority="253">
      <formula>AND($M255="Pendente",LEFT($D255,10)&lt;&gt;"Finalizado")</formula>
    </cfRule>
  </conditionalFormatting>
  <conditionalFormatting sqref="A256:N256">
    <cfRule type="expression" dxfId="3" priority="254">
      <formula>OR($M256="Finalizado",$M256="Validado",LEFT($D256,10)="Finalizado")</formula>
    </cfRule>
  </conditionalFormatting>
  <conditionalFormatting sqref="A256:N256">
    <cfRule type="expression" dxfId="4" priority="255">
      <formula>AND($M256="Pendente",LEFT($D256,10)&lt;&gt;"Finalizado")</formula>
    </cfRule>
  </conditionalFormatting>
  <conditionalFormatting sqref="A257:N257">
    <cfRule type="expression" dxfId="3" priority="256">
      <formula>OR($M257="Finalizado",$M257="Validado",LEFT($D257,10)="Finalizado")</formula>
    </cfRule>
  </conditionalFormatting>
  <conditionalFormatting sqref="A257:N257">
    <cfRule type="expression" dxfId="4" priority="257">
      <formula>AND($M257="Pendente",LEFT($D257,10)&lt;&gt;"Finalizado")</formula>
    </cfRule>
  </conditionalFormatting>
  <conditionalFormatting sqref="A258:N258">
    <cfRule type="expression" dxfId="3" priority="258">
      <formula>OR($M258="Finalizado",$M258="Validado",LEFT($D258,10)="Finalizado")</formula>
    </cfRule>
  </conditionalFormatting>
  <conditionalFormatting sqref="A258:N258">
    <cfRule type="expression" dxfId="4" priority="259">
      <formula>AND($M258="Pendente",LEFT($D258,10)&lt;&gt;"Finalizado")</formula>
    </cfRule>
  </conditionalFormatting>
  <conditionalFormatting sqref="A259:N259">
    <cfRule type="expression" dxfId="3" priority="260">
      <formula>OR($M259="Finalizado",$M259="Validado",LEFT($D259,10)="Finalizado")</formula>
    </cfRule>
  </conditionalFormatting>
  <conditionalFormatting sqref="A259:N259">
    <cfRule type="expression" dxfId="4" priority="261">
      <formula>AND($M259="Pendente",LEFT($D259,10)&lt;&gt;"Finalizado")</formula>
    </cfRule>
  </conditionalFormatting>
  <conditionalFormatting sqref="A264:N264">
    <cfRule type="expression" dxfId="3" priority="262">
      <formula>OR($M264="Validado",$M264="Finalizado",LEFT($D264,10)="Finalizado")</formula>
    </cfRule>
  </conditionalFormatting>
  <conditionalFormatting sqref="A264:N264">
    <cfRule type="expression" dxfId="4" priority="263">
      <formula>AND($M264="Pendente",LEFT($D264,10)&lt;&gt;"Finalizado")</formula>
    </cfRule>
  </conditionalFormatting>
  <conditionalFormatting sqref="A265:N265">
    <cfRule type="expression" dxfId="3" priority="264">
      <formula>OR($M265="Validado",$M265="Finalizado",LEFT($D265,10)="Finalizado")</formula>
    </cfRule>
  </conditionalFormatting>
  <conditionalFormatting sqref="A265:N265">
    <cfRule type="expression" dxfId="4" priority="265">
      <formula>AND($M265="Pendente",LEFT($D265,10)&lt;&gt;"Finalizado")</formula>
    </cfRule>
  </conditionalFormatting>
  <conditionalFormatting sqref="A266:N266">
    <cfRule type="expression" dxfId="3" priority="266">
      <formula>OR($M266="Validado",$M266="Finalizado",LEFT($D266,10)="Finalizado")</formula>
    </cfRule>
  </conditionalFormatting>
  <conditionalFormatting sqref="A266:N266">
    <cfRule type="expression" dxfId="4" priority="267">
      <formula>AND($M266="Pendente",LEFT($D266,10)&lt;&gt;"Finalizado")</formula>
    </cfRule>
  </conditionalFormatting>
  <conditionalFormatting sqref="A267:N267">
    <cfRule type="expression" dxfId="3" priority="268">
      <formula>OR($M267="Validado",$M267="Finalizado",LEFT($D267,10)="Finalizado")</formula>
    </cfRule>
  </conditionalFormatting>
  <conditionalFormatting sqref="A267:N267">
    <cfRule type="expression" dxfId="4" priority="269">
      <formula>AND($M267="Pendente",LEFT($D267,10)&lt;&gt;"Finalizado")</formula>
    </cfRule>
  </conditionalFormatting>
  <conditionalFormatting sqref="A268:N268">
    <cfRule type="expression" dxfId="3" priority="270">
      <formula>OR($M268="Validado",$M268="Finalizado",LEFT($D268,10)="Finalizado")</formula>
    </cfRule>
  </conditionalFormatting>
  <conditionalFormatting sqref="A268:N268">
    <cfRule type="expression" dxfId="4" priority="271">
      <formula>AND($M268="Pendente",LEFT($D268,10)&lt;&gt;"Finalizado")</formula>
    </cfRule>
  </conditionalFormatting>
  <conditionalFormatting sqref="A269:N269">
    <cfRule type="expression" dxfId="3" priority="272">
      <formula>OR($M269="Validado",$M269="Finalizado",LEFT($D269,10)="Finalizado")</formula>
    </cfRule>
  </conditionalFormatting>
  <conditionalFormatting sqref="A269:N269">
    <cfRule type="expression" dxfId="4" priority="273">
      <formula>AND($M269="Pendente",LEFT($D269,10)&lt;&gt;"Finalizado")</formula>
    </cfRule>
  </conditionalFormatting>
  <conditionalFormatting sqref="A270:N270">
    <cfRule type="expression" dxfId="3" priority="274">
      <formula>OR($M270="Validado",$M270="Finalizado",LEFT($D270,10)="Finalizado")</formula>
    </cfRule>
  </conditionalFormatting>
  <conditionalFormatting sqref="A270:N270">
    <cfRule type="expression" dxfId="4" priority="275">
      <formula>AND($M270="Pendente",LEFT($D270,10)&lt;&gt;"Finalizado")</formula>
    </cfRule>
  </conditionalFormatting>
  <conditionalFormatting sqref="A271:N271">
    <cfRule type="expression" dxfId="3" priority="276">
      <formula>OR($M271="Validado",$M271="Finalizado",LEFT($D271,10)="Finalizado")</formula>
    </cfRule>
  </conditionalFormatting>
  <conditionalFormatting sqref="A271:N271">
    <cfRule type="expression" dxfId="4" priority="277">
      <formula>AND($M271="Pendente",LEFT($D271,10)&lt;&gt;"Finalizado")</formula>
    </cfRule>
  </conditionalFormatting>
  <conditionalFormatting sqref="A272:N272">
    <cfRule type="expression" dxfId="3" priority="278">
      <formula>OR($M272="Validado",$M272="Finalizado",LEFT($D272,10)="Finalizado")</formula>
    </cfRule>
  </conditionalFormatting>
  <conditionalFormatting sqref="A272:N272">
    <cfRule type="expression" dxfId="4" priority="279">
      <formula>AND($M272="Pendente",LEFT($D272,10)&lt;&gt;"Finalizado")</formula>
    </cfRule>
  </conditionalFormatting>
  <conditionalFormatting sqref="A273:N273">
    <cfRule type="expression" dxfId="3" priority="280">
      <formula>OR($M273="Validado",$M273="Finalizado",LEFT($D273,10)="Finalizado")</formula>
    </cfRule>
  </conditionalFormatting>
  <conditionalFormatting sqref="A273:N273">
    <cfRule type="expression" dxfId="4" priority="281">
      <formula>AND($M273="Pendente",LEFT($D273,10)&lt;&gt;"Finalizado")</formula>
    </cfRule>
  </conditionalFormatting>
  <conditionalFormatting sqref="A274:N274">
    <cfRule type="expression" dxfId="3" priority="282">
      <formula>OR($M274="Validado",$M274="Finalizado",LEFT($D274,10)="Finalizado")</formula>
    </cfRule>
  </conditionalFormatting>
  <conditionalFormatting sqref="A274:N274">
    <cfRule type="expression" dxfId="4" priority="283">
      <formula>AND($M274="Pendente",LEFT($D274,10)&lt;&gt;"Finalizado")</formula>
    </cfRule>
  </conditionalFormatting>
  <conditionalFormatting sqref="A275:N275">
    <cfRule type="expression" dxfId="3" priority="284">
      <formula>OR($M275="Validado",$M275="Finalizado",LEFT($D275,10)="Finalizado")</formula>
    </cfRule>
  </conditionalFormatting>
  <conditionalFormatting sqref="A275:N275">
    <cfRule type="expression" dxfId="4" priority="285">
      <formula>AND($M275="Pendente",LEFT($D275,10)&lt;&gt;"Finalizado")</formula>
    </cfRule>
  </conditionalFormatting>
  <conditionalFormatting sqref="A276:N276">
    <cfRule type="expression" dxfId="3" priority="286">
      <formula>OR($M276="Validado",$M276="Finalizado",LEFT($D276,10)="Finalizado")</formula>
    </cfRule>
  </conditionalFormatting>
  <conditionalFormatting sqref="A276:N276">
    <cfRule type="expression" dxfId="4" priority="287">
      <formula>AND($M276="Pendente",LEFT($D276,10)&lt;&gt;"Finalizado")</formula>
    </cfRule>
  </conditionalFormatting>
  <conditionalFormatting sqref="A277:N277">
    <cfRule type="expression" dxfId="3" priority="288">
      <formula>OR($M277="Validado",$M277="Finalizado",LEFT($D277,10)="Finalizado")</formula>
    </cfRule>
  </conditionalFormatting>
  <conditionalFormatting sqref="A277:N277">
    <cfRule type="expression" dxfId="4" priority="289">
      <formula>AND($M277="Pendente",LEFT($D277,10)&lt;&gt;"Finalizado")</formula>
    </cfRule>
  </conditionalFormatting>
  <conditionalFormatting sqref="A278:N278">
    <cfRule type="expression" dxfId="3" priority="290">
      <formula>OR($M278="Validado",$M278="Finalizado",LEFT($D278,10)="Finalizado")</formula>
    </cfRule>
  </conditionalFormatting>
  <conditionalFormatting sqref="A278:N278">
    <cfRule type="expression" dxfId="4" priority="291">
      <formula>AND($M278="Pendente",LEFT($D278,10)&lt;&gt;"Finalizado")</formula>
    </cfRule>
  </conditionalFormatting>
  <conditionalFormatting sqref="A279:N279">
    <cfRule type="expression" dxfId="3" priority="292">
      <formula>OR($M279="Validado",$M279="Finalizado",LEFT($D279,10)="Finalizado")</formula>
    </cfRule>
  </conditionalFormatting>
  <conditionalFormatting sqref="A279:N279">
    <cfRule type="expression" dxfId="4" priority="293">
      <formula>AND($M279="Pendente",LEFT($D279,10)&lt;&gt;"Finalizado")</formula>
    </cfRule>
  </conditionalFormatting>
  <conditionalFormatting sqref="A280:N280">
    <cfRule type="expression" dxfId="3" priority="294">
      <formula>OR($M280="Validado",$M280="Finalizado",LEFT($D280,10)="Finalizado")</formula>
    </cfRule>
  </conditionalFormatting>
  <conditionalFormatting sqref="A280:N280">
    <cfRule type="expression" dxfId="4" priority="295">
      <formula>AND($M280="Pendente",LEFT($D280,10)&lt;&gt;"Finalizado")</formula>
    </cfRule>
  </conditionalFormatting>
  <conditionalFormatting sqref="A281:N281">
    <cfRule type="expression" dxfId="3" priority="296">
      <formula>OR($M281="Validado",$M281="Finalizado",LEFT($D281,10)="Finalizado")</formula>
    </cfRule>
  </conditionalFormatting>
  <conditionalFormatting sqref="A281:N281">
    <cfRule type="expression" dxfId="4" priority="297">
      <formula>AND($M281="Pendente",LEFT($D281,10)&lt;&gt;"Finalizado")</formula>
    </cfRule>
  </conditionalFormatting>
  <conditionalFormatting sqref="A282:N282">
    <cfRule type="expression" dxfId="3" priority="298">
      <formula>OR($M282="Validado",$M282="Finalizado",LEFT($D282,10)="Finalizado")</formula>
    </cfRule>
  </conditionalFormatting>
  <conditionalFormatting sqref="A282:N282">
    <cfRule type="expression" dxfId="4" priority="299">
      <formula>AND($M282="Pendente",LEFT($D282,10)&lt;&gt;"Finalizado")</formula>
    </cfRule>
  </conditionalFormatting>
  <conditionalFormatting sqref="A283:N283">
    <cfRule type="expression" dxfId="3" priority="300">
      <formula>OR($M283="Validado",$M283="Finalizado",LEFT($D283,10)="Finalizado")</formula>
    </cfRule>
  </conditionalFormatting>
  <conditionalFormatting sqref="A283:N283">
    <cfRule type="expression" dxfId="4" priority="301">
      <formula>AND($M283="Pendente",LEFT($D283,10)&lt;&gt;"Finalizado")</formula>
    </cfRule>
  </conditionalFormatting>
  <conditionalFormatting sqref="A284:N284">
    <cfRule type="expression" dxfId="3" priority="302">
      <formula>OR($M284="Validado",$M284="Finalizado",LEFT($D284,10)="Finalizado")</formula>
    </cfRule>
  </conditionalFormatting>
  <conditionalFormatting sqref="A284:N284">
    <cfRule type="expression" dxfId="4" priority="303">
      <formula>AND($M284="Pendente",LEFT($D284,10)&lt;&gt;"Finalizado")</formula>
    </cfRule>
  </conditionalFormatting>
  <conditionalFormatting sqref="A285:N285">
    <cfRule type="expression" dxfId="3" priority="304">
      <formula>OR($M285="Validado",$M285="Finalizado",LEFT($D285,10)="Finalizado")</formula>
    </cfRule>
  </conditionalFormatting>
  <conditionalFormatting sqref="A285:N285">
    <cfRule type="expression" dxfId="4" priority="305">
      <formula>AND($M285="Pendente",LEFT($D285,10)&lt;&gt;"Finalizado")</formula>
    </cfRule>
  </conditionalFormatting>
  <conditionalFormatting sqref="A286:N286">
    <cfRule type="expression" dxfId="3" priority="306">
      <formula>OR($M286="Validado",$M286="Finalizado",LEFT($D286,10)="Finalizado")</formula>
    </cfRule>
  </conditionalFormatting>
  <conditionalFormatting sqref="A286:N286">
    <cfRule type="expression" dxfId="4" priority="307">
      <formula>AND($M286="Pendente",LEFT($D286,10)&lt;&gt;"Finalizado")</formula>
    </cfRule>
  </conditionalFormatting>
  <conditionalFormatting sqref="A287:N287">
    <cfRule type="expression" dxfId="3" priority="308">
      <formula>OR($M287="Validado",$M287="Finalizado",LEFT($D287,10)="Finalizado")</formula>
    </cfRule>
  </conditionalFormatting>
  <conditionalFormatting sqref="A287:N287">
    <cfRule type="expression" dxfId="4" priority="309">
      <formula>AND($M287="Pendente",LEFT($D287,10)&lt;&gt;"Finalizado")</formula>
    </cfRule>
  </conditionalFormatting>
  <conditionalFormatting sqref="A288:N288">
    <cfRule type="expression" dxfId="3" priority="310">
      <formula>OR($M288="Validado",$M288="Finalizado",LEFT($D288,10)="Finalizado")</formula>
    </cfRule>
  </conditionalFormatting>
  <conditionalFormatting sqref="A288:N288">
    <cfRule type="expression" dxfId="4" priority="311">
      <formula>AND($M288="Pendente",LEFT($D288,10)&lt;&gt;"Finalizado")</formula>
    </cfRule>
  </conditionalFormatting>
  <conditionalFormatting sqref="A289:N289">
    <cfRule type="expression" dxfId="3" priority="312">
      <formula>OR($M289="Validado",$M289="Finalizado",LEFT($D289,10)="Finalizado")</formula>
    </cfRule>
  </conditionalFormatting>
  <conditionalFormatting sqref="A289:N289">
    <cfRule type="expression" dxfId="4" priority="313">
      <formula>AND($M289="Pendente",LEFT($D289,10)&lt;&gt;"Finalizado")</formula>
    </cfRule>
  </conditionalFormatting>
  <conditionalFormatting sqref="A290:N290">
    <cfRule type="expression" dxfId="3" priority="314">
      <formula>OR($M290="Validado",$M290="Finalizado",LEFT($D290,10)="Finalizado")</formula>
    </cfRule>
  </conditionalFormatting>
  <conditionalFormatting sqref="A290:N290">
    <cfRule type="expression" dxfId="4" priority="315">
      <formula>AND($M290="Pendente",LEFT($D290,10)&lt;&gt;"Finalizado")</formula>
    </cfRule>
  </conditionalFormatting>
  <conditionalFormatting sqref="A291:N291">
    <cfRule type="expression" dxfId="3" priority="316">
      <formula>OR($M291="Validado",$M291="Finalizado",LEFT($D291,10)="Finalizado")</formula>
    </cfRule>
  </conditionalFormatting>
  <conditionalFormatting sqref="A291:N291">
    <cfRule type="expression" dxfId="4" priority="317">
      <formula>AND($M291="Pendente",LEFT($D291,10)&lt;&gt;"Finalizado")</formula>
    </cfRule>
  </conditionalFormatting>
  <conditionalFormatting sqref="A292:N292">
    <cfRule type="expression" dxfId="3" priority="318">
      <formula>OR($M292="Validado",$M292="Finalizado",LEFT($D292,10)="Finalizado")</formula>
    </cfRule>
  </conditionalFormatting>
  <conditionalFormatting sqref="A292:N292">
    <cfRule type="expression" dxfId="4" priority="319">
      <formula>AND($M292="Pendente",LEFT($D292,10)&lt;&gt;"Finalizado")</formula>
    </cfRule>
  </conditionalFormatting>
  <conditionalFormatting sqref="A293:N293">
    <cfRule type="expression" dxfId="3" priority="320">
      <formula>OR($M293="Validado",$M293="Finalizado",LEFT($D293,10)="Finalizado")</formula>
    </cfRule>
  </conditionalFormatting>
  <conditionalFormatting sqref="A293:N293">
    <cfRule type="expression" dxfId="4" priority="321">
      <formula>AND($M293="Pendente",LEFT($D293,10)&lt;&gt;"Finalizado")</formula>
    </cfRule>
  </conditionalFormatting>
  <conditionalFormatting sqref="A294:N294">
    <cfRule type="expression" dxfId="3" priority="322">
      <formula>OR($M294="Validado",$M294="Finalizado",LEFT($D294,10)="Finalizado")</formula>
    </cfRule>
  </conditionalFormatting>
  <conditionalFormatting sqref="A294:N294">
    <cfRule type="expression" dxfId="4" priority="323">
      <formula>AND($M294="Pendente",LEFT($D294,10)&lt;&gt;"Finalizado")</formula>
    </cfRule>
  </conditionalFormatting>
  <conditionalFormatting sqref="A295:N295">
    <cfRule type="expression" dxfId="3" priority="324">
      <formula>OR($M295="Validado",$M295="Finalizado",LEFT($D295,10)="Finalizado")</formula>
    </cfRule>
  </conditionalFormatting>
  <conditionalFormatting sqref="A295:N295">
    <cfRule type="expression" dxfId="4" priority="325">
      <formula>AND($M295="Pendente",LEFT($D295,10)&lt;&gt;"Finalizado")</formula>
    </cfRule>
  </conditionalFormatting>
  <conditionalFormatting sqref="A296:N296">
    <cfRule type="expression" dxfId="3" priority="326">
      <formula>OR($M296="Validado",$M296="Finalizado",LEFT($D296,10)="Finalizado")</formula>
    </cfRule>
  </conditionalFormatting>
  <conditionalFormatting sqref="A296:N296">
    <cfRule type="expression" dxfId="4" priority="327">
      <formula>AND($M296="Pendente",LEFT($D296,10)&lt;&gt;"Finalizado")</formula>
    </cfRule>
  </conditionalFormatting>
  <conditionalFormatting sqref="A301:N301">
    <cfRule type="expression" dxfId="3" priority="328">
      <formula>OR($M301="Validado",$M301="Finalizado",LEFT($D301,10)="Finalizado")</formula>
    </cfRule>
  </conditionalFormatting>
  <conditionalFormatting sqref="A301:N301">
    <cfRule type="expression" dxfId="4" priority="329">
      <formula>AND($M301="Pendente",LEFT($D301,10)&lt;&gt;"Finalizado")</formula>
    </cfRule>
  </conditionalFormatting>
  <conditionalFormatting sqref="A302:N302">
    <cfRule type="expression" dxfId="3" priority="330">
      <formula>OR($M302="Validado",$M302="Finalizado",LEFT($D302,10)="Finalizado")</formula>
    </cfRule>
  </conditionalFormatting>
  <conditionalFormatting sqref="A302:N302">
    <cfRule type="expression" dxfId="4" priority="331">
      <formula>AND($M302="Pendente",LEFT($D302,10)&lt;&gt;"Finalizado")</formula>
    </cfRule>
  </conditionalFormatting>
  <conditionalFormatting sqref="A303:N303">
    <cfRule type="expression" dxfId="3" priority="332">
      <formula>OR($M303="Validado",$M303="Finalizado",LEFT($D303,10)="Finalizado")</formula>
    </cfRule>
  </conditionalFormatting>
  <conditionalFormatting sqref="A303:N303">
    <cfRule type="expression" dxfId="4" priority="333">
      <formula>AND($M303="Pendente",LEFT($D303,10)&lt;&gt;"Finalizado")</formula>
    </cfRule>
  </conditionalFormatting>
  <conditionalFormatting sqref="A304:N304">
    <cfRule type="expression" dxfId="3" priority="334">
      <formula>OR($M304="Validado",$M304="Finalizado",LEFT($D304,10)="Finalizado")</formula>
    </cfRule>
  </conditionalFormatting>
  <conditionalFormatting sqref="A304:N304">
    <cfRule type="expression" dxfId="4" priority="335">
      <formula>AND($M304="Pendente",LEFT($D304,10)&lt;&gt;"Finalizado")</formula>
    </cfRule>
  </conditionalFormatting>
  <conditionalFormatting sqref="A305:N305">
    <cfRule type="expression" dxfId="3" priority="336">
      <formula>OR($M305="Validado",$M305="Finalizado",LEFT($D305,10)="Finalizado")</formula>
    </cfRule>
  </conditionalFormatting>
  <conditionalFormatting sqref="A305:N305">
    <cfRule type="expression" dxfId="4" priority="337">
      <formula>AND($M305="Pendente",LEFT($D305,10)&lt;&gt;"Finalizado")</formula>
    </cfRule>
  </conditionalFormatting>
  <conditionalFormatting sqref="A306:N306">
    <cfRule type="expression" dxfId="3" priority="338">
      <formula>OR($M306="Validado",$M306="Finalizado",LEFT($D306,10)="Finalizado")</formula>
    </cfRule>
  </conditionalFormatting>
  <conditionalFormatting sqref="A306:N306">
    <cfRule type="expression" dxfId="4" priority="339">
      <formula>AND($M306="Pendente",LEFT($D306,10)&lt;&gt;"Finalizado")</formula>
    </cfRule>
  </conditionalFormatting>
  <conditionalFormatting sqref="A307:N307">
    <cfRule type="expression" dxfId="3" priority="340">
      <formula>OR($M307="Validado",$M307="Finalizado",LEFT($D307,10)="Finalizado")</formula>
    </cfRule>
  </conditionalFormatting>
  <conditionalFormatting sqref="A307:N307">
    <cfRule type="expression" dxfId="4" priority="341">
      <formula>AND($M307="Pendente",LEFT($D307,10)&lt;&gt;"Finalizado")</formula>
    </cfRule>
  </conditionalFormatting>
  <conditionalFormatting sqref="A308:N308">
    <cfRule type="expression" dxfId="3" priority="342">
      <formula>OR($M308="Validado",$M308="Finalizado",LEFT($D308,10)="Finalizado")</formula>
    </cfRule>
  </conditionalFormatting>
  <conditionalFormatting sqref="A308:N308">
    <cfRule type="expression" dxfId="4" priority="343">
      <formula>AND($M308="Pendente",LEFT($D308,10)&lt;&gt;"Finalizado")</formula>
    </cfRule>
  </conditionalFormatting>
  <conditionalFormatting sqref="A309:N309">
    <cfRule type="expression" dxfId="3" priority="344">
      <formula>OR($M309="Validado",$M309="Finalizado",LEFT($D309,10)="Finalizado")</formula>
    </cfRule>
  </conditionalFormatting>
  <conditionalFormatting sqref="A309:N309">
    <cfRule type="expression" dxfId="4" priority="345">
      <formula>AND($M309="Pendente",LEFT($D309,10)&lt;&gt;"Finalizado")</formula>
    </cfRule>
  </conditionalFormatting>
  <conditionalFormatting sqref="A310:N310">
    <cfRule type="expression" dxfId="3" priority="346">
      <formula>OR($M310="Validado",$M310="Finalizado",LEFT($D310,10)="Finalizado")</formula>
    </cfRule>
  </conditionalFormatting>
  <conditionalFormatting sqref="A310:N310">
    <cfRule type="expression" dxfId="4" priority="347">
      <formula>AND($M310="Pendente",LEFT($D310,10)&lt;&gt;"Finalizado")</formula>
    </cfRule>
  </conditionalFormatting>
  <conditionalFormatting sqref="A311:N311">
    <cfRule type="expression" dxfId="3" priority="348">
      <formula>OR($M311="Validado",$M311="Finalizado",LEFT($D311,10)="Finalizado")</formula>
    </cfRule>
  </conditionalFormatting>
  <conditionalFormatting sqref="A311:N311">
    <cfRule type="expression" dxfId="4" priority="349">
      <formula>AND($M311="Pendente",LEFT($D311,10)&lt;&gt;"Finalizado")</formula>
    </cfRule>
  </conditionalFormatting>
  <conditionalFormatting sqref="A312:N312">
    <cfRule type="expression" dxfId="3" priority="350">
      <formula>OR($M312="Validado",$M312="Finalizado",LEFT($D312,10)="Finalizado")</formula>
    </cfRule>
  </conditionalFormatting>
  <conditionalFormatting sqref="A312:N312">
    <cfRule type="expression" dxfId="4" priority="351">
      <formula>AND($M312="Pendente",LEFT($D312,10)&lt;&gt;"Finalizado")</formula>
    </cfRule>
  </conditionalFormatting>
  <conditionalFormatting sqref="A313:N313">
    <cfRule type="expression" dxfId="3" priority="352">
      <formula>OR($M313="Validado",$M313="Finalizado",LEFT($D313,10)="Finalizado")</formula>
    </cfRule>
  </conditionalFormatting>
  <conditionalFormatting sqref="A313:N313">
    <cfRule type="expression" dxfId="4" priority="353">
      <formula>AND($M313="Pendente",LEFT($D313,10)&lt;&gt;"Finalizado")</formula>
    </cfRule>
  </conditionalFormatting>
  <conditionalFormatting sqref="A314:N314">
    <cfRule type="expression" dxfId="3" priority="354">
      <formula>OR($M314="Validado",$M314="Finalizado",LEFT($D314,10)="Finalizado")</formula>
    </cfRule>
  </conditionalFormatting>
  <conditionalFormatting sqref="A314:N314">
    <cfRule type="expression" dxfId="4" priority="355">
      <formula>AND($M314="Pendente",LEFT($D314,10)&lt;&gt;"Finalizado")</formula>
    </cfRule>
  </conditionalFormatting>
  <conditionalFormatting sqref="A315:N315">
    <cfRule type="expression" dxfId="3" priority="356">
      <formula>OR($M315="Validado",$M315="Finalizado",LEFT($D315,10)="Finalizado")</formula>
    </cfRule>
  </conditionalFormatting>
  <conditionalFormatting sqref="A315:N315">
    <cfRule type="expression" dxfId="4" priority="357">
      <formula>AND($M315="Pendente",LEFT($D315,10)&lt;&gt;"Finalizado")</formula>
    </cfRule>
  </conditionalFormatting>
  <conditionalFormatting sqref="A316:N316">
    <cfRule type="expression" dxfId="3" priority="358">
      <formula>OR($M316="Validado",$M316="Finalizado",LEFT($D316,10)="Finalizado")</formula>
    </cfRule>
  </conditionalFormatting>
  <conditionalFormatting sqref="A316:N316">
    <cfRule type="expression" dxfId="4" priority="359">
      <formula>AND($M316="Pendente",LEFT($D316,10)&lt;&gt;"Finalizado")</formula>
    </cfRule>
  </conditionalFormatting>
  <conditionalFormatting sqref="A317:N317">
    <cfRule type="expression" dxfId="3" priority="360">
      <formula>OR($M317="Validado",$M317="Finalizado",LEFT($D317,10)="Finalizado")</formula>
    </cfRule>
  </conditionalFormatting>
  <conditionalFormatting sqref="A317:N317">
    <cfRule type="expression" dxfId="4" priority="361">
      <formula>AND($M317="Pendente",LEFT($D317,10)&lt;&gt;"Finalizado")</formula>
    </cfRule>
  </conditionalFormatting>
  <conditionalFormatting sqref="A318:N318">
    <cfRule type="expression" dxfId="3" priority="362">
      <formula>OR($M318="Validado",$M318="Finalizado",LEFT($D318,10)="Finalizado")</formula>
    </cfRule>
  </conditionalFormatting>
  <conditionalFormatting sqref="A318:N318">
    <cfRule type="expression" dxfId="4" priority="363">
      <formula>AND($M318="Pendente",LEFT($D318,10)&lt;&gt;"Finalizado")</formula>
    </cfRule>
  </conditionalFormatting>
  <conditionalFormatting sqref="A319:N319">
    <cfRule type="expression" dxfId="3" priority="364">
      <formula>OR($M319="Validado",$M319="Finalizado",LEFT($D319,10)="Finalizado")</formula>
    </cfRule>
  </conditionalFormatting>
  <conditionalFormatting sqref="A319:N319">
    <cfRule type="expression" dxfId="4" priority="365">
      <formula>AND($M319="Pendente",LEFT($D319,10)&lt;&gt;"Finalizado")</formula>
    </cfRule>
  </conditionalFormatting>
  <conditionalFormatting sqref="A320:N320">
    <cfRule type="expression" dxfId="3" priority="366">
      <formula>OR($M320="Validado",$M320="Finalizado",LEFT($D320,10)="Finalizado")</formula>
    </cfRule>
  </conditionalFormatting>
  <conditionalFormatting sqref="A320:N320">
    <cfRule type="expression" dxfId="4" priority="367">
      <formula>AND($M320="Pendente",LEFT($D320,10)&lt;&gt;"Finalizado")</formula>
    </cfRule>
  </conditionalFormatting>
  <conditionalFormatting sqref="A321:N321">
    <cfRule type="expression" dxfId="3" priority="368">
      <formula>OR($M321="Validado",$M321="Finalizado",LEFT($D321,10)="Finalizado")</formula>
    </cfRule>
  </conditionalFormatting>
  <conditionalFormatting sqref="A321:N321">
    <cfRule type="expression" dxfId="4" priority="369">
      <formula>AND($M321="Pendente",LEFT($D321,10)&lt;&gt;"Finalizado")</formula>
    </cfRule>
  </conditionalFormatting>
  <conditionalFormatting sqref="A322:N322">
    <cfRule type="expression" dxfId="3" priority="370">
      <formula>OR($M322="Validado",$M322="Finalizado",LEFT($D322,10)="Finalizado")</formula>
    </cfRule>
  </conditionalFormatting>
  <conditionalFormatting sqref="A322:N322">
    <cfRule type="expression" dxfId="4" priority="371">
      <formula>AND($M322="Pendente",LEFT($D322,10)&lt;&gt;"Finalizado")</formula>
    </cfRule>
  </conditionalFormatting>
  <conditionalFormatting sqref="A323:N323">
    <cfRule type="expression" dxfId="3" priority="372">
      <formula>OR($M323="Validado",$M323="Finalizado",LEFT($D323,10)="Finalizado")</formula>
    </cfRule>
  </conditionalFormatting>
  <conditionalFormatting sqref="A323:N323">
    <cfRule type="expression" dxfId="4" priority="373">
      <formula>AND($M323="Pendente",LEFT($D323,10)&lt;&gt;"Finalizado")</formula>
    </cfRule>
  </conditionalFormatting>
  <conditionalFormatting sqref="A324:N324">
    <cfRule type="expression" dxfId="3" priority="374">
      <formula>OR($M324="Validado",$M324="Finalizado",LEFT($D324,10)="Finalizado")</formula>
    </cfRule>
  </conditionalFormatting>
  <conditionalFormatting sqref="A324:N324">
    <cfRule type="expression" dxfId="4" priority="375">
      <formula>AND($M324="Pendente",LEFT($D324,10)&lt;&gt;"Finalizado")</formula>
    </cfRule>
  </conditionalFormatting>
  <conditionalFormatting sqref="A325:N325">
    <cfRule type="expression" dxfId="3" priority="376">
      <formula>OR($M325="Validado",$M325="Finalizado",LEFT($D325,10)="Finalizado")</formula>
    </cfRule>
  </conditionalFormatting>
  <conditionalFormatting sqref="A325:N325">
    <cfRule type="expression" dxfId="4" priority="377">
      <formula>AND($M325="Pendente",LEFT($D325,10)&lt;&gt;"Finalizado")</formula>
    </cfRule>
  </conditionalFormatting>
  <conditionalFormatting sqref="A326:N326">
    <cfRule type="expression" dxfId="3" priority="378">
      <formula>OR($M326="Validado",$M326="Finalizado",LEFT($D326,10)="Finalizado")</formula>
    </cfRule>
  </conditionalFormatting>
  <conditionalFormatting sqref="A326:N326">
    <cfRule type="expression" dxfId="4" priority="379">
      <formula>AND($M326="Pendente",LEFT($D326,10)&lt;&gt;"Finalizado")</formula>
    </cfRule>
  </conditionalFormatting>
  <conditionalFormatting sqref="A327:N327">
    <cfRule type="expression" dxfId="3" priority="380">
      <formula>OR($M327="Validado",$M327="Finalizado",LEFT($D327,10)="Finalizado")</formula>
    </cfRule>
  </conditionalFormatting>
  <conditionalFormatting sqref="A327:N327">
    <cfRule type="expression" dxfId="4" priority="381">
      <formula>AND($M327="Pendente",LEFT($D327,10)&lt;&gt;"Finalizado")</formula>
    </cfRule>
  </conditionalFormatting>
  <conditionalFormatting sqref="A328:N328">
    <cfRule type="expression" dxfId="3" priority="382">
      <formula>OR($M328="Validado",$M328="Finalizado",LEFT($D328,10)="Finalizado")</formula>
    </cfRule>
  </conditionalFormatting>
  <conditionalFormatting sqref="A328:N328">
    <cfRule type="expression" dxfId="4" priority="383">
      <formula>AND($M328="Pendente",LEFT($D328,10)&lt;&gt;"Finalizado")</formula>
    </cfRule>
  </conditionalFormatting>
  <conditionalFormatting sqref="A329:N329">
    <cfRule type="expression" dxfId="3" priority="384">
      <formula>OR($M329="Validado",$M329="Finalizado",LEFT($D329,10)="Finalizado")</formula>
    </cfRule>
  </conditionalFormatting>
  <conditionalFormatting sqref="A329:N329">
    <cfRule type="expression" dxfId="4" priority="385">
      <formula>AND($M329="Pendente",LEFT($D329,10)&lt;&gt;"Finalizado")</formula>
    </cfRule>
  </conditionalFormatting>
  <conditionalFormatting sqref="A330:N330">
    <cfRule type="expression" dxfId="3" priority="386">
      <formula>OR($M330="Validado",$M330="Finalizado",LEFT($D330,10)="Finalizado")</formula>
    </cfRule>
  </conditionalFormatting>
  <conditionalFormatting sqref="A330:N330">
    <cfRule type="expression" dxfId="4" priority="387">
      <formula>AND($M330="Pendente",LEFT($D330,10)&lt;&gt;"Finalizado")</formula>
    </cfRule>
  </conditionalFormatting>
  <conditionalFormatting sqref="A331:N331">
    <cfRule type="expression" dxfId="3" priority="388">
      <formula>OR($M331="Validado",$M331="Finalizado",LEFT($D331,10)="Finalizado")</formula>
    </cfRule>
  </conditionalFormatting>
  <conditionalFormatting sqref="A331:N331">
    <cfRule type="expression" dxfId="4" priority="389">
      <formula>AND($M331="Pendente",LEFT($D331,10)&lt;&gt;"Finalizado")</formula>
    </cfRule>
  </conditionalFormatting>
  <conditionalFormatting sqref="A332:N332">
    <cfRule type="expression" dxfId="3" priority="390">
      <formula>OR($M332="Validado",$M332="Finalizado",LEFT($D332,10)="Finalizado")</formula>
    </cfRule>
  </conditionalFormatting>
  <conditionalFormatting sqref="A332:N332">
    <cfRule type="expression" dxfId="4" priority="391">
      <formula>AND($M332="Pendente",LEFT($D332,10)&lt;&gt;"Finalizado")</formula>
    </cfRule>
  </conditionalFormatting>
  <conditionalFormatting sqref="A333:N333">
    <cfRule type="expression" dxfId="3" priority="392">
      <formula>OR($M333="Validado",$M333="Finalizado",LEFT($D333,10)="Finalizado")</formula>
    </cfRule>
  </conditionalFormatting>
  <conditionalFormatting sqref="A333:N333">
    <cfRule type="expression" dxfId="4" priority="393">
      <formula>AND($M333="Pendente",LEFT($D333,10)&lt;&gt;"Finalizado")</formula>
    </cfRule>
  </conditionalFormatting>
  <conditionalFormatting sqref="A334:N334">
    <cfRule type="expression" dxfId="3" priority="394">
      <formula>OR($M334="Validado",$M334="Finalizado",LEFT($D334,10)="Finalizado")</formula>
    </cfRule>
  </conditionalFormatting>
  <conditionalFormatting sqref="A334:N334">
    <cfRule type="expression" dxfId="4" priority="395">
      <formula>AND($M334="Pendente",LEFT($D334,10)&lt;&gt;"Finalizado")</formula>
    </cfRule>
  </conditionalFormatting>
  <conditionalFormatting sqref="A335:N335">
    <cfRule type="expression" dxfId="3" priority="396">
      <formula>OR($M335="Validado",$M335="Finalizado",LEFT($D335,10)="Finalizado")</formula>
    </cfRule>
  </conditionalFormatting>
  <conditionalFormatting sqref="A335:N335">
    <cfRule type="expression" dxfId="4" priority="397">
      <formula>AND($M335="Pendente",LEFT($D335,10)&lt;&gt;"Finalizado")</formula>
    </cfRule>
  </conditionalFormatting>
  <conditionalFormatting sqref="A336:N336">
    <cfRule type="expression" dxfId="3" priority="398">
      <formula>OR($M336="Validado",$M336="Finalizado",LEFT($D336,10)="Finalizado")</formula>
    </cfRule>
  </conditionalFormatting>
  <conditionalFormatting sqref="A336:N336">
    <cfRule type="expression" dxfId="4" priority="399">
      <formula>AND($M336="Pendente",LEFT($D336,10)&lt;&gt;"Finalizado")</formula>
    </cfRule>
  </conditionalFormatting>
  <conditionalFormatting sqref="A337:N337">
    <cfRule type="expression" dxfId="3" priority="400">
      <formula>OR($M337="Validado",$M337="Finalizado",LEFT($D337,10)="Finalizado")</formula>
    </cfRule>
  </conditionalFormatting>
  <conditionalFormatting sqref="A337:N337">
    <cfRule type="expression" dxfId="4" priority="401">
      <formula>AND($M337="Pendente",LEFT($D337,10)&lt;&gt;"Finalizado")</formula>
    </cfRule>
  </conditionalFormatting>
  <conditionalFormatting sqref="A338:N338">
    <cfRule type="expression" dxfId="3" priority="402">
      <formula>OR($M338="Validado",$M338="Finalizado",LEFT($D338,10)="Finalizado")</formula>
    </cfRule>
  </conditionalFormatting>
  <conditionalFormatting sqref="A338:N338">
    <cfRule type="expression" dxfId="4" priority="403">
      <formula>AND($M338="Pendente",LEFT($D338,10)&lt;&gt;"Finalizado")</formula>
    </cfRule>
  </conditionalFormatting>
  <conditionalFormatting sqref="A339:N339">
    <cfRule type="expression" dxfId="3" priority="404">
      <formula>OR($M339="Validado",$M339="Finalizado",LEFT($D339,10)="Finalizado")</formula>
    </cfRule>
  </conditionalFormatting>
  <conditionalFormatting sqref="A339:N339">
    <cfRule type="expression" dxfId="4" priority="405">
      <formula>AND($M339="Pendente",LEFT($D339,10)&lt;&gt;"Finalizado")</formula>
    </cfRule>
  </conditionalFormatting>
  <conditionalFormatting sqref="A340:N340">
    <cfRule type="expression" dxfId="3" priority="406">
      <formula>OR($M340="Validado",$M340="Finalizado",LEFT($D340,10)="Finalizado")</formula>
    </cfRule>
  </conditionalFormatting>
  <conditionalFormatting sqref="A340:N340">
    <cfRule type="expression" dxfId="4" priority="407">
      <formula>AND($M340="Pendente",LEFT($D340,10)&lt;&gt;"Finalizado")</formula>
    </cfRule>
  </conditionalFormatting>
  <conditionalFormatting sqref="A341:N341">
    <cfRule type="expression" dxfId="3" priority="408">
      <formula>OR($M341="Validado",$M341="Finalizado",LEFT($D341,10)="Finalizado")</formula>
    </cfRule>
  </conditionalFormatting>
  <conditionalFormatting sqref="A341:N341">
    <cfRule type="expression" dxfId="4" priority="409">
      <formula>AND($M341="Pendente",LEFT($D341,10)&lt;&gt;"Finalizado")</formula>
    </cfRule>
  </conditionalFormatting>
  <conditionalFormatting sqref="A346:N346">
    <cfRule type="expression" dxfId="3" priority="410">
      <formula>OR($M346="Validado",$M346="Finalizado",LEFT($D346,10)="Finalizado")</formula>
    </cfRule>
  </conditionalFormatting>
  <conditionalFormatting sqref="A346:N346">
    <cfRule type="expression" dxfId="4" priority="411">
      <formula>AND($M346="Pendente",LEFT($D346,10)&lt;&gt;"Finalizado")</formula>
    </cfRule>
  </conditionalFormatting>
  <conditionalFormatting sqref="A347:N347">
    <cfRule type="expression" dxfId="3" priority="412">
      <formula>OR($M347="Validado",$M347="Finalizado",LEFT($D347,10)="Finalizado")</formula>
    </cfRule>
  </conditionalFormatting>
  <conditionalFormatting sqref="A347:N347">
    <cfRule type="expression" dxfId="4" priority="413">
      <formula>AND($M347="Pendente",LEFT($D347,10)&lt;&gt;"Finalizado")</formula>
    </cfRule>
  </conditionalFormatting>
  <conditionalFormatting sqref="A348:N348">
    <cfRule type="expression" dxfId="3" priority="414">
      <formula>OR($M348="Validado",$M348="Finalizado",LEFT($D348,10)="Finalizado")</formula>
    </cfRule>
  </conditionalFormatting>
  <conditionalFormatting sqref="A348:N348">
    <cfRule type="expression" dxfId="4" priority="415">
      <formula>AND($M348="Pendente",LEFT($D348,10)&lt;&gt;"Finalizado")</formula>
    </cfRule>
  </conditionalFormatting>
  <conditionalFormatting sqref="A349:N349">
    <cfRule type="expression" dxfId="3" priority="416">
      <formula>OR($M349="Validado",$M349="Finalizado",LEFT($D349,10)="Finalizado")</formula>
    </cfRule>
  </conditionalFormatting>
  <conditionalFormatting sqref="A349:N349">
    <cfRule type="expression" dxfId="4" priority="417">
      <formula>AND($M349="Pendente",LEFT($D349,10)&lt;&gt;"Finalizado")</formula>
    </cfRule>
  </conditionalFormatting>
  <conditionalFormatting sqref="A350:N350">
    <cfRule type="expression" dxfId="3" priority="418">
      <formula>OR($M350="Validado",$M350="Finalizado",LEFT($D350,10)="Finalizado")</formula>
    </cfRule>
  </conditionalFormatting>
  <conditionalFormatting sqref="A350:N350">
    <cfRule type="expression" dxfId="4" priority="419">
      <formula>AND($M350="Pendente",LEFT($D350,10)&lt;&gt;"Finalizado")</formula>
    </cfRule>
  </conditionalFormatting>
  <conditionalFormatting sqref="A351:N351">
    <cfRule type="expression" dxfId="3" priority="420">
      <formula>OR($M351="Validado",$M351="Finalizado",LEFT($D351,10)="Finalizado")</formula>
    </cfRule>
  </conditionalFormatting>
  <conditionalFormatting sqref="A351:N351">
    <cfRule type="expression" dxfId="4" priority="421">
      <formula>AND($M351="Pendente",LEFT($D351,10)&lt;&gt;"Finalizado")</formula>
    </cfRule>
  </conditionalFormatting>
  <conditionalFormatting sqref="A352:N352">
    <cfRule type="expression" dxfId="3" priority="422">
      <formula>OR($M352="Validado",$M352="Finalizado",LEFT($D352,10)="Finalizado")</formula>
    </cfRule>
  </conditionalFormatting>
  <conditionalFormatting sqref="A352:N352">
    <cfRule type="expression" dxfId="4" priority="423">
      <formula>AND($M352="Pendente",LEFT($D352,10)&lt;&gt;"Finalizado")</formula>
    </cfRule>
  </conditionalFormatting>
  <conditionalFormatting sqref="A353:N353">
    <cfRule type="expression" dxfId="3" priority="424">
      <formula>OR($M353="Validado",$M353="Finalizado",LEFT($D353,10)="Finalizado")</formula>
    </cfRule>
  </conditionalFormatting>
  <conditionalFormatting sqref="A353:N353">
    <cfRule type="expression" dxfId="4" priority="425">
      <formula>AND($M353="Pendente",LEFT($D353,10)&lt;&gt;"Finalizado")</formula>
    </cfRule>
  </conditionalFormatting>
  <conditionalFormatting sqref="A354:N354">
    <cfRule type="expression" dxfId="3" priority="426">
      <formula>OR($M354="Validado",$M354="Finalizado",LEFT($D354,10)="Finalizado")</formula>
    </cfRule>
  </conditionalFormatting>
  <conditionalFormatting sqref="A354:N354">
    <cfRule type="expression" dxfId="4" priority="427">
      <formula>AND($M354="Pendente",LEFT($D354,10)&lt;&gt;"Finalizado")</formula>
    </cfRule>
  </conditionalFormatting>
  <conditionalFormatting sqref="A355:N355">
    <cfRule type="expression" dxfId="3" priority="428">
      <formula>OR($M355="Validado",$M355="Finalizado",LEFT($D355,10)="Finalizado")</formula>
    </cfRule>
  </conditionalFormatting>
  <conditionalFormatting sqref="A355:N355">
    <cfRule type="expression" dxfId="4" priority="429">
      <formula>AND($M355="Pendente",LEFT($D355,10)&lt;&gt;"Finalizado")</formula>
    </cfRule>
  </conditionalFormatting>
  <conditionalFormatting sqref="A356:N356">
    <cfRule type="expression" dxfId="3" priority="430">
      <formula>OR($M356="Validado",$M356="Finalizado",LEFT($D356,10)="Finalizado")</formula>
    </cfRule>
  </conditionalFormatting>
  <conditionalFormatting sqref="A356:N356">
    <cfRule type="expression" dxfId="4" priority="431">
      <formula>AND($M356="Pendente",LEFT($D356,10)&lt;&gt;"Finalizado")</formula>
    </cfRule>
  </conditionalFormatting>
  <conditionalFormatting sqref="A357:N357">
    <cfRule type="expression" dxfId="3" priority="432">
      <formula>OR($M357="Validado",$M357="Finalizado",LEFT($D357,10)="Finalizado")</formula>
    </cfRule>
  </conditionalFormatting>
  <conditionalFormatting sqref="A357:N357">
    <cfRule type="expression" dxfId="4" priority="433">
      <formula>AND($M357="Pendente",LEFT($D357,10)&lt;&gt;"Finalizado")</formula>
    </cfRule>
  </conditionalFormatting>
  <conditionalFormatting sqref="A358:N358">
    <cfRule type="expression" dxfId="3" priority="434">
      <formula>OR($M358="Validado",$M358="Finalizado",LEFT($D358,10)="Finalizado")</formula>
    </cfRule>
  </conditionalFormatting>
  <conditionalFormatting sqref="A358:N358">
    <cfRule type="expression" dxfId="4" priority="435">
      <formula>AND($M358="Pendente",LEFT($D358,10)&lt;&gt;"Finalizado")</formula>
    </cfRule>
  </conditionalFormatting>
  <conditionalFormatting sqref="A359:N359">
    <cfRule type="expression" dxfId="3" priority="436">
      <formula>OR($M359="Validado",$M359="Finalizado",LEFT($D359,10)="Finalizado")</formula>
    </cfRule>
  </conditionalFormatting>
  <conditionalFormatting sqref="A359:N359">
    <cfRule type="expression" dxfId="4" priority="437">
      <formula>AND($M359="Pendente",LEFT($D359,10)&lt;&gt;"Finalizado")</formula>
    </cfRule>
  </conditionalFormatting>
  <conditionalFormatting sqref="A360:N360">
    <cfRule type="expression" dxfId="3" priority="438">
      <formula>OR($M360="Validado",$M360="Finalizado",LEFT($D360,10)="Finalizado")</formula>
    </cfRule>
  </conditionalFormatting>
  <conditionalFormatting sqref="A360:N360">
    <cfRule type="expression" dxfId="4" priority="439">
      <formula>AND($M360="Pendente",LEFT($D360,10)&lt;&gt;"Finalizado")</formula>
    </cfRule>
  </conditionalFormatting>
  <conditionalFormatting sqref="A361:N361">
    <cfRule type="expression" dxfId="3" priority="440">
      <formula>OR($M361="Validado",$M361="Finalizado",LEFT($D361,10)="Finalizado")</formula>
    </cfRule>
  </conditionalFormatting>
  <conditionalFormatting sqref="A361:N361">
    <cfRule type="expression" dxfId="4" priority="441">
      <formula>AND($M361="Pendente",LEFT($D361,10)&lt;&gt;"Finalizado")</formula>
    </cfRule>
  </conditionalFormatting>
  <conditionalFormatting sqref="A362:N362">
    <cfRule type="expression" dxfId="3" priority="442">
      <formula>OR($M362="Validado",$M362="Finalizado",LEFT($D362,10)="Finalizado")</formula>
    </cfRule>
  </conditionalFormatting>
  <conditionalFormatting sqref="A362:N362">
    <cfRule type="expression" dxfId="4" priority="443">
      <formula>AND($M362="Pendente",LEFT($D362,10)&lt;&gt;"Finalizado")</formula>
    </cfRule>
  </conditionalFormatting>
  <conditionalFormatting sqref="A363:N363">
    <cfRule type="expression" dxfId="3" priority="444">
      <formula>OR($M363="Validado",$M363="Finalizado",LEFT($D363,10)="Finalizado")</formula>
    </cfRule>
  </conditionalFormatting>
  <conditionalFormatting sqref="A363:N363">
    <cfRule type="expression" dxfId="4" priority="445">
      <formula>AND($M363="Pendente",LEFT($D363,10)&lt;&gt;"Finalizado")</formula>
    </cfRule>
  </conditionalFormatting>
  <conditionalFormatting sqref="A364:N364">
    <cfRule type="expression" dxfId="3" priority="446">
      <formula>OR($M364="Validado",$M364="Finalizado",LEFT($D364,10)="Finalizado")</formula>
    </cfRule>
  </conditionalFormatting>
  <conditionalFormatting sqref="A364:N364">
    <cfRule type="expression" dxfId="4" priority="447">
      <formula>AND($M364="Pendente",LEFT($D364,10)&lt;&gt;"Finalizado")</formula>
    </cfRule>
  </conditionalFormatting>
  <conditionalFormatting sqref="A365:N365">
    <cfRule type="expression" dxfId="3" priority="448">
      <formula>OR($M365="Validado",$M365="Finalizado",LEFT($D365,10)="Finalizado")</formula>
    </cfRule>
  </conditionalFormatting>
  <conditionalFormatting sqref="A365:N365">
    <cfRule type="expression" dxfId="4" priority="449">
      <formula>AND($M365="Pendente",LEFT($D365,10)&lt;&gt;"Finalizado")</formula>
    </cfRule>
  </conditionalFormatting>
  <conditionalFormatting sqref="A366:N366">
    <cfRule type="expression" dxfId="3" priority="450">
      <formula>OR($M366="Validado",$M366="Finalizado",LEFT($D366,10)="Finalizado")</formula>
    </cfRule>
  </conditionalFormatting>
  <conditionalFormatting sqref="A366:N366">
    <cfRule type="expression" dxfId="4" priority="451">
      <formula>AND($M366="Pendente",LEFT($D366,10)&lt;&gt;"Finalizado")</formula>
    </cfRule>
  </conditionalFormatting>
  <conditionalFormatting sqref="A367:N367">
    <cfRule type="expression" dxfId="3" priority="452">
      <formula>OR($M367="Validado",$M367="Finalizado",LEFT($D367,10)="Finalizado")</formula>
    </cfRule>
  </conditionalFormatting>
  <conditionalFormatting sqref="A367:N367">
    <cfRule type="expression" dxfId="4" priority="453">
      <formula>AND($M367="Pendente",LEFT($D367,10)&lt;&gt;"Finalizado")</formula>
    </cfRule>
  </conditionalFormatting>
  <conditionalFormatting sqref="A368:N368">
    <cfRule type="expression" dxfId="3" priority="454">
      <formula>OR($M368="Validado",$M368="Finalizado",LEFT($D368,10)="Finalizado")</formula>
    </cfRule>
  </conditionalFormatting>
  <conditionalFormatting sqref="A368:N368">
    <cfRule type="expression" dxfId="4" priority="455">
      <formula>AND($M368="Pendente",LEFT($D368,10)&lt;&gt;"Finalizado")</formula>
    </cfRule>
  </conditionalFormatting>
  <conditionalFormatting sqref="A369:N369">
    <cfRule type="expression" dxfId="3" priority="456">
      <formula>OR($M369="Validado",$M369="Finalizado",LEFT($D369,10)="Finalizado")</formula>
    </cfRule>
  </conditionalFormatting>
  <conditionalFormatting sqref="A369:N369">
    <cfRule type="expression" dxfId="4" priority="457">
      <formula>AND($M369="Pendente",LEFT($D369,10)&lt;&gt;"Finalizado")</formula>
    </cfRule>
  </conditionalFormatting>
  <conditionalFormatting sqref="A370:N370">
    <cfRule type="expression" dxfId="3" priority="458">
      <formula>OR($M370="Validado",$M370="Finalizado",LEFT($D370,10)="Finalizado")</formula>
    </cfRule>
  </conditionalFormatting>
  <conditionalFormatting sqref="A370:N370">
    <cfRule type="expression" dxfId="4" priority="459">
      <formula>AND($M370="Pendente",LEFT($D370,10)&lt;&gt;"Finalizado")</formula>
    </cfRule>
  </conditionalFormatting>
  <conditionalFormatting sqref="A371:N371">
    <cfRule type="expression" dxfId="3" priority="460">
      <formula>OR($M371="Validado",$M371="Finalizado",LEFT($D371,10)="Finalizado")</formula>
    </cfRule>
  </conditionalFormatting>
  <conditionalFormatting sqref="A371:N371">
    <cfRule type="expression" dxfId="4" priority="461">
      <formula>AND($M371="Pendente",LEFT($D371,10)&lt;&gt;"Finalizado")</formula>
    </cfRule>
  </conditionalFormatting>
  <conditionalFormatting sqref="A372:N372">
    <cfRule type="expression" dxfId="3" priority="462">
      <formula>OR($M372="Validado",$M372="Finalizado",LEFT($D372,10)="Finalizado")</formula>
    </cfRule>
  </conditionalFormatting>
  <conditionalFormatting sqref="A372:N372">
    <cfRule type="expression" dxfId="4" priority="463">
      <formula>AND($M372="Pendente",LEFT($D372,10)&lt;&gt;"Finalizado")</formula>
    </cfRule>
  </conditionalFormatting>
  <conditionalFormatting sqref="A373:N373">
    <cfRule type="expression" dxfId="3" priority="464">
      <formula>OR($M373="Validado",$M373="Finalizado",LEFT($D373,10)="Finalizado")</formula>
    </cfRule>
  </conditionalFormatting>
  <conditionalFormatting sqref="A373:N373">
    <cfRule type="expression" dxfId="4" priority="465">
      <formula>AND($M373="Pendente",LEFT($D373,10)&lt;&gt;"Finalizado")</formula>
    </cfRule>
  </conditionalFormatting>
  <conditionalFormatting sqref="A374:N374">
    <cfRule type="expression" dxfId="3" priority="466">
      <formula>OR($M374="Validado",$M374="Finalizado",LEFT($D374,10)="Finalizado")</formula>
    </cfRule>
  </conditionalFormatting>
  <conditionalFormatting sqref="A374:N374">
    <cfRule type="expression" dxfId="4" priority="467">
      <formula>AND($M374="Pendente",LEFT($D374,10)&lt;&gt;"Finalizado")</formula>
    </cfRule>
  </conditionalFormatting>
  <conditionalFormatting sqref="A375:N375">
    <cfRule type="expression" dxfId="3" priority="468">
      <formula>OR($M375="Validado",$M375="Finalizado",LEFT($D375,10)="Finalizado")</formula>
    </cfRule>
  </conditionalFormatting>
  <conditionalFormatting sqref="A375:N375">
    <cfRule type="expression" dxfId="4" priority="469">
      <formula>AND($M375="Pendente",LEFT($D375,10)&lt;&gt;"Finalizado")</formula>
    </cfRule>
  </conditionalFormatting>
  <conditionalFormatting sqref="A376:N376">
    <cfRule type="expression" dxfId="3" priority="470">
      <formula>OR($M376="Validado",$M376="Finalizado",LEFT($D376,10)="Finalizado")</formula>
    </cfRule>
  </conditionalFormatting>
  <conditionalFormatting sqref="A376:N376">
    <cfRule type="expression" dxfId="4" priority="471">
      <formula>AND($M376="Pendente",LEFT($D376,10)&lt;&gt;"Finalizado")</formula>
    </cfRule>
  </conditionalFormatting>
  <conditionalFormatting sqref="A377:N377">
    <cfRule type="expression" dxfId="3" priority="472">
      <formula>OR($M377="Validado",$M377="Finalizado",LEFT($D377,10)="Finalizado")</formula>
    </cfRule>
  </conditionalFormatting>
  <conditionalFormatting sqref="A377:N377">
    <cfRule type="expression" dxfId="4" priority="473">
      <formula>AND($M377="Pendente",LEFT($D377,10)&lt;&gt;"Finalizado")</formula>
    </cfRule>
  </conditionalFormatting>
  <conditionalFormatting sqref="A378:N378">
    <cfRule type="expression" dxfId="3" priority="474">
      <formula>OR($M378="Validado",$M378="Finalizado",LEFT($D378,10)="Finalizado")</formula>
    </cfRule>
  </conditionalFormatting>
  <conditionalFormatting sqref="A378:N378">
    <cfRule type="expression" dxfId="4" priority="475">
      <formula>AND($M378="Pendente",LEFT($D378,10)&lt;&gt;"Finalizado")</formula>
    </cfRule>
  </conditionalFormatting>
  <conditionalFormatting sqref="A379:N379">
    <cfRule type="expression" dxfId="3" priority="476">
      <formula>OR($M379="Validado",$M379="Finalizado",LEFT($D379,10)="Finalizado")</formula>
    </cfRule>
  </conditionalFormatting>
  <conditionalFormatting sqref="A379:N379">
    <cfRule type="expression" dxfId="4" priority="477">
      <formula>AND($M379="Pendente",LEFT($D379,10)&lt;&gt;"Finalizado")</formula>
    </cfRule>
  </conditionalFormatting>
  <conditionalFormatting sqref="A380:N380">
    <cfRule type="expression" dxfId="3" priority="478">
      <formula>OR($M380="Validado",$M380="Finalizado",LEFT($D380,10)="Finalizado")</formula>
    </cfRule>
  </conditionalFormatting>
  <conditionalFormatting sqref="A380:N380">
    <cfRule type="expression" dxfId="4" priority="479">
      <formula>AND($M380="Pendente",LEFT($D380,10)&lt;&gt;"Finalizado")</formula>
    </cfRule>
  </conditionalFormatting>
  <conditionalFormatting sqref="A381:N381">
    <cfRule type="expression" dxfId="3" priority="480">
      <formula>OR($M381="Validado",$M381="Finalizado",LEFT($D381,10)="Finalizado")</formula>
    </cfRule>
  </conditionalFormatting>
  <conditionalFormatting sqref="A381:N381">
    <cfRule type="expression" dxfId="4" priority="481">
      <formula>AND($M381="Pendente",LEFT($D381,10)&lt;&gt;"Finalizado")</formula>
    </cfRule>
  </conditionalFormatting>
  <conditionalFormatting sqref="A382:N382">
    <cfRule type="expression" dxfId="3" priority="482">
      <formula>OR($M382="Validado",$M382="Finalizado",LEFT($D382,10)="Finalizado")</formula>
    </cfRule>
  </conditionalFormatting>
  <conditionalFormatting sqref="A382:N382">
    <cfRule type="expression" dxfId="4" priority="483">
      <formula>AND($M382="Pendente",LEFT($D382,10)&lt;&gt;"Finalizado")</formula>
    </cfRule>
  </conditionalFormatting>
  <conditionalFormatting sqref="A383:N383">
    <cfRule type="expression" dxfId="3" priority="484">
      <formula>OR($M383="Validado",$M383="Finalizado",LEFT($D383,10)="Finalizado")</formula>
    </cfRule>
  </conditionalFormatting>
  <conditionalFormatting sqref="A383:N383">
    <cfRule type="expression" dxfId="4" priority="485">
      <formula>AND($M383="Pendente",LEFT($D383,10)&lt;&gt;"Finalizado")</formula>
    </cfRule>
  </conditionalFormatting>
  <conditionalFormatting sqref="A384:N384">
    <cfRule type="expression" dxfId="3" priority="486">
      <formula>OR($M384="Validado",$M384="Finalizado",LEFT($D384,10)="Finalizado")</formula>
    </cfRule>
  </conditionalFormatting>
  <conditionalFormatting sqref="A384:N384">
    <cfRule type="expression" dxfId="4" priority="487">
      <formula>AND($M384="Pendente",LEFT($D384,10)&lt;&gt;"Finalizado")</formula>
    </cfRule>
  </conditionalFormatting>
  <conditionalFormatting sqref="A385:N385">
    <cfRule type="expression" dxfId="3" priority="488">
      <formula>OR($M385="Validado",$M385="Finalizado",LEFT($D385,10)="Finalizado")</formula>
    </cfRule>
  </conditionalFormatting>
  <conditionalFormatting sqref="A385:N385">
    <cfRule type="expression" dxfId="4" priority="489">
      <formula>AND($M385="Pendente",LEFT($D385,10)&lt;&gt;"Finalizado")</formula>
    </cfRule>
  </conditionalFormatting>
  <conditionalFormatting sqref="A386:N386">
    <cfRule type="expression" dxfId="3" priority="490">
      <formula>OR($M386="Validado",$M386="Finalizado",LEFT($D386,10)="Finalizado")</formula>
    </cfRule>
  </conditionalFormatting>
  <conditionalFormatting sqref="A386:N386">
    <cfRule type="expression" dxfId="4" priority="491">
      <formula>AND($M386="Pendente",LEFT($D386,10)&lt;&gt;"Finalizado")</formula>
    </cfRule>
  </conditionalFormatting>
  <conditionalFormatting sqref="A387:N387">
    <cfRule type="expression" dxfId="3" priority="492">
      <formula>OR($M387="Validado",$M387="Finalizado",LEFT($D387,10)="Finalizado")</formula>
    </cfRule>
  </conditionalFormatting>
  <conditionalFormatting sqref="A387:N387">
    <cfRule type="expression" dxfId="4" priority="493">
      <formula>AND($M387="Pendente",LEFT($D387,10)&lt;&gt;"Finalizado")</formula>
    </cfRule>
  </conditionalFormatting>
  <conditionalFormatting sqref="A392:N392">
    <cfRule type="expression" dxfId="3" priority="494">
      <formula>OR($M392="Validado",$M392="Finalizado",LEFT($D392,10)="Finalizado")</formula>
    </cfRule>
  </conditionalFormatting>
  <conditionalFormatting sqref="A392:N392">
    <cfRule type="expression" dxfId="4" priority="495">
      <formula>AND($M392="Pendente",LEFT($D392,10)&lt;&gt;"Finalizado")</formula>
    </cfRule>
  </conditionalFormatting>
  <conditionalFormatting sqref="A397:N397">
    <cfRule type="expression" dxfId="3" priority="496">
      <formula>OR($M397="Validado",$M397="Finalizado",LEFT($D397,10)="Finalizado")</formula>
    </cfRule>
  </conditionalFormatting>
  <conditionalFormatting sqref="A397:N397">
    <cfRule type="expression" dxfId="4" priority="497">
      <formula>AND($M397="Pendente",LEFT($D397,10)&lt;&gt;"Finalizado")</formula>
    </cfRule>
  </conditionalFormatting>
  <conditionalFormatting sqref="A398:N398">
    <cfRule type="expression" dxfId="3" priority="498">
      <formula>OR($M398="Validado",$M398="Finalizado",LEFT($D398,10)="Finalizado")</formula>
    </cfRule>
  </conditionalFormatting>
  <conditionalFormatting sqref="A398:N398">
    <cfRule type="expression" dxfId="4" priority="499">
      <formula>AND($M398="Pendente",LEFT($D398,10)&lt;&gt;"Finalizado")</formula>
    </cfRule>
  </conditionalFormatting>
  <conditionalFormatting sqref="A399:N399">
    <cfRule type="expression" dxfId="3" priority="500">
      <formula>OR($M399="Validado",$M399="Finalizado",LEFT($D399,10)="Finalizado")</formula>
    </cfRule>
  </conditionalFormatting>
  <conditionalFormatting sqref="A399:N399">
    <cfRule type="expression" dxfId="4" priority="501">
      <formula>AND($M399="Pendente",LEFT($D399,10)&lt;&gt;"Finalizado")</formula>
    </cfRule>
  </conditionalFormatting>
  <conditionalFormatting sqref="A400:N400">
    <cfRule type="expression" dxfId="3" priority="502">
      <formula>OR($M400="Validado",$M400="Finalizado",LEFT($D400,10)="Finalizado")</formula>
    </cfRule>
  </conditionalFormatting>
  <conditionalFormatting sqref="A400:N400">
    <cfRule type="expression" dxfId="4" priority="503">
      <formula>AND($M400="Pendente",LEFT($D400,10)&lt;&gt;"Finalizado")</formula>
    </cfRule>
  </conditionalFormatting>
  <conditionalFormatting sqref="A401:N401">
    <cfRule type="expression" dxfId="3" priority="504">
      <formula>OR($M401="Validado",$M401="Finalizado",LEFT($D401,10)="Finalizado")</formula>
    </cfRule>
  </conditionalFormatting>
  <conditionalFormatting sqref="A401:N401">
    <cfRule type="expression" dxfId="4" priority="505">
      <formula>AND($M401="Pendente",LEFT($D401,10)&lt;&gt;"Finalizado")</formula>
    </cfRule>
  </conditionalFormatting>
  <conditionalFormatting sqref="A402:N402">
    <cfRule type="expression" dxfId="3" priority="506">
      <formula>OR($M402="Validado",$M402="Finalizado",LEFT($D402,10)="Finalizado")</formula>
    </cfRule>
  </conditionalFormatting>
  <conditionalFormatting sqref="A402:N402">
    <cfRule type="expression" dxfId="4" priority="507">
      <formula>AND($M402="Pendente",LEFT($D402,10)&lt;&gt;"Finalizado")</formula>
    </cfRule>
  </conditionalFormatting>
  <conditionalFormatting sqref="A403:N403">
    <cfRule type="expression" dxfId="3" priority="508">
      <formula>OR($M403="Validado",$M403="Finalizado",LEFT($D403,10)="Finalizado")</formula>
    </cfRule>
  </conditionalFormatting>
  <conditionalFormatting sqref="A403:N403">
    <cfRule type="expression" dxfId="4" priority="509">
      <formula>AND($M403="Pendente",LEFT($D403,10)&lt;&gt;"Finalizado")</formula>
    </cfRule>
  </conditionalFormatting>
  <conditionalFormatting sqref="A404:N404">
    <cfRule type="expression" dxfId="3" priority="510">
      <formula>OR($M404="Validado",$M404="Finalizado",LEFT($D404,10)="Finalizado")</formula>
    </cfRule>
  </conditionalFormatting>
  <conditionalFormatting sqref="A404:N404">
    <cfRule type="expression" dxfId="4" priority="511">
      <formula>AND($M404="Pendente",LEFT($D404,10)&lt;&gt;"Finalizado")</formula>
    </cfRule>
  </conditionalFormatting>
  <conditionalFormatting sqref="A405:N405">
    <cfRule type="expression" dxfId="3" priority="512">
      <formula>OR($M405="Validado",$M405="Finalizado",LEFT($D405,10)="Finalizado")</formula>
    </cfRule>
  </conditionalFormatting>
  <conditionalFormatting sqref="A405:N405">
    <cfRule type="expression" dxfId="4" priority="513">
      <formula>AND($M405="Pendente",LEFT($D405,10)&lt;&gt;"Finalizado")</formula>
    </cfRule>
  </conditionalFormatting>
  <conditionalFormatting sqref="A406:N406">
    <cfRule type="expression" dxfId="3" priority="514">
      <formula>OR($M406="Validado",$M406="Finalizado",LEFT($D406,10)="Finalizado")</formula>
    </cfRule>
  </conditionalFormatting>
  <conditionalFormatting sqref="A406:N406">
    <cfRule type="expression" dxfId="4" priority="515">
      <formula>AND($M406="Pendente",LEFT($D406,10)&lt;&gt;"Finalizado")</formula>
    </cfRule>
  </conditionalFormatting>
  <conditionalFormatting sqref="A407:N407">
    <cfRule type="expression" dxfId="3" priority="516">
      <formula>OR($M407="Validado",$M407="Finalizado",LEFT($D407,10)="Finalizado")</formula>
    </cfRule>
  </conditionalFormatting>
  <conditionalFormatting sqref="A407:N407">
    <cfRule type="expression" dxfId="4" priority="517">
      <formula>AND($M407="Pendente",LEFT($D407,10)&lt;&gt;"Finalizado")</formula>
    </cfRule>
  </conditionalFormatting>
  <conditionalFormatting sqref="A408:N408">
    <cfRule type="expression" dxfId="3" priority="518">
      <formula>OR($M408="Validado",$M408="Finalizado",LEFT($D408,10)="Finalizado")</formula>
    </cfRule>
  </conditionalFormatting>
  <conditionalFormatting sqref="A408:N408">
    <cfRule type="expression" dxfId="4" priority="519">
      <formula>AND($M408="Pendente",LEFT($D408,10)&lt;&gt;"Finalizado")</formula>
    </cfRule>
  </conditionalFormatting>
  <conditionalFormatting sqref="A409:N409">
    <cfRule type="expression" dxfId="3" priority="520">
      <formula>OR($M409="Validado",$M409="Finalizado",LEFT($D409,10)="Finalizado")</formula>
    </cfRule>
  </conditionalFormatting>
  <conditionalFormatting sqref="A409:N409">
    <cfRule type="expression" dxfId="4" priority="521">
      <formula>AND($M409="Pendente",LEFT($D409,10)&lt;&gt;"Finalizado")</formula>
    </cfRule>
  </conditionalFormatting>
  <conditionalFormatting sqref="A410:N410">
    <cfRule type="expression" dxfId="3" priority="522">
      <formula>OR($M410="Validado",$M410="Finalizado",LEFT($D410,10)="Finalizado")</formula>
    </cfRule>
  </conditionalFormatting>
  <conditionalFormatting sqref="A410:N410">
    <cfRule type="expression" dxfId="4" priority="523">
      <formula>AND($M410="Pendente",LEFT($D410,10)&lt;&gt;"Finalizado")</formula>
    </cfRule>
  </conditionalFormatting>
  <conditionalFormatting sqref="A411:N411">
    <cfRule type="expression" dxfId="3" priority="524">
      <formula>OR($M411="Validado",$M411="Finalizado",LEFT($D411,10)="Finalizado")</formula>
    </cfRule>
  </conditionalFormatting>
  <conditionalFormatting sqref="A411:N411">
    <cfRule type="expression" dxfId="4" priority="525">
      <formula>AND($M411="Pendente",LEFT($D411,10)&lt;&gt;"Finalizado")</formula>
    </cfRule>
  </conditionalFormatting>
  <conditionalFormatting sqref="A412:N412">
    <cfRule type="expression" dxfId="3" priority="526">
      <formula>OR($M412="Validado",$M412="Finalizado",LEFT($D412,10)="Finalizado")</formula>
    </cfRule>
  </conditionalFormatting>
  <conditionalFormatting sqref="A412:N412">
    <cfRule type="expression" dxfId="4" priority="527">
      <formula>AND($M412="Pendente",LEFT($D412,10)&lt;&gt;"Finalizado")</formula>
    </cfRule>
  </conditionalFormatting>
  <conditionalFormatting sqref="A413:N413">
    <cfRule type="expression" dxfId="3" priority="528">
      <formula>OR($M413="Validado",$M413="Finalizado",LEFT($D413,10)="Finalizado")</formula>
    </cfRule>
  </conditionalFormatting>
  <conditionalFormatting sqref="A413:N413">
    <cfRule type="expression" dxfId="4" priority="529">
      <formula>AND($M413="Pendente",LEFT($D413,10)&lt;&gt;"Finalizado")</formula>
    </cfRule>
  </conditionalFormatting>
  <conditionalFormatting sqref="A414:N414">
    <cfRule type="expression" dxfId="3" priority="530">
      <formula>OR($M414="Validado",$M414="Finalizado",LEFT($D414,10)="Finalizado")</formula>
    </cfRule>
  </conditionalFormatting>
  <conditionalFormatting sqref="A414:N414">
    <cfRule type="expression" dxfId="4" priority="531">
      <formula>AND($M414="Pendente",LEFT($D414,10)&lt;&gt;"Finalizado")</formula>
    </cfRule>
  </conditionalFormatting>
  <conditionalFormatting sqref="A415:N415">
    <cfRule type="expression" dxfId="3" priority="532">
      <formula>OR($M415="Validado",$M415="Finalizado",LEFT($D415,10)="Finalizado")</formula>
    </cfRule>
  </conditionalFormatting>
  <conditionalFormatting sqref="A415:N415">
    <cfRule type="expression" dxfId="4" priority="533">
      <formula>AND($M415="Pendente",LEFT($D415,10)&lt;&gt;"Finalizado")</formula>
    </cfRule>
  </conditionalFormatting>
  <conditionalFormatting sqref="A416:N416">
    <cfRule type="expression" dxfId="3" priority="534">
      <formula>OR($M416="Validado",$M416="Finalizado",LEFT($D416,10)="Finalizado")</formula>
    </cfRule>
  </conditionalFormatting>
  <conditionalFormatting sqref="A416:N416">
    <cfRule type="expression" dxfId="4" priority="535">
      <formula>AND($M416="Pendente",LEFT($D416,10)&lt;&gt;"Finalizado")</formula>
    </cfRule>
  </conditionalFormatting>
  <conditionalFormatting sqref="A417:N417">
    <cfRule type="expression" dxfId="3" priority="536">
      <formula>OR($M417="Validado",$M417="Finalizado",LEFT($D417,10)="Finalizado")</formula>
    </cfRule>
  </conditionalFormatting>
  <conditionalFormatting sqref="A417:N417">
    <cfRule type="expression" dxfId="4" priority="537">
      <formula>AND($M417="Pendente",LEFT($D417,10)&lt;&gt;"Finalizado")</formula>
    </cfRule>
  </conditionalFormatting>
  <conditionalFormatting sqref="A418:N418">
    <cfRule type="expression" dxfId="3" priority="538">
      <formula>OR($M418="Validado",$M418="Finalizado",LEFT($D418,10)="Finalizado")</formula>
    </cfRule>
  </conditionalFormatting>
  <conditionalFormatting sqref="A418:N418">
    <cfRule type="expression" dxfId="4" priority="539">
      <formula>AND($M418="Pendente",LEFT($D418,10)&lt;&gt;"Finalizado")</formula>
    </cfRule>
  </conditionalFormatting>
  <conditionalFormatting sqref="A419:N419">
    <cfRule type="expression" dxfId="3" priority="540">
      <formula>OR($M419="Validado",$M419="Finalizado",LEFT($D419,10)="Finalizado")</formula>
    </cfRule>
  </conditionalFormatting>
  <conditionalFormatting sqref="A419:N419">
    <cfRule type="expression" dxfId="4" priority="541">
      <formula>AND($M419="Pendente",LEFT($D419,10)&lt;&gt;"Finalizado")</formula>
    </cfRule>
  </conditionalFormatting>
  <conditionalFormatting sqref="A420:N420">
    <cfRule type="expression" dxfId="3" priority="542">
      <formula>OR($M420="Validado",$M420="Finalizado",LEFT($D420,10)="Finalizado")</formula>
    </cfRule>
  </conditionalFormatting>
  <conditionalFormatting sqref="A420:N420">
    <cfRule type="expression" dxfId="4" priority="543">
      <formula>AND($M420="Pendente",LEFT($D420,10)&lt;&gt;"Finalizado")</formula>
    </cfRule>
  </conditionalFormatting>
  <conditionalFormatting sqref="A421:N421">
    <cfRule type="expression" dxfId="3" priority="544">
      <formula>OR($M421="Validado",$M421="Finalizado",LEFT($D421,10)="Finalizado")</formula>
    </cfRule>
  </conditionalFormatting>
  <conditionalFormatting sqref="A421:N421">
    <cfRule type="expression" dxfId="4" priority="545">
      <formula>AND($M421="Pendente",LEFT($D421,10)&lt;&gt;"Finalizado")</formula>
    </cfRule>
  </conditionalFormatting>
  <conditionalFormatting sqref="A422:N422">
    <cfRule type="expression" dxfId="3" priority="546">
      <formula>OR($M422="Validado",$M422="Finalizado",LEFT($D422,10)="Finalizado")</formula>
    </cfRule>
  </conditionalFormatting>
  <conditionalFormatting sqref="A422:N422">
    <cfRule type="expression" dxfId="4" priority="547">
      <formula>AND($M422="Pendente",LEFT($D422,10)&lt;&gt;"Finalizado")</formula>
    </cfRule>
  </conditionalFormatting>
  <conditionalFormatting sqref="A423:N423">
    <cfRule type="expression" dxfId="3" priority="548">
      <formula>OR($M423="Validado",$M423="Finalizado",LEFT($D423,10)="Finalizado")</formula>
    </cfRule>
  </conditionalFormatting>
  <conditionalFormatting sqref="A423:N423">
    <cfRule type="expression" dxfId="4" priority="549">
      <formula>AND($M423="Pendente",LEFT($D423,10)&lt;&gt;"Finalizado")</formula>
    </cfRule>
  </conditionalFormatting>
  <conditionalFormatting sqref="A424:N424">
    <cfRule type="expression" dxfId="3" priority="550">
      <formula>OR($M424="Validado",$M424="Finalizado",LEFT($D424,10)="Finalizado")</formula>
    </cfRule>
  </conditionalFormatting>
  <conditionalFormatting sqref="A424:N424">
    <cfRule type="expression" dxfId="4" priority="551">
      <formula>AND($M424="Pendente",LEFT($D424,10)&lt;&gt;"Finalizado")</formula>
    </cfRule>
  </conditionalFormatting>
  <conditionalFormatting sqref="A425:N425">
    <cfRule type="expression" dxfId="3" priority="552">
      <formula>OR($M425="Validado",$M425="Finalizado",LEFT($D425,10)="Finalizado")</formula>
    </cfRule>
  </conditionalFormatting>
  <conditionalFormatting sqref="A425:N425">
    <cfRule type="expression" dxfId="4" priority="553">
      <formula>AND($M425="Pendente",LEFT($D425,10)&lt;&gt;"Finalizado")</formula>
    </cfRule>
  </conditionalFormatting>
  <conditionalFormatting sqref="A426:N426">
    <cfRule type="expression" dxfId="3" priority="554">
      <formula>OR($M426="Validado",$M426="Finalizado",LEFT($D426,10)="Finalizado")</formula>
    </cfRule>
  </conditionalFormatting>
  <conditionalFormatting sqref="A426:N426">
    <cfRule type="expression" dxfId="4" priority="555">
      <formula>AND($M426="Pendente",LEFT($D426,10)&lt;&gt;"Finalizado")</formula>
    </cfRule>
  </conditionalFormatting>
  <conditionalFormatting sqref="A427:N427">
    <cfRule type="expression" dxfId="3" priority="556">
      <formula>OR($M427="Validado",$M427="Finalizado",LEFT($D427,10)="Finalizado")</formula>
    </cfRule>
  </conditionalFormatting>
  <conditionalFormatting sqref="A427:N427">
    <cfRule type="expression" dxfId="4" priority="557">
      <formula>AND($M427="Pendente",LEFT($D427,10)&lt;&gt;"Finalizado")</formula>
    </cfRule>
  </conditionalFormatting>
  <conditionalFormatting sqref="A428:N428">
    <cfRule type="expression" dxfId="3" priority="558">
      <formula>OR($M428="Validado",$M428="Finalizado",LEFT($D428,10)="Finalizado")</formula>
    </cfRule>
  </conditionalFormatting>
  <conditionalFormatting sqref="A428:N428">
    <cfRule type="expression" dxfId="4" priority="559">
      <formula>AND($M428="Pendente",LEFT($D428,10)&lt;&gt;"Finalizado")</formula>
    </cfRule>
  </conditionalFormatting>
  <conditionalFormatting sqref="A429:N429">
    <cfRule type="expression" dxfId="3" priority="560">
      <formula>OR($M429="Validado",$M429="Finalizado",LEFT($D429,10)="Finalizado")</formula>
    </cfRule>
  </conditionalFormatting>
  <conditionalFormatting sqref="A429:N429">
    <cfRule type="expression" dxfId="4" priority="561">
      <formula>AND($M429="Pendente",LEFT($D429,10)&lt;&gt;"Finalizado")</formula>
    </cfRule>
  </conditionalFormatting>
  <conditionalFormatting sqref="A430:N430">
    <cfRule type="expression" dxfId="3" priority="562">
      <formula>OR($M430="Validado",$M430="Finalizado",LEFT($D430,10)="Finalizado")</formula>
    </cfRule>
  </conditionalFormatting>
  <conditionalFormatting sqref="A430:N430">
    <cfRule type="expression" dxfId="4" priority="563">
      <formula>AND($M430="Pendente",LEFT($D430,10)&lt;&gt;"Finalizado")</formula>
    </cfRule>
  </conditionalFormatting>
  <conditionalFormatting sqref="A431:N431">
    <cfRule type="expression" dxfId="3" priority="564">
      <formula>OR($M431="Validado",$M431="Finalizado",LEFT($D431,10)="Finalizado")</formula>
    </cfRule>
  </conditionalFormatting>
  <conditionalFormatting sqref="A431:N431">
    <cfRule type="expression" dxfId="4" priority="565">
      <formula>AND($M431="Pendente",LEFT($D431,10)&lt;&gt;"Finalizado")</formula>
    </cfRule>
  </conditionalFormatting>
  <conditionalFormatting sqref="A432:N432">
    <cfRule type="expression" dxfId="3" priority="566">
      <formula>OR($M432="Validado",$M432="Finalizado",LEFT($D432,10)="Finalizado")</formula>
    </cfRule>
  </conditionalFormatting>
  <conditionalFormatting sqref="A432:N432">
    <cfRule type="expression" dxfId="4" priority="567">
      <formula>AND($M432="Pendente",LEFT($D432,10)&lt;&gt;"Finalizado")</formula>
    </cfRule>
  </conditionalFormatting>
  <conditionalFormatting sqref="A433:N433">
    <cfRule type="expression" dxfId="3" priority="568">
      <formula>OR($M433="Validado",$M433="Finalizado",LEFT($D433,10)="Finalizado")</formula>
    </cfRule>
  </conditionalFormatting>
  <conditionalFormatting sqref="A433:N433">
    <cfRule type="expression" dxfId="4" priority="569">
      <formula>AND($M433="Pendente",LEFT($D433,10)&lt;&gt;"Finalizado")</formula>
    </cfRule>
  </conditionalFormatting>
  <conditionalFormatting sqref="A434:N434">
    <cfRule type="expression" dxfId="3" priority="570">
      <formula>OR($M434="Validado",$M434="Finalizado",LEFT($D434,10)="Finalizado")</formula>
    </cfRule>
  </conditionalFormatting>
  <conditionalFormatting sqref="A434:N434">
    <cfRule type="expression" dxfId="4" priority="571">
      <formula>AND($M434="Pendente",LEFT($D434,10)&lt;&gt;"Finalizado")</formula>
    </cfRule>
  </conditionalFormatting>
  <conditionalFormatting sqref="A435:N435">
    <cfRule type="expression" dxfId="3" priority="572">
      <formula>OR($M435="Validado",$M435="Finalizado",LEFT($D435,10)="Finalizado")</formula>
    </cfRule>
  </conditionalFormatting>
  <conditionalFormatting sqref="A435:N435">
    <cfRule type="expression" dxfId="4" priority="573">
      <formula>AND($M435="Pendente",LEFT($D435,10)&lt;&gt;"Finalizado")</formula>
    </cfRule>
  </conditionalFormatting>
  <conditionalFormatting sqref="A436:N436">
    <cfRule type="expression" dxfId="3" priority="574">
      <formula>OR($M436="Validado",$M436="Finalizado",LEFT($D436,10)="Finalizado")</formula>
    </cfRule>
  </conditionalFormatting>
  <conditionalFormatting sqref="A436:N436">
    <cfRule type="expression" dxfId="4" priority="575">
      <formula>AND($M436="Pendente",LEFT($D436,10)&lt;&gt;"Finalizado")</formula>
    </cfRule>
  </conditionalFormatting>
  <conditionalFormatting sqref="A437:N437">
    <cfRule type="expression" dxfId="3" priority="576">
      <formula>OR($M437="Validado",$M437="Finalizado",LEFT($D437,10)="Finalizado")</formula>
    </cfRule>
  </conditionalFormatting>
  <conditionalFormatting sqref="A437:N437">
    <cfRule type="expression" dxfId="4" priority="577">
      <formula>AND($M437="Pendente",LEFT($D437,10)&lt;&gt;"Finalizado")</formula>
    </cfRule>
  </conditionalFormatting>
  <conditionalFormatting sqref="A442:N442">
    <cfRule type="expression" dxfId="3" priority="578">
      <formula>OR($M442="Validado",$M442="Finalizado",LEFT($D442,10)="Finalizado")</formula>
    </cfRule>
  </conditionalFormatting>
  <conditionalFormatting sqref="A442:N442">
    <cfRule type="expression" dxfId="4" priority="579">
      <formula>AND($M442="Pendente",LEFT($D442,10)&lt;&gt;"Finalizado")</formula>
    </cfRule>
  </conditionalFormatting>
  <conditionalFormatting sqref="A443:N443">
    <cfRule type="expression" dxfId="3" priority="580">
      <formula>OR($M443="Validado",$M443="Finalizado",LEFT($D443,10)="Finalizado")</formula>
    </cfRule>
  </conditionalFormatting>
  <conditionalFormatting sqref="A443:N443">
    <cfRule type="expression" dxfId="4" priority="581">
      <formula>AND($M443="Pendente",LEFT($D443,10)&lt;&gt;"Finalizado")</formula>
    </cfRule>
  </conditionalFormatting>
  <conditionalFormatting sqref="A444:N444">
    <cfRule type="expression" dxfId="3" priority="582">
      <formula>OR($M444="Validado",$M444="Finalizado",LEFT($D444,10)="Finalizado")</formula>
    </cfRule>
  </conditionalFormatting>
  <conditionalFormatting sqref="A444:N444">
    <cfRule type="expression" dxfId="4" priority="583">
      <formula>AND($M444="Pendente",LEFT($D444,10)&lt;&gt;"Finalizado")</formula>
    </cfRule>
  </conditionalFormatting>
  <conditionalFormatting sqref="A445:N445">
    <cfRule type="expression" dxfId="3" priority="584">
      <formula>OR($M445="Validado",$M445="Finalizado",LEFT($D445,10)="Finalizado")</formula>
    </cfRule>
  </conditionalFormatting>
  <conditionalFormatting sqref="A445:N445">
    <cfRule type="expression" dxfId="4" priority="585">
      <formula>AND($M445="Pendente",LEFT($D445,10)&lt;&gt;"Finalizado")</formula>
    </cfRule>
  </conditionalFormatting>
  <conditionalFormatting sqref="A446:N446">
    <cfRule type="expression" dxfId="3" priority="586">
      <formula>OR($M446="Validado",$M446="Finalizado",LEFT($D446,10)="Finalizado")</formula>
    </cfRule>
  </conditionalFormatting>
  <conditionalFormatting sqref="A446:N446">
    <cfRule type="expression" dxfId="4" priority="587">
      <formula>AND($M446="Pendente",LEFT($D446,10)&lt;&gt;"Finalizado")</formula>
    </cfRule>
  </conditionalFormatting>
  <conditionalFormatting sqref="A447:N447">
    <cfRule type="expression" dxfId="3" priority="588">
      <formula>OR($M447="Validado",$M447="Finalizado",LEFT($D447,10)="Finalizado")</formula>
    </cfRule>
  </conditionalFormatting>
  <conditionalFormatting sqref="A447:N447">
    <cfRule type="expression" dxfId="4" priority="589">
      <formula>AND($M447="Pendente",LEFT($D447,10)&lt;&gt;"Finalizado")</formula>
    </cfRule>
  </conditionalFormatting>
  <conditionalFormatting sqref="A448:N448">
    <cfRule type="expression" dxfId="3" priority="590">
      <formula>OR($M448="Validado",$M448="Finalizado",LEFT($D448,10)="Finalizado")</formula>
    </cfRule>
  </conditionalFormatting>
  <conditionalFormatting sqref="A448:N448">
    <cfRule type="expression" dxfId="4" priority="591">
      <formula>AND($M448="Pendente",LEFT($D448,10)&lt;&gt;"Finalizado")</formula>
    </cfRule>
  </conditionalFormatting>
  <conditionalFormatting sqref="A449:N449">
    <cfRule type="expression" dxfId="3" priority="592">
      <formula>OR($M449="Validado",$M449="Finalizado",LEFT($D449,10)="Finalizado")</formula>
    </cfRule>
  </conditionalFormatting>
  <conditionalFormatting sqref="A449:N449">
    <cfRule type="expression" dxfId="4" priority="593">
      <formula>AND($M449="Pendente",LEFT($D449,10)&lt;&gt;"Finalizado")</formula>
    </cfRule>
  </conditionalFormatting>
  <conditionalFormatting sqref="A450:N450">
    <cfRule type="expression" dxfId="3" priority="594">
      <formula>OR($M450="Validado",$M450="Finalizado",LEFT($D450,10)="Finalizado")</formula>
    </cfRule>
  </conditionalFormatting>
  <conditionalFormatting sqref="A450:N450">
    <cfRule type="expression" dxfId="4" priority="595">
      <formula>AND($M450="Pendente",LEFT($D450,10)&lt;&gt;"Finalizado")</formula>
    </cfRule>
  </conditionalFormatting>
  <conditionalFormatting sqref="A451:N451">
    <cfRule type="expression" dxfId="3" priority="596">
      <formula>OR($M451="Validado",$M451="Finalizado",LEFT($D451,10)="Finalizado")</formula>
    </cfRule>
  </conditionalFormatting>
  <conditionalFormatting sqref="A451:N451">
    <cfRule type="expression" dxfId="4" priority="597">
      <formula>AND($M451="Pendente",LEFT($D451,10)&lt;&gt;"Finalizado")</formula>
    </cfRule>
  </conditionalFormatting>
  <conditionalFormatting sqref="A452:N452">
    <cfRule type="expression" dxfId="3" priority="598">
      <formula>OR($M452="Validado",$M452="Finalizado",LEFT($D452,10)="Finalizado")</formula>
    </cfRule>
  </conditionalFormatting>
  <conditionalFormatting sqref="A452:N452">
    <cfRule type="expression" dxfId="4" priority="599">
      <formula>AND($M452="Pendente",LEFT($D452,10)&lt;&gt;"Finalizado")</formula>
    </cfRule>
  </conditionalFormatting>
  <conditionalFormatting sqref="A453:N453">
    <cfRule type="expression" dxfId="3" priority="600">
      <formula>OR($M453="Validado",$M453="Finalizado",LEFT($D453,10)="Finalizado")</formula>
    </cfRule>
  </conditionalFormatting>
  <conditionalFormatting sqref="A453:N453">
    <cfRule type="expression" dxfId="4" priority="601">
      <formula>AND($M453="Pendente",LEFT($D453,10)&lt;&gt;"Finalizado")</formula>
    </cfRule>
  </conditionalFormatting>
  <conditionalFormatting sqref="A454:N454">
    <cfRule type="expression" dxfId="3" priority="602">
      <formula>OR($M454="Validado",$M454="Finalizado",LEFT($D454,10)="Finalizado")</formula>
    </cfRule>
  </conditionalFormatting>
  <conditionalFormatting sqref="A454:N454">
    <cfRule type="expression" dxfId="4" priority="603">
      <formula>AND($M454="Pendente",LEFT($D454,10)&lt;&gt;"Finalizado")</formula>
    </cfRule>
  </conditionalFormatting>
  <conditionalFormatting sqref="A455:N455">
    <cfRule type="expression" dxfId="3" priority="604">
      <formula>OR($M455="Validado",$M455="Finalizado",LEFT($D455,10)="Finalizado")</formula>
    </cfRule>
  </conditionalFormatting>
  <conditionalFormatting sqref="A455:N455">
    <cfRule type="expression" dxfId="4" priority="605">
      <formula>AND($M455="Pendente",LEFT($D455,10)&lt;&gt;"Finalizado")</formula>
    </cfRule>
  </conditionalFormatting>
  <conditionalFormatting sqref="A456:N456">
    <cfRule type="expression" dxfId="3" priority="606">
      <formula>OR($M456="Validado",$M456="Finalizado",LEFT($D456,10)="Finalizado")</formula>
    </cfRule>
  </conditionalFormatting>
  <conditionalFormatting sqref="A456:N456">
    <cfRule type="expression" dxfId="4" priority="607">
      <formula>AND($M456="Pendente",LEFT($D456,10)&lt;&gt;"Finalizado")</formula>
    </cfRule>
  </conditionalFormatting>
  <conditionalFormatting sqref="A457:N457">
    <cfRule type="expression" dxfId="3" priority="608">
      <formula>OR($M457="Validado",$M457="Finalizado",LEFT($D457,10)="Finalizado")</formula>
    </cfRule>
  </conditionalFormatting>
  <conditionalFormatting sqref="A457:N457">
    <cfRule type="expression" dxfId="4" priority="609">
      <formula>AND($M457="Pendente",LEFT($D457,10)&lt;&gt;"Finalizado")</formula>
    </cfRule>
  </conditionalFormatting>
  <conditionalFormatting sqref="A458:N458">
    <cfRule type="expression" dxfId="3" priority="610">
      <formula>OR($M458="Validado",$M458="Finalizado",LEFT($D458,10)="Finalizado")</formula>
    </cfRule>
  </conditionalFormatting>
  <conditionalFormatting sqref="A458:N458">
    <cfRule type="expression" dxfId="4" priority="611">
      <formula>AND($M458="Pendente",LEFT($D458,10)&lt;&gt;"Finalizado")</formula>
    </cfRule>
  </conditionalFormatting>
  <conditionalFormatting sqref="A459:N459">
    <cfRule type="expression" dxfId="3" priority="612">
      <formula>OR($M459="Validado",$M459="Finalizado",LEFT($D459,10)="Finalizado")</formula>
    </cfRule>
  </conditionalFormatting>
  <conditionalFormatting sqref="A459:N459">
    <cfRule type="expression" dxfId="4" priority="613">
      <formula>AND($M459="Pendente",LEFT($D459,10)&lt;&gt;"Finalizado")</formula>
    </cfRule>
  </conditionalFormatting>
  <conditionalFormatting sqref="A460:N460">
    <cfRule type="expression" dxfId="3" priority="614">
      <formula>OR($M460="Validado",$M460="Finalizado",LEFT($D460,10)="Finalizado")</formula>
    </cfRule>
  </conditionalFormatting>
  <conditionalFormatting sqref="A460:N460">
    <cfRule type="expression" dxfId="4" priority="615">
      <formula>AND($M460="Pendente",LEFT($D460,10)&lt;&gt;"Finalizado")</formula>
    </cfRule>
  </conditionalFormatting>
  <conditionalFormatting sqref="A461:N461">
    <cfRule type="expression" dxfId="3" priority="616">
      <formula>OR($M461="Validado",$M461="Finalizado",LEFT($D461,10)="Finalizado")</formula>
    </cfRule>
  </conditionalFormatting>
  <conditionalFormatting sqref="A461:N461">
    <cfRule type="expression" dxfId="4" priority="617">
      <formula>AND($M461="Pendente",LEFT($D461,10)&lt;&gt;"Finalizado")</formula>
    </cfRule>
  </conditionalFormatting>
  <conditionalFormatting sqref="A462:N462">
    <cfRule type="expression" dxfId="3" priority="618">
      <formula>OR($M462="Validado",$M462="Finalizado",LEFT($D462,10)="Finalizado")</formula>
    </cfRule>
  </conditionalFormatting>
  <conditionalFormatting sqref="A462:N462">
    <cfRule type="expression" dxfId="4" priority="619">
      <formula>AND($M462="Pendente",LEFT($D462,10)&lt;&gt;"Finalizado")</formula>
    </cfRule>
  </conditionalFormatting>
  <conditionalFormatting sqref="A463:N463">
    <cfRule type="expression" dxfId="3" priority="620">
      <formula>OR($M463="Validado",$M463="Finalizado",LEFT($D463,10)="Finalizado")</formula>
    </cfRule>
  </conditionalFormatting>
  <conditionalFormatting sqref="A463:N463">
    <cfRule type="expression" dxfId="4" priority="621">
      <formula>AND($M463="Pendente",LEFT($D463,10)&lt;&gt;"Finalizado")</formula>
    </cfRule>
  </conditionalFormatting>
  <conditionalFormatting sqref="A464:N464">
    <cfRule type="expression" dxfId="3" priority="622">
      <formula>OR($M464="Validado",$M464="Finalizado",LEFT($D464,10)="Finalizado")</formula>
    </cfRule>
  </conditionalFormatting>
  <conditionalFormatting sqref="A464:N464">
    <cfRule type="expression" dxfId="4" priority="623">
      <formula>AND($M464="Pendente",LEFT($D464,10)&lt;&gt;"Finalizado")</formula>
    </cfRule>
  </conditionalFormatting>
  <conditionalFormatting sqref="A465:N465">
    <cfRule type="expression" dxfId="3" priority="624">
      <formula>OR($M465="Validado",$M465="Finalizado",LEFT($D465,10)="Finalizado")</formula>
    </cfRule>
  </conditionalFormatting>
  <conditionalFormatting sqref="A465:N465">
    <cfRule type="expression" dxfId="4" priority="625">
      <formula>AND($M465="Pendente",LEFT($D465,10)&lt;&gt;"Finalizado")</formula>
    </cfRule>
  </conditionalFormatting>
  <conditionalFormatting sqref="A466:N466">
    <cfRule type="expression" dxfId="3" priority="626">
      <formula>OR($M466="Validado",$M466="Finalizado",LEFT($D466,10)="Finalizado")</formula>
    </cfRule>
  </conditionalFormatting>
  <conditionalFormatting sqref="A466:N466">
    <cfRule type="expression" dxfId="4" priority="627">
      <formula>AND($M466="Pendente",LEFT($D466,10)&lt;&gt;"Finalizado")</formula>
    </cfRule>
  </conditionalFormatting>
  <conditionalFormatting sqref="A467:N467">
    <cfRule type="expression" dxfId="3" priority="628">
      <formula>OR($M467="Validado",$M467="Finalizado",LEFT($D467,10)="Finalizado")</formula>
    </cfRule>
  </conditionalFormatting>
  <conditionalFormatting sqref="A467:N467">
    <cfRule type="expression" dxfId="4" priority="629">
      <formula>AND($M467="Pendente",LEFT($D467,10)&lt;&gt;"Finalizado")</formula>
    </cfRule>
  </conditionalFormatting>
  <conditionalFormatting sqref="A472:N500">
    <cfRule type="expression" dxfId="5" priority="630">
      <formula>OR($M472="Validado",$M472="Finalizado")</formula>
    </cfRule>
  </conditionalFormatting>
  <conditionalFormatting sqref="A472:N500">
    <cfRule type="expression" dxfId="6" priority="631">
      <formula>AND($M472="Pendente",NOT(ISNUMBER(SEARCH("Falta Justificada",$D472))),NOT(ISNUMBER(SEARCH("Cancelado",$D472))),NOT(ISNUMBER(SEARCH("Desmarcado",$D472))))</formula>
    </cfRule>
  </conditionalFormatting>
  <conditionalFormatting sqref="A505:N505">
    <cfRule type="expression" dxfId="5" priority="632">
      <formula>OR($M505="Validado",$M505="Finalizado")</formula>
    </cfRule>
  </conditionalFormatting>
  <conditionalFormatting sqref="A505:N505">
    <cfRule type="expression" dxfId="6" priority="633">
      <formula>AND($M505="Pendente",NOT(ISNUMBER(SEARCH("Falta Justificada",$D505))),NOT(ISNUMBER(SEARCH("Cancelado",$D505))),NOT(ISNUMBER(SEARCH("Desmarcado",$D505))))</formula>
    </cfRule>
  </conditionalFormatting>
  <conditionalFormatting sqref="A510:N556">
    <cfRule type="expression" dxfId="5" priority="634">
      <formula>OR($M510="Validado",$M510="Finalizado")</formula>
    </cfRule>
  </conditionalFormatting>
  <conditionalFormatting sqref="A510:N556">
    <cfRule type="expression" dxfId="6" priority="635">
      <formula>AND($M510="Pendente",NOT(ISNUMBER(SEARCH("Falta Justificada",$D510))),NOT(ISNUMBER(SEARCH("Cancelado",$D510))),NOT(ISNUMBER(SEARCH("Desmarcado",$D510))))</formula>
    </cfRule>
  </conditionalFormatting>
  <dataValidations>
    <dataValidation type="list" allowBlank="1" sqref="M6:M43 M48:M74 M79 M83:M119 M124:M169 M174:M212 M217 M222:M259 M264:M296 M301:M341 M346:M387 M392 M397:M437 M442:M467 M472:M500 M505 M510:M556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5.63"/>
    <col customWidth="1" min="3" max="3" width="15.25"/>
    <col customWidth="1" min="4" max="4" width="10.38"/>
    <col customWidth="1" min="5" max="5" width="28.0"/>
    <col customWidth="1" min="6" max="6" width="30.0"/>
    <col customWidth="1" min="7" max="7" width="24.88"/>
    <col customWidth="1" min="8" max="8" width="10.0"/>
    <col customWidth="1" min="9" max="9" width="20.0"/>
    <col customWidth="1" min="10" max="10" width="12.5"/>
    <col customWidth="1" min="11" max="11" width="41.0"/>
    <col customWidth="1" min="12" max="12" width="13.13"/>
    <col customWidth="1" min="13" max="13" width="18.0"/>
    <col customWidth="1" min="14" max="14" width="22.63"/>
  </cols>
  <sheetData>
    <row r="1">
      <c r="A1" s="1" t="s">
        <v>0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/>
      <c r="K6" s="5" t="s">
        <v>28</v>
      </c>
      <c r="L6" s="5" t="s">
        <v>29</v>
      </c>
      <c r="M6" s="5" t="s">
        <v>30</v>
      </c>
      <c r="N6" s="5"/>
    </row>
    <row r="8">
      <c r="A8" s="3" t="s">
        <v>31</v>
      </c>
    </row>
    <row r="9">
      <c r="A9" s="4" t="s">
        <v>4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  <c r="N9" s="4" t="s">
        <v>18</v>
      </c>
    </row>
    <row r="10">
      <c r="A10" s="5" t="s">
        <v>19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24</v>
      </c>
      <c r="G10" s="5" t="s">
        <v>25</v>
      </c>
      <c r="H10" s="5" t="s">
        <v>38</v>
      </c>
      <c r="I10" s="5" t="s">
        <v>39</v>
      </c>
      <c r="J10" s="5"/>
      <c r="K10" s="5" t="s">
        <v>40</v>
      </c>
      <c r="L10" s="5" t="s">
        <v>29</v>
      </c>
      <c r="M10" s="5" t="s">
        <v>30</v>
      </c>
      <c r="N10" s="5"/>
    </row>
    <row r="11">
      <c r="A11" s="5" t="s">
        <v>19</v>
      </c>
      <c r="B11" s="5" t="s">
        <v>47</v>
      </c>
      <c r="C11" s="5" t="s">
        <v>50</v>
      </c>
      <c r="D11" s="5" t="s">
        <v>52</v>
      </c>
      <c r="E11" s="5" t="s">
        <v>53</v>
      </c>
      <c r="F11" s="5" t="s">
        <v>24</v>
      </c>
      <c r="G11" s="5" t="s">
        <v>54</v>
      </c>
      <c r="H11" s="5" t="s">
        <v>55</v>
      </c>
      <c r="I11" s="5" t="s">
        <v>56</v>
      </c>
      <c r="J11" s="5"/>
      <c r="K11" s="5" t="s">
        <v>57</v>
      </c>
      <c r="L11" s="5" t="s">
        <v>58</v>
      </c>
      <c r="M11" s="5" t="s">
        <v>59</v>
      </c>
      <c r="N11" s="5"/>
    </row>
    <row r="12">
      <c r="A12" s="5" t="s">
        <v>19</v>
      </c>
      <c r="B12" s="5" t="s">
        <v>60</v>
      </c>
      <c r="C12" s="5" t="s">
        <v>61</v>
      </c>
      <c r="D12" s="5" t="s">
        <v>63</v>
      </c>
      <c r="E12" s="5" t="s">
        <v>65</v>
      </c>
      <c r="F12" s="5" t="s">
        <v>24</v>
      </c>
      <c r="G12" s="5" t="s">
        <v>25</v>
      </c>
      <c r="H12" s="5" t="s">
        <v>66</v>
      </c>
      <c r="I12" s="5" t="s">
        <v>72</v>
      </c>
      <c r="J12" s="5"/>
      <c r="K12" s="5" t="s">
        <v>28</v>
      </c>
      <c r="L12" s="5" t="s">
        <v>29</v>
      </c>
      <c r="M12" s="5" t="s">
        <v>30</v>
      </c>
      <c r="N12" s="5"/>
    </row>
    <row r="13">
      <c r="A13" s="5" t="s">
        <v>19</v>
      </c>
      <c r="B13" s="5" t="s">
        <v>82</v>
      </c>
      <c r="C13" s="5" t="s">
        <v>62</v>
      </c>
      <c r="D13" s="5" t="s">
        <v>84</v>
      </c>
      <c r="E13" s="5" t="s">
        <v>77</v>
      </c>
      <c r="F13" s="5" t="s">
        <v>85</v>
      </c>
      <c r="G13" s="5" t="s">
        <v>87</v>
      </c>
      <c r="H13" s="5" t="s">
        <v>88</v>
      </c>
      <c r="I13" s="5" t="s">
        <v>89</v>
      </c>
      <c r="J13" s="5"/>
      <c r="K13" s="5" t="s">
        <v>91</v>
      </c>
      <c r="L13" s="5" t="s">
        <v>29</v>
      </c>
      <c r="M13" s="5" t="s">
        <v>30</v>
      </c>
      <c r="N13" s="5"/>
    </row>
    <row r="14">
      <c r="A14" s="5" t="s">
        <v>19</v>
      </c>
      <c r="B14" s="5" t="s">
        <v>82</v>
      </c>
      <c r="C14" s="5" t="s">
        <v>62</v>
      </c>
      <c r="D14" s="5" t="s">
        <v>99</v>
      </c>
      <c r="E14" s="5" t="s">
        <v>77</v>
      </c>
      <c r="F14" s="5" t="s">
        <v>24</v>
      </c>
      <c r="G14" s="5" t="s">
        <v>25</v>
      </c>
      <c r="H14" s="5" t="s">
        <v>105</v>
      </c>
      <c r="I14" s="5" t="s">
        <v>89</v>
      </c>
      <c r="J14" s="5"/>
      <c r="K14" s="5" t="s">
        <v>107</v>
      </c>
      <c r="L14" s="5" t="s">
        <v>29</v>
      </c>
      <c r="M14" s="5" t="s">
        <v>30</v>
      </c>
      <c r="N14" s="5"/>
    </row>
    <row r="15">
      <c r="A15" s="5" t="s">
        <v>19</v>
      </c>
      <c r="B15" s="5" t="s">
        <v>110</v>
      </c>
      <c r="C15" s="5" t="s">
        <v>112</v>
      </c>
      <c r="D15" s="5" t="s">
        <v>114</v>
      </c>
      <c r="E15" s="5" t="s">
        <v>73</v>
      </c>
      <c r="F15" s="5" t="s">
        <v>24</v>
      </c>
      <c r="G15" s="5" t="s">
        <v>25</v>
      </c>
      <c r="H15" s="5" t="s">
        <v>117</v>
      </c>
      <c r="I15" s="5" t="s">
        <v>118</v>
      </c>
      <c r="J15" s="5"/>
      <c r="K15" s="5" t="s">
        <v>40</v>
      </c>
      <c r="L15" s="5" t="s">
        <v>29</v>
      </c>
      <c r="M15" s="5" t="s">
        <v>30</v>
      </c>
      <c r="N15" s="5"/>
    </row>
    <row r="16">
      <c r="A16" s="5" t="s">
        <v>19</v>
      </c>
      <c r="B16" s="5" t="s">
        <v>123</v>
      </c>
      <c r="C16" s="5" t="s">
        <v>50</v>
      </c>
      <c r="D16" s="5" t="s">
        <v>114</v>
      </c>
      <c r="E16" s="5" t="s">
        <v>73</v>
      </c>
      <c r="F16" s="5" t="s">
        <v>24</v>
      </c>
      <c r="G16" s="5" t="s">
        <v>25</v>
      </c>
      <c r="H16" s="5" t="s">
        <v>117</v>
      </c>
      <c r="I16" s="5" t="s">
        <v>131</v>
      </c>
      <c r="J16" s="5"/>
      <c r="K16" s="5" t="s">
        <v>40</v>
      </c>
      <c r="L16" s="5" t="s">
        <v>29</v>
      </c>
      <c r="M16" s="5" t="s">
        <v>30</v>
      </c>
      <c r="N16" s="5"/>
    </row>
    <row r="17">
      <c r="A17" s="5" t="s">
        <v>19</v>
      </c>
      <c r="B17" s="5" t="s">
        <v>141</v>
      </c>
      <c r="C17" s="5" t="s">
        <v>142</v>
      </c>
      <c r="D17" s="5" t="s">
        <v>63</v>
      </c>
      <c r="E17" s="5" t="s">
        <v>37</v>
      </c>
      <c r="F17" s="5" t="s">
        <v>24</v>
      </c>
      <c r="G17" s="5" t="s">
        <v>25</v>
      </c>
      <c r="H17" s="5" t="s">
        <v>66</v>
      </c>
      <c r="I17" s="5" t="s">
        <v>147</v>
      </c>
      <c r="J17" s="5"/>
      <c r="K17" s="5" t="s">
        <v>28</v>
      </c>
      <c r="L17" s="5" t="s">
        <v>29</v>
      </c>
      <c r="M17" s="5" t="s">
        <v>30</v>
      </c>
      <c r="N17" s="5"/>
    </row>
    <row r="18">
      <c r="A18" s="5" t="s">
        <v>19</v>
      </c>
      <c r="B18" s="5" t="s">
        <v>150</v>
      </c>
      <c r="C18" s="5" t="s">
        <v>112</v>
      </c>
      <c r="D18" s="5" t="s">
        <v>64</v>
      </c>
      <c r="E18" s="5" t="s">
        <v>53</v>
      </c>
      <c r="F18" s="5" t="s">
        <v>24</v>
      </c>
      <c r="G18" s="5" t="s">
        <v>25</v>
      </c>
      <c r="H18" s="5" t="s">
        <v>70</v>
      </c>
      <c r="I18" s="5" t="s">
        <v>152</v>
      </c>
      <c r="J18" s="5"/>
      <c r="K18" s="5" t="s">
        <v>40</v>
      </c>
      <c r="L18" s="5" t="s">
        <v>29</v>
      </c>
      <c r="M18" s="5" t="s">
        <v>30</v>
      </c>
      <c r="N18" s="5"/>
    </row>
    <row r="19">
      <c r="A19" s="5" t="s">
        <v>19</v>
      </c>
      <c r="B19" s="5" t="s">
        <v>163</v>
      </c>
      <c r="C19" s="5" t="s">
        <v>111</v>
      </c>
      <c r="D19" s="5" t="s">
        <v>44</v>
      </c>
      <c r="E19" s="5" t="s">
        <v>77</v>
      </c>
      <c r="F19" s="5" t="s">
        <v>24</v>
      </c>
      <c r="G19" s="5" t="s">
        <v>25</v>
      </c>
      <c r="H19" s="5" t="s">
        <v>49</v>
      </c>
      <c r="I19" s="5">
        <v>8.30851089E8</v>
      </c>
      <c r="J19" s="5"/>
      <c r="K19" s="5" t="s">
        <v>28</v>
      </c>
      <c r="L19" s="5" t="s">
        <v>29</v>
      </c>
      <c r="M19" s="5" t="s">
        <v>30</v>
      </c>
      <c r="N19" s="5"/>
    </row>
    <row r="20">
      <c r="A20" s="5" t="s">
        <v>19</v>
      </c>
      <c r="B20" s="5" t="s">
        <v>171</v>
      </c>
      <c r="C20" s="5" t="s">
        <v>111</v>
      </c>
      <c r="D20" s="5" t="s">
        <v>36</v>
      </c>
      <c r="E20" s="5" t="s">
        <v>37</v>
      </c>
      <c r="F20" s="5" t="s">
        <v>24</v>
      </c>
      <c r="G20" s="5" t="s">
        <v>54</v>
      </c>
      <c r="H20" s="5" t="s">
        <v>38</v>
      </c>
      <c r="I20" s="5">
        <v>0.0</v>
      </c>
      <c r="J20" s="5"/>
      <c r="K20" s="5" t="s">
        <v>40</v>
      </c>
      <c r="L20" s="5" t="s">
        <v>29</v>
      </c>
      <c r="M20" s="5" t="s">
        <v>30</v>
      </c>
      <c r="N20" s="5"/>
    </row>
    <row r="21" ht="15.75" customHeight="1">
      <c r="A21" s="5" t="s">
        <v>19</v>
      </c>
      <c r="B21" s="5" t="s">
        <v>182</v>
      </c>
      <c r="C21" s="5" t="s">
        <v>35</v>
      </c>
      <c r="D21" s="5" t="s">
        <v>64</v>
      </c>
      <c r="E21" s="5" t="s">
        <v>53</v>
      </c>
      <c r="F21" s="5" t="s">
        <v>24</v>
      </c>
      <c r="G21" s="5"/>
      <c r="H21" s="5" t="s">
        <v>70</v>
      </c>
      <c r="I21" s="5" t="s">
        <v>192</v>
      </c>
      <c r="J21" s="5"/>
      <c r="K21" s="5" t="s">
        <v>40</v>
      </c>
      <c r="L21" s="5" t="s">
        <v>29</v>
      </c>
      <c r="M21" s="5" t="s">
        <v>30</v>
      </c>
      <c r="N21" s="5"/>
    </row>
    <row r="22" ht="15.75" customHeight="1">
      <c r="A22" s="5" t="s">
        <v>19</v>
      </c>
      <c r="B22" s="5" t="s">
        <v>200</v>
      </c>
      <c r="C22" s="5" t="s">
        <v>202</v>
      </c>
      <c r="D22" s="5" t="s">
        <v>204</v>
      </c>
      <c r="E22" s="5" t="s">
        <v>136</v>
      </c>
      <c r="F22" s="5" t="s">
        <v>138</v>
      </c>
      <c r="G22" s="5" t="s">
        <v>207</v>
      </c>
      <c r="H22" s="5" t="s">
        <v>209</v>
      </c>
      <c r="I22" s="5">
        <v>8.3137156E8</v>
      </c>
      <c r="J22" s="5"/>
      <c r="K22" s="5" t="s">
        <v>28</v>
      </c>
      <c r="L22" s="5" t="s">
        <v>29</v>
      </c>
      <c r="M22" s="5" t="s">
        <v>30</v>
      </c>
      <c r="N22" s="5"/>
    </row>
    <row r="23" ht="15.75" customHeight="1">
      <c r="A23" s="5" t="s">
        <v>19</v>
      </c>
      <c r="B23" s="5" t="s">
        <v>214</v>
      </c>
      <c r="C23" s="5" t="s">
        <v>94</v>
      </c>
      <c r="D23" s="5" t="s">
        <v>216</v>
      </c>
      <c r="E23" s="5" t="s">
        <v>77</v>
      </c>
      <c r="F23" s="5" t="s">
        <v>24</v>
      </c>
      <c r="G23" s="5" t="s">
        <v>25</v>
      </c>
      <c r="H23" s="5" t="s">
        <v>222</v>
      </c>
      <c r="I23" s="5" t="s">
        <v>223</v>
      </c>
      <c r="J23" s="5" t="s">
        <v>225</v>
      </c>
      <c r="K23" s="5" t="s">
        <v>28</v>
      </c>
      <c r="L23" s="5" t="s">
        <v>29</v>
      </c>
      <c r="M23" s="5" t="s">
        <v>30</v>
      </c>
      <c r="N23" s="5"/>
    </row>
    <row r="24" ht="15.75" customHeight="1"/>
    <row r="25" ht="15.75" customHeight="1">
      <c r="A25" s="2" t="s">
        <v>170</v>
      </c>
    </row>
    <row r="26" ht="15.75" customHeight="1">
      <c r="A26" s="3" t="s">
        <v>3</v>
      </c>
    </row>
    <row r="27" ht="15.75" customHeight="1">
      <c r="A27" s="4" t="s">
        <v>4</v>
      </c>
      <c r="B27" s="4" t="s">
        <v>6</v>
      </c>
      <c r="C27" s="4" t="s">
        <v>7</v>
      </c>
      <c r="D27" s="4" t="s">
        <v>8</v>
      </c>
      <c r="E27" s="4" t="s">
        <v>9</v>
      </c>
      <c r="F27" s="4" t="s">
        <v>10</v>
      </c>
      <c r="G27" s="4" t="s">
        <v>11</v>
      </c>
      <c r="H27" s="4" t="s">
        <v>12</v>
      </c>
      <c r="I27" s="4" t="s">
        <v>13</v>
      </c>
      <c r="J27" s="4" t="s">
        <v>14</v>
      </c>
      <c r="K27" s="4" t="s">
        <v>15</v>
      </c>
      <c r="L27" s="4" t="s">
        <v>16</v>
      </c>
      <c r="M27" s="4" t="s">
        <v>17</v>
      </c>
      <c r="N27" s="4" t="s">
        <v>18</v>
      </c>
    </row>
    <row r="28" ht="15.75" customHeight="1">
      <c r="A28" s="5" t="s">
        <v>183</v>
      </c>
      <c r="B28" s="5" t="s">
        <v>20</v>
      </c>
      <c r="C28" s="5" t="s">
        <v>21</v>
      </c>
      <c r="D28" s="5" t="s">
        <v>237</v>
      </c>
      <c r="E28" s="5" t="s">
        <v>242</v>
      </c>
      <c r="F28" s="5" t="s">
        <v>244</v>
      </c>
      <c r="G28" s="5" t="s">
        <v>246</v>
      </c>
      <c r="H28" s="5" t="s">
        <v>247</v>
      </c>
      <c r="I28" s="5" t="s">
        <v>27</v>
      </c>
      <c r="J28" s="5" t="s">
        <v>248</v>
      </c>
      <c r="K28" s="5" t="s">
        <v>28</v>
      </c>
      <c r="L28" s="5" t="s">
        <v>29</v>
      </c>
      <c r="M28" s="5" t="s">
        <v>30</v>
      </c>
      <c r="N28" s="5"/>
    </row>
    <row r="29" ht="15.75" customHeight="1"/>
    <row r="30" ht="15.75" customHeight="1">
      <c r="A30" s="3" t="s">
        <v>252</v>
      </c>
    </row>
    <row r="31" ht="15.75" customHeight="1">
      <c r="A31" s="4" t="s">
        <v>4</v>
      </c>
      <c r="B31" s="4" t="s">
        <v>6</v>
      </c>
      <c r="C31" s="4" t="s">
        <v>7</v>
      </c>
      <c r="D31" s="4" t="s">
        <v>8</v>
      </c>
      <c r="E31" s="4" t="s">
        <v>9</v>
      </c>
      <c r="F31" s="4" t="s">
        <v>10</v>
      </c>
      <c r="G31" s="4" t="s">
        <v>11</v>
      </c>
      <c r="H31" s="4" t="s">
        <v>12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</row>
    <row r="32" ht="15.75" customHeight="1">
      <c r="A32" s="5" t="s">
        <v>183</v>
      </c>
      <c r="B32" s="5" t="s">
        <v>266</v>
      </c>
      <c r="C32" s="5" t="s">
        <v>124</v>
      </c>
      <c r="D32" s="5" t="s">
        <v>187</v>
      </c>
      <c r="E32" s="5" t="s">
        <v>37</v>
      </c>
      <c r="F32" s="5" t="s">
        <v>24</v>
      </c>
      <c r="G32" s="5" t="s">
        <v>25</v>
      </c>
      <c r="H32" s="5" t="s">
        <v>55</v>
      </c>
      <c r="I32" s="5" t="s">
        <v>273</v>
      </c>
      <c r="J32" s="5"/>
      <c r="K32" s="5" t="s">
        <v>28</v>
      </c>
      <c r="L32" s="5" t="s">
        <v>29</v>
      </c>
      <c r="M32" s="5" t="s">
        <v>30</v>
      </c>
      <c r="N32" s="5"/>
    </row>
    <row r="33" ht="15.75" customHeight="1">
      <c r="A33" s="5" t="s">
        <v>183</v>
      </c>
      <c r="B33" s="5" t="s">
        <v>278</v>
      </c>
      <c r="C33" s="5" t="s">
        <v>94</v>
      </c>
      <c r="D33" s="5" t="s">
        <v>125</v>
      </c>
      <c r="E33" s="5" t="s">
        <v>280</v>
      </c>
      <c r="F33" s="5" t="s">
        <v>67</v>
      </c>
      <c r="G33" s="5" t="s">
        <v>281</v>
      </c>
      <c r="H33" s="5" t="s">
        <v>130</v>
      </c>
      <c r="I33" s="5" t="s">
        <v>283</v>
      </c>
      <c r="J33" s="5"/>
      <c r="K33" s="5" t="s">
        <v>28</v>
      </c>
      <c r="L33" s="5" t="s">
        <v>29</v>
      </c>
      <c r="M33" s="5" t="s">
        <v>30</v>
      </c>
      <c r="N33" s="5"/>
    </row>
    <row r="34" ht="15.75" customHeight="1">
      <c r="A34" s="5" t="s">
        <v>183</v>
      </c>
      <c r="B34" s="5" t="s">
        <v>285</v>
      </c>
      <c r="C34" s="5" t="s">
        <v>21</v>
      </c>
      <c r="D34" s="5" t="s">
        <v>125</v>
      </c>
      <c r="E34" s="5" t="s">
        <v>37</v>
      </c>
      <c r="F34" s="5" t="s">
        <v>24</v>
      </c>
      <c r="G34" s="5" t="s">
        <v>25</v>
      </c>
      <c r="H34" s="5" t="s">
        <v>130</v>
      </c>
      <c r="I34" s="5" t="s">
        <v>290</v>
      </c>
      <c r="J34" s="5"/>
      <c r="K34" s="5" t="s">
        <v>28</v>
      </c>
      <c r="L34" s="5" t="s">
        <v>29</v>
      </c>
      <c r="M34" s="5" t="s">
        <v>30</v>
      </c>
      <c r="N34" s="5"/>
    </row>
    <row r="35" ht="15.75" customHeight="1">
      <c r="A35" s="5" t="s">
        <v>183</v>
      </c>
      <c r="B35" s="5" t="s">
        <v>292</v>
      </c>
      <c r="C35" s="5" t="s">
        <v>124</v>
      </c>
      <c r="D35" s="5" t="s">
        <v>293</v>
      </c>
      <c r="E35" s="5" t="s">
        <v>196</v>
      </c>
      <c r="F35" s="5" t="s">
        <v>138</v>
      </c>
      <c r="G35" s="5"/>
      <c r="H35" s="5" t="s">
        <v>294</v>
      </c>
      <c r="I35" s="5">
        <v>8.31392924E8</v>
      </c>
      <c r="J35" s="5" t="s">
        <v>296</v>
      </c>
      <c r="K35" s="5" t="s">
        <v>40</v>
      </c>
      <c r="L35" s="5" t="s">
        <v>29</v>
      </c>
      <c r="M35" s="5" t="s">
        <v>30</v>
      </c>
      <c r="N35" s="5"/>
    </row>
    <row r="36" ht="15.75" customHeight="1">
      <c r="A36" s="5" t="s">
        <v>183</v>
      </c>
      <c r="B36" s="5" t="s">
        <v>110</v>
      </c>
      <c r="C36" s="5" t="s">
        <v>235</v>
      </c>
      <c r="D36" s="5" t="s">
        <v>301</v>
      </c>
      <c r="E36" s="5" t="s">
        <v>95</v>
      </c>
      <c r="F36" s="5" t="s">
        <v>113</v>
      </c>
      <c r="G36" s="5" t="s">
        <v>305</v>
      </c>
      <c r="H36" s="5" t="s">
        <v>306</v>
      </c>
      <c r="I36" s="5" t="s">
        <v>118</v>
      </c>
      <c r="J36" s="5"/>
      <c r="K36" s="5" t="s">
        <v>28</v>
      </c>
      <c r="L36" s="5" t="s">
        <v>29</v>
      </c>
      <c r="M36" s="5" t="s">
        <v>30</v>
      </c>
      <c r="N36" s="5"/>
    </row>
    <row r="37" ht="15.75" customHeight="1">
      <c r="A37" s="5" t="s">
        <v>183</v>
      </c>
      <c r="B37" s="5" t="s">
        <v>123</v>
      </c>
      <c r="C37" s="5" t="s">
        <v>94</v>
      </c>
      <c r="D37" s="5" t="s">
        <v>312</v>
      </c>
      <c r="E37" s="5" t="s">
        <v>280</v>
      </c>
      <c r="F37" s="5" t="s">
        <v>113</v>
      </c>
      <c r="G37" s="5" t="s">
        <v>305</v>
      </c>
      <c r="H37" s="5" t="s">
        <v>313</v>
      </c>
      <c r="I37" s="5" t="s">
        <v>131</v>
      </c>
      <c r="J37" s="5" t="s">
        <v>315</v>
      </c>
      <c r="K37" s="5" t="s">
        <v>107</v>
      </c>
      <c r="L37" s="5" t="s">
        <v>29</v>
      </c>
      <c r="M37" s="5" t="s">
        <v>30</v>
      </c>
      <c r="N37" s="5"/>
    </row>
    <row r="38" ht="15.75" customHeight="1">
      <c r="A38" s="5" t="s">
        <v>183</v>
      </c>
      <c r="B38" s="5" t="s">
        <v>318</v>
      </c>
      <c r="C38" s="5" t="s">
        <v>177</v>
      </c>
      <c r="D38" s="5" t="s">
        <v>328</v>
      </c>
      <c r="E38" s="5" t="s">
        <v>53</v>
      </c>
      <c r="F38" s="5" t="s">
        <v>24</v>
      </c>
      <c r="G38" s="5" t="s">
        <v>25</v>
      </c>
      <c r="H38" s="5" t="s">
        <v>336</v>
      </c>
      <c r="I38" s="5" t="s">
        <v>347</v>
      </c>
      <c r="J38" s="5"/>
      <c r="K38" s="5" t="s">
        <v>57</v>
      </c>
      <c r="L38" s="5" t="s">
        <v>58</v>
      </c>
      <c r="M38" s="5" t="s">
        <v>59</v>
      </c>
      <c r="N38" s="5"/>
    </row>
    <row r="39" ht="15.75" customHeight="1">
      <c r="A39" s="5" t="s">
        <v>183</v>
      </c>
      <c r="B39" s="5" t="s">
        <v>364</v>
      </c>
      <c r="C39" s="5" t="s">
        <v>62</v>
      </c>
      <c r="D39" s="5" t="s">
        <v>63</v>
      </c>
      <c r="E39" s="5" t="s">
        <v>211</v>
      </c>
      <c r="F39" s="5" t="s">
        <v>24</v>
      </c>
      <c r="G39" s="5" t="s">
        <v>25</v>
      </c>
      <c r="H39" s="5" t="s">
        <v>66</v>
      </c>
      <c r="I39" s="5" t="s">
        <v>368</v>
      </c>
      <c r="J39" s="5"/>
      <c r="K39" s="5" t="s">
        <v>28</v>
      </c>
      <c r="L39" s="5" t="s">
        <v>29</v>
      </c>
      <c r="M39" s="5" t="s">
        <v>30</v>
      </c>
      <c r="N39" s="5"/>
    </row>
    <row r="40" ht="15.75" customHeight="1">
      <c r="A40" s="5" t="s">
        <v>183</v>
      </c>
      <c r="B40" s="5" t="s">
        <v>163</v>
      </c>
      <c r="C40" s="5" t="s">
        <v>111</v>
      </c>
      <c r="D40" s="5" t="s">
        <v>36</v>
      </c>
      <c r="E40" s="5" t="s">
        <v>37</v>
      </c>
      <c r="F40" s="5" t="s">
        <v>24</v>
      </c>
      <c r="G40" s="5" t="s">
        <v>25</v>
      </c>
      <c r="H40" s="5" t="s">
        <v>38</v>
      </c>
      <c r="I40" s="5">
        <v>8.30851089E8</v>
      </c>
      <c r="J40" s="5"/>
      <c r="K40" s="5" t="s">
        <v>40</v>
      </c>
      <c r="L40" s="5" t="s">
        <v>29</v>
      </c>
      <c r="M40" s="5" t="s">
        <v>30</v>
      </c>
      <c r="N40" s="5"/>
    </row>
    <row r="41" ht="15.75" customHeight="1">
      <c r="A41" s="5" t="s">
        <v>183</v>
      </c>
      <c r="B41" s="5" t="s">
        <v>378</v>
      </c>
      <c r="C41" s="5" t="s">
        <v>50</v>
      </c>
      <c r="D41" s="5" t="s">
        <v>380</v>
      </c>
      <c r="E41" s="5" t="s">
        <v>196</v>
      </c>
      <c r="F41" s="5" t="s">
        <v>255</v>
      </c>
      <c r="G41" s="5" t="s">
        <v>383</v>
      </c>
      <c r="H41" s="5" t="s">
        <v>384</v>
      </c>
      <c r="I41" s="5" t="s">
        <v>385</v>
      </c>
      <c r="J41" s="5"/>
      <c r="K41" s="5" t="s">
        <v>28</v>
      </c>
      <c r="L41" s="5" t="s">
        <v>29</v>
      </c>
      <c r="M41" s="5" t="s">
        <v>30</v>
      </c>
      <c r="N41" s="5"/>
    </row>
    <row r="42" ht="15.75" customHeight="1">
      <c r="A42" s="5" t="s">
        <v>183</v>
      </c>
      <c r="B42" s="5" t="s">
        <v>388</v>
      </c>
      <c r="C42" s="5" t="s">
        <v>133</v>
      </c>
      <c r="D42" s="5" t="s">
        <v>389</v>
      </c>
      <c r="E42" s="5" t="s">
        <v>37</v>
      </c>
      <c r="F42" s="5" t="s">
        <v>24</v>
      </c>
      <c r="G42" s="5" t="s">
        <v>54</v>
      </c>
      <c r="H42" s="5" t="s">
        <v>390</v>
      </c>
      <c r="I42" s="5" t="s">
        <v>391</v>
      </c>
      <c r="J42" s="5" t="s">
        <v>392</v>
      </c>
      <c r="K42" s="5" t="s">
        <v>28</v>
      </c>
      <c r="L42" s="5" t="s">
        <v>29</v>
      </c>
      <c r="M42" s="5" t="s">
        <v>30</v>
      </c>
      <c r="N42" s="5"/>
    </row>
    <row r="43" ht="15.75" customHeight="1">
      <c r="A43" s="5" t="s">
        <v>183</v>
      </c>
      <c r="B43" s="5" t="s">
        <v>214</v>
      </c>
      <c r="C43" s="5" t="s">
        <v>35</v>
      </c>
      <c r="D43" s="5" t="s">
        <v>307</v>
      </c>
      <c r="E43" s="5" t="s">
        <v>196</v>
      </c>
      <c r="F43" s="5" t="s">
        <v>138</v>
      </c>
      <c r="G43" s="5" t="s">
        <v>383</v>
      </c>
      <c r="H43" s="5" t="s">
        <v>308</v>
      </c>
      <c r="I43" s="5" t="s">
        <v>223</v>
      </c>
      <c r="J43" s="5"/>
      <c r="K43" s="5" t="s">
        <v>28</v>
      </c>
      <c r="L43" s="5" t="s">
        <v>29</v>
      </c>
      <c r="M43" s="5" t="s">
        <v>30</v>
      </c>
      <c r="N43" s="5"/>
    </row>
    <row r="44" ht="15.75" customHeight="1">
      <c r="A44" s="5" t="s">
        <v>183</v>
      </c>
      <c r="B44" s="5" t="s">
        <v>404</v>
      </c>
      <c r="C44" s="5" t="s">
        <v>61</v>
      </c>
      <c r="D44" s="5" t="s">
        <v>405</v>
      </c>
      <c r="E44" s="5" t="s">
        <v>196</v>
      </c>
      <c r="F44" s="5" t="s">
        <v>138</v>
      </c>
      <c r="G44" s="5" t="s">
        <v>383</v>
      </c>
      <c r="H44" s="5" t="s">
        <v>409</v>
      </c>
      <c r="I44" s="5" t="s">
        <v>410</v>
      </c>
      <c r="J44" s="5"/>
      <c r="K44" s="5" t="s">
        <v>57</v>
      </c>
      <c r="L44" s="5" t="s">
        <v>58</v>
      </c>
      <c r="M44" s="5" t="s">
        <v>59</v>
      </c>
      <c r="N44" s="5"/>
    </row>
    <row r="45" ht="15.75" customHeight="1"/>
    <row r="46" ht="15.75" customHeight="1">
      <c r="A46" s="2" t="s">
        <v>286</v>
      </c>
    </row>
    <row r="47" ht="15.75" customHeight="1">
      <c r="A47" s="3" t="s">
        <v>417</v>
      </c>
    </row>
    <row r="48" ht="15.75" customHeight="1">
      <c r="A48" s="4" t="s">
        <v>4</v>
      </c>
      <c r="B48" s="4" t="s">
        <v>6</v>
      </c>
      <c r="C48" s="4" t="s">
        <v>7</v>
      </c>
      <c r="D48" s="4" t="s">
        <v>8</v>
      </c>
      <c r="E48" s="4" t="s">
        <v>9</v>
      </c>
      <c r="F48" s="4" t="s">
        <v>10</v>
      </c>
      <c r="G48" s="4" t="s">
        <v>11</v>
      </c>
      <c r="H48" s="4" t="s">
        <v>12</v>
      </c>
      <c r="I48" s="4" t="s">
        <v>13</v>
      </c>
      <c r="J48" s="4" t="s">
        <v>14</v>
      </c>
      <c r="K48" s="4" t="s">
        <v>15</v>
      </c>
      <c r="L48" s="4" t="s">
        <v>16</v>
      </c>
      <c r="M48" s="4" t="s">
        <v>17</v>
      </c>
      <c r="N48" s="4" t="s">
        <v>18</v>
      </c>
    </row>
    <row r="49" ht="15.75" customHeight="1">
      <c r="A49" s="5" t="s">
        <v>297</v>
      </c>
      <c r="B49" s="5" t="s">
        <v>442</v>
      </c>
      <c r="C49" s="5" t="s">
        <v>235</v>
      </c>
      <c r="D49" s="5" t="s">
        <v>443</v>
      </c>
      <c r="E49" s="5" t="s">
        <v>95</v>
      </c>
      <c r="F49" s="5" t="s">
        <v>24</v>
      </c>
      <c r="G49" s="5" t="s">
        <v>448</v>
      </c>
      <c r="H49" s="5" t="s">
        <v>70</v>
      </c>
      <c r="I49" s="5">
        <v>9.09648778E8</v>
      </c>
      <c r="J49" s="5"/>
      <c r="K49" s="5" t="s">
        <v>348</v>
      </c>
      <c r="L49" s="5" t="s">
        <v>304</v>
      </c>
      <c r="M49" s="5" t="s">
        <v>30</v>
      </c>
      <c r="N49" s="5"/>
    </row>
    <row r="50" ht="15.75" customHeight="1">
      <c r="A50" s="5" t="s">
        <v>297</v>
      </c>
      <c r="B50" s="5" t="s">
        <v>34</v>
      </c>
      <c r="C50" s="5" t="s">
        <v>35</v>
      </c>
      <c r="D50" s="5" t="s">
        <v>443</v>
      </c>
      <c r="E50" s="5" t="s">
        <v>37</v>
      </c>
      <c r="F50" s="5" t="s">
        <v>24</v>
      </c>
      <c r="G50" s="5" t="s">
        <v>25</v>
      </c>
      <c r="H50" s="5" t="s">
        <v>70</v>
      </c>
      <c r="I50" s="5" t="s">
        <v>39</v>
      </c>
      <c r="J50" s="5"/>
      <c r="K50" s="5" t="s">
        <v>348</v>
      </c>
      <c r="L50" s="5" t="s">
        <v>304</v>
      </c>
      <c r="M50" s="5" t="s">
        <v>30</v>
      </c>
      <c r="N50" s="5"/>
    </row>
    <row r="51" ht="15.75" customHeight="1">
      <c r="A51" s="5" t="s">
        <v>297</v>
      </c>
      <c r="B51" s="5" t="s">
        <v>458</v>
      </c>
      <c r="C51" s="5" t="s">
        <v>71</v>
      </c>
      <c r="D51" s="5" t="s">
        <v>331</v>
      </c>
      <c r="E51" s="5" t="s">
        <v>95</v>
      </c>
      <c r="F51" s="5" t="s">
        <v>98</v>
      </c>
      <c r="G51" s="5" t="s">
        <v>305</v>
      </c>
      <c r="H51" s="5" t="s">
        <v>130</v>
      </c>
      <c r="I51" s="5" t="s">
        <v>466</v>
      </c>
      <c r="J51" s="5"/>
      <c r="K51" s="5" t="s">
        <v>302</v>
      </c>
      <c r="L51" s="5" t="s">
        <v>304</v>
      </c>
      <c r="M51" s="5" t="s">
        <v>30</v>
      </c>
      <c r="N51" s="5"/>
    </row>
    <row r="52" ht="15.75" customHeight="1">
      <c r="A52" s="5" t="s">
        <v>297</v>
      </c>
      <c r="B52" s="5" t="s">
        <v>471</v>
      </c>
      <c r="C52" s="5" t="s">
        <v>62</v>
      </c>
      <c r="D52" s="5" t="s">
        <v>473</v>
      </c>
      <c r="E52" s="5" t="s">
        <v>311</v>
      </c>
      <c r="F52" s="5" t="s">
        <v>24</v>
      </c>
      <c r="G52" s="5" t="s">
        <v>25</v>
      </c>
      <c r="H52" s="5" t="s">
        <v>70</v>
      </c>
      <c r="I52" s="5" t="s">
        <v>477</v>
      </c>
      <c r="J52" s="5"/>
      <c r="K52" s="5" t="s">
        <v>57</v>
      </c>
      <c r="L52" s="5" t="s">
        <v>58</v>
      </c>
      <c r="M52" s="5" t="s">
        <v>30</v>
      </c>
      <c r="N52" s="5"/>
    </row>
    <row r="53" ht="15.75" customHeight="1">
      <c r="A53" s="5" t="s">
        <v>297</v>
      </c>
      <c r="B53" s="5" t="s">
        <v>471</v>
      </c>
      <c r="C53" s="5" t="s">
        <v>50</v>
      </c>
      <c r="D53" s="5" t="s">
        <v>493</v>
      </c>
      <c r="E53" s="5" t="s">
        <v>325</v>
      </c>
      <c r="F53" s="5" t="s">
        <v>138</v>
      </c>
      <c r="G53" s="5" t="s">
        <v>383</v>
      </c>
      <c r="H53" s="5" t="s">
        <v>496</v>
      </c>
      <c r="I53" s="5" t="s">
        <v>477</v>
      </c>
      <c r="J53" s="5"/>
      <c r="K53" s="5" t="s">
        <v>302</v>
      </c>
      <c r="L53" s="5" t="s">
        <v>304</v>
      </c>
      <c r="M53" s="5" t="s">
        <v>30</v>
      </c>
      <c r="N53" s="5"/>
    </row>
    <row r="54" ht="15.75" customHeight="1">
      <c r="A54" s="5" t="s">
        <v>297</v>
      </c>
      <c r="B54" s="5" t="s">
        <v>266</v>
      </c>
      <c r="C54" s="5" t="s">
        <v>50</v>
      </c>
      <c r="D54" s="5" t="s">
        <v>499</v>
      </c>
      <c r="E54" s="5" t="s">
        <v>37</v>
      </c>
      <c r="F54" s="5" t="s">
        <v>24</v>
      </c>
      <c r="G54" s="5" t="s">
        <v>25</v>
      </c>
      <c r="H54" s="5" t="s">
        <v>26</v>
      </c>
      <c r="I54" s="5" t="s">
        <v>273</v>
      </c>
      <c r="J54" s="5"/>
      <c r="K54" s="5" t="s">
        <v>302</v>
      </c>
      <c r="L54" s="5" t="s">
        <v>304</v>
      </c>
      <c r="M54" s="5" t="s">
        <v>30</v>
      </c>
      <c r="N54" s="5"/>
    </row>
    <row r="55" ht="15.75" customHeight="1">
      <c r="A55" s="5" t="s">
        <v>297</v>
      </c>
      <c r="B55" s="5" t="s">
        <v>278</v>
      </c>
      <c r="C55" s="5" t="s">
        <v>94</v>
      </c>
      <c r="D55" s="5" t="s">
        <v>331</v>
      </c>
      <c r="E55" s="5" t="s">
        <v>311</v>
      </c>
      <c r="F55" s="5" t="s">
        <v>24</v>
      </c>
      <c r="G55" s="5" t="s">
        <v>25</v>
      </c>
      <c r="H55" s="5" t="s">
        <v>130</v>
      </c>
      <c r="I55" s="5" t="s">
        <v>283</v>
      </c>
      <c r="J55" s="5"/>
      <c r="K55" s="5" t="s">
        <v>302</v>
      </c>
      <c r="L55" s="5" t="s">
        <v>304</v>
      </c>
      <c r="M55" s="5" t="s">
        <v>30</v>
      </c>
      <c r="N55" s="5"/>
    </row>
    <row r="56" ht="15.75" customHeight="1">
      <c r="A56" s="5" t="s">
        <v>297</v>
      </c>
      <c r="B56" s="5" t="s">
        <v>513</v>
      </c>
      <c r="C56" s="5" t="s">
        <v>21</v>
      </c>
      <c r="D56" s="5" t="s">
        <v>353</v>
      </c>
      <c r="E56" s="5" t="s">
        <v>37</v>
      </c>
      <c r="F56" s="5" t="s">
        <v>85</v>
      </c>
      <c r="G56" s="5" t="s">
        <v>87</v>
      </c>
      <c r="H56" s="5" t="s">
        <v>88</v>
      </c>
      <c r="I56" s="5" t="s">
        <v>516</v>
      </c>
      <c r="J56" s="5"/>
      <c r="K56" s="5" t="s">
        <v>360</v>
      </c>
      <c r="L56" s="5" t="s">
        <v>304</v>
      </c>
      <c r="M56" s="5" t="s">
        <v>30</v>
      </c>
      <c r="N56" s="5"/>
    </row>
    <row r="57" ht="15.75" customHeight="1">
      <c r="A57" s="5" t="s">
        <v>297</v>
      </c>
      <c r="B57" s="5" t="s">
        <v>513</v>
      </c>
      <c r="C57" s="5" t="s">
        <v>21</v>
      </c>
      <c r="D57" s="5" t="s">
        <v>361</v>
      </c>
      <c r="E57" s="5" t="s">
        <v>37</v>
      </c>
      <c r="F57" s="5" t="s">
        <v>24</v>
      </c>
      <c r="G57" s="5" t="s">
        <v>25</v>
      </c>
      <c r="H57" s="5" t="s">
        <v>105</v>
      </c>
      <c r="I57" s="5" t="s">
        <v>516</v>
      </c>
      <c r="J57" s="5"/>
      <c r="K57" s="5" t="s">
        <v>363</v>
      </c>
      <c r="L57" s="5" t="s">
        <v>304</v>
      </c>
      <c r="M57" s="5" t="s">
        <v>30</v>
      </c>
      <c r="N57" s="5"/>
    </row>
    <row r="58" ht="15.75" customHeight="1">
      <c r="A58" s="5" t="s">
        <v>297</v>
      </c>
      <c r="B58" s="5" t="s">
        <v>285</v>
      </c>
      <c r="C58" s="5" t="s">
        <v>21</v>
      </c>
      <c r="D58" s="5" t="s">
        <v>526</v>
      </c>
      <c r="E58" s="5" t="s">
        <v>211</v>
      </c>
      <c r="F58" s="5" t="s">
        <v>67</v>
      </c>
      <c r="G58" s="5" t="s">
        <v>528</v>
      </c>
      <c r="H58" s="5" t="s">
        <v>66</v>
      </c>
      <c r="I58" s="5" t="s">
        <v>290</v>
      </c>
      <c r="J58" s="5"/>
      <c r="K58" s="5" t="s">
        <v>302</v>
      </c>
      <c r="L58" s="5" t="s">
        <v>304</v>
      </c>
      <c r="M58" s="5" t="s">
        <v>30</v>
      </c>
      <c r="N58" s="5"/>
    </row>
    <row r="59" ht="15.75" customHeight="1">
      <c r="A59" s="5" t="s">
        <v>297</v>
      </c>
      <c r="B59" s="5" t="s">
        <v>531</v>
      </c>
      <c r="C59" s="5" t="s">
        <v>61</v>
      </c>
      <c r="D59" s="5" t="s">
        <v>153</v>
      </c>
      <c r="E59" s="5" t="s">
        <v>37</v>
      </c>
      <c r="F59" s="5" t="s">
        <v>78</v>
      </c>
      <c r="G59" s="5" t="s">
        <v>25</v>
      </c>
      <c r="H59" s="5" t="s">
        <v>156</v>
      </c>
      <c r="I59" s="5" t="s">
        <v>535</v>
      </c>
      <c r="J59" s="5"/>
      <c r="K59" s="5" t="s">
        <v>28</v>
      </c>
      <c r="L59" s="5" t="s">
        <v>29</v>
      </c>
      <c r="M59" s="5" t="s">
        <v>30</v>
      </c>
      <c r="N59" s="5"/>
    </row>
    <row r="60" ht="15.75" customHeight="1">
      <c r="A60" s="5" t="s">
        <v>297</v>
      </c>
      <c r="B60" s="5" t="s">
        <v>82</v>
      </c>
      <c r="C60" s="5" t="s">
        <v>21</v>
      </c>
      <c r="D60" s="5" t="s">
        <v>331</v>
      </c>
      <c r="E60" s="5" t="s">
        <v>77</v>
      </c>
      <c r="F60" s="5" t="s">
        <v>24</v>
      </c>
      <c r="G60" s="5" t="s">
        <v>25</v>
      </c>
      <c r="H60" s="5" t="s">
        <v>130</v>
      </c>
      <c r="I60" s="5" t="s">
        <v>89</v>
      </c>
      <c r="J60" s="5"/>
      <c r="K60" s="5" t="s">
        <v>302</v>
      </c>
      <c r="L60" s="5" t="s">
        <v>304</v>
      </c>
      <c r="M60" s="5" t="s">
        <v>30</v>
      </c>
      <c r="N60" s="5"/>
    </row>
    <row r="61" ht="15.75" customHeight="1">
      <c r="A61" s="5" t="s">
        <v>297</v>
      </c>
      <c r="B61" s="5" t="s">
        <v>123</v>
      </c>
      <c r="C61" s="5" t="s">
        <v>94</v>
      </c>
      <c r="D61" s="5" t="s">
        <v>526</v>
      </c>
      <c r="E61" s="5" t="s">
        <v>280</v>
      </c>
      <c r="F61" s="5" t="s">
        <v>67</v>
      </c>
      <c r="G61" s="5" t="s">
        <v>549</v>
      </c>
      <c r="H61" s="5" t="s">
        <v>66</v>
      </c>
      <c r="I61" s="5" t="s">
        <v>131</v>
      </c>
      <c r="J61" s="5" t="s">
        <v>550</v>
      </c>
      <c r="K61" s="5" t="s">
        <v>302</v>
      </c>
      <c r="L61" s="5" t="s">
        <v>304</v>
      </c>
      <c r="M61" s="5" t="s">
        <v>59</v>
      </c>
      <c r="N61" s="5"/>
    </row>
    <row r="62" ht="15.75" customHeight="1">
      <c r="A62" s="5" t="s">
        <v>297</v>
      </c>
      <c r="B62" s="5" t="s">
        <v>123</v>
      </c>
      <c r="C62" s="5" t="s">
        <v>50</v>
      </c>
      <c r="D62" s="5" t="s">
        <v>552</v>
      </c>
      <c r="E62" s="5" t="s">
        <v>73</v>
      </c>
      <c r="F62" s="5" t="s">
        <v>24</v>
      </c>
      <c r="G62" s="5" t="s">
        <v>25</v>
      </c>
      <c r="H62" s="5" t="s">
        <v>554</v>
      </c>
      <c r="I62" s="5" t="s">
        <v>131</v>
      </c>
      <c r="J62" s="5"/>
      <c r="K62" s="5" t="s">
        <v>348</v>
      </c>
      <c r="L62" s="5" t="s">
        <v>304</v>
      </c>
      <c r="M62" s="5" t="s">
        <v>59</v>
      </c>
      <c r="N62" s="5"/>
    </row>
    <row r="63" ht="15.75" customHeight="1">
      <c r="A63" s="5" t="s">
        <v>297</v>
      </c>
      <c r="B63" s="5" t="s">
        <v>318</v>
      </c>
      <c r="C63" s="5" t="s">
        <v>50</v>
      </c>
      <c r="D63" s="5" t="s">
        <v>562</v>
      </c>
      <c r="E63" s="5" t="s">
        <v>224</v>
      </c>
      <c r="F63" s="5" t="s">
        <v>255</v>
      </c>
      <c r="G63" s="5" t="s">
        <v>207</v>
      </c>
      <c r="H63" s="5" t="s">
        <v>566</v>
      </c>
      <c r="I63" s="5" t="s">
        <v>347</v>
      </c>
      <c r="J63" s="5"/>
      <c r="K63" s="5" t="s">
        <v>302</v>
      </c>
      <c r="L63" s="5" t="s">
        <v>304</v>
      </c>
      <c r="M63" s="5" t="s">
        <v>30</v>
      </c>
      <c r="N63" s="5"/>
    </row>
    <row r="64" ht="15.75" customHeight="1">
      <c r="A64" s="5" t="s">
        <v>297</v>
      </c>
      <c r="B64" s="5" t="s">
        <v>570</v>
      </c>
      <c r="C64" s="5" t="s">
        <v>177</v>
      </c>
      <c r="D64" s="5" t="s">
        <v>361</v>
      </c>
      <c r="E64" s="5" t="s">
        <v>224</v>
      </c>
      <c r="F64" s="5" t="s">
        <v>255</v>
      </c>
      <c r="G64" s="5" t="s">
        <v>207</v>
      </c>
      <c r="H64" s="5" t="s">
        <v>105</v>
      </c>
      <c r="I64" s="5" t="s">
        <v>574</v>
      </c>
      <c r="J64" s="5"/>
      <c r="K64" s="5" t="s">
        <v>363</v>
      </c>
      <c r="L64" s="5" t="s">
        <v>304</v>
      </c>
      <c r="M64" s="5" t="s">
        <v>30</v>
      </c>
      <c r="N64" s="5"/>
    </row>
    <row r="65" ht="15.75" customHeight="1">
      <c r="A65" s="5" t="s">
        <v>297</v>
      </c>
      <c r="B65" s="5" t="s">
        <v>578</v>
      </c>
      <c r="C65" s="5" t="s">
        <v>62</v>
      </c>
      <c r="D65" s="5" t="s">
        <v>581</v>
      </c>
      <c r="E65" s="5" t="s">
        <v>282</v>
      </c>
      <c r="F65" s="5" t="s">
        <v>138</v>
      </c>
      <c r="G65" s="5" t="s">
        <v>383</v>
      </c>
      <c r="H65" s="5" t="s">
        <v>584</v>
      </c>
      <c r="I65" s="5" t="s">
        <v>585</v>
      </c>
      <c r="J65" s="5"/>
      <c r="K65" s="5" t="s">
        <v>302</v>
      </c>
      <c r="L65" s="5" t="s">
        <v>304</v>
      </c>
      <c r="M65" s="5" t="s">
        <v>30</v>
      </c>
      <c r="N65" s="5"/>
    </row>
    <row r="66" ht="15.75" customHeight="1">
      <c r="A66" s="5" t="s">
        <v>297</v>
      </c>
      <c r="B66" s="5" t="s">
        <v>587</v>
      </c>
      <c r="C66" s="5" t="s">
        <v>112</v>
      </c>
      <c r="D66" s="5" t="s">
        <v>526</v>
      </c>
      <c r="E66" s="5" t="s">
        <v>65</v>
      </c>
      <c r="F66" s="5" t="s">
        <v>24</v>
      </c>
      <c r="G66" s="5" t="s">
        <v>25</v>
      </c>
      <c r="H66" s="5" t="s">
        <v>66</v>
      </c>
      <c r="I66" s="5"/>
      <c r="J66" s="5"/>
      <c r="K66" s="5" t="s">
        <v>302</v>
      </c>
      <c r="L66" s="5" t="s">
        <v>304</v>
      </c>
      <c r="M66" s="5" t="s">
        <v>59</v>
      </c>
      <c r="N66" s="5"/>
    </row>
    <row r="67" ht="15.75" customHeight="1">
      <c r="A67" s="5" t="s">
        <v>297</v>
      </c>
      <c r="B67" s="5" t="s">
        <v>595</v>
      </c>
      <c r="C67" s="5" t="s">
        <v>21</v>
      </c>
      <c r="D67" s="5" t="s">
        <v>353</v>
      </c>
      <c r="E67" s="5" t="s">
        <v>282</v>
      </c>
      <c r="F67" s="5" t="s">
        <v>597</v>
      </c>
      <c r="G67" s="5" t="s">
        <v>207</v>
      </c>
      <c r="H67" s="5" t="s">
        <v>88</v>
      </c>
      <c r="I67" s="5" t="s">
        <v>599</v>
      </c>
      <c r="J67" s="5"/>
      <c r="K67" s="5" t="s">
        <v>360</v>
      </c>
      <c r="L67" s="5" t="s">
        <v>304</v>
      </c>
      <c r="M67" s="5" t="s">
        <v>30</v>
      </c>
      <c r="N67" s="5"/>
    </row>
    <row r="68" ht="15.75" customHeight="1">
      <c r="A68" s="5" t="s">
        <v>297</v>
      </c>
      <c r="B68" s="5" t="s">
        <v>595</v>
      </c>
      <c r="C68" s="5" t="s">
        <v>21</v>
      </c>
      <c r="D68" s="5" t="s">
        <v>604</v>
      </c>
      <c r="E68" s="5" t="s">
        <v>282</v>
      </c>
      <c r="F68" s="5" t="s">
        <v>255</v>
      </c>
      <c r="G68" s="5" t="s">
        <v>207</v>
      </c>
      <c r="H68" s="5" t="s">
        <v>606</v>
      </c>
      <c r="I68" s="5" t="s">
        <v>599</v>
      </c>
      <c r="J68" s="5"/>
      <c r="K68" s="5" t="s">
        <v>363</v>
      </c>
      <c r="L68" s="5" t="s">
        <v>304</v>
      </c>
      <c r="M68" s="5" t="s">
        <v>30</v>
      </c>
      <c r="N68" s="5"/>
    </row>
    <row r="69" ht="15.75" customHeight="1">
      <c r="A69" s="5" t="s">
        <v>297</v>
      </c>
      <c r="B69" s="5" t="s">
        <v>182</v>
      </c>
      <c r="C69" s="5" t="s">
        <v>35</v>
      </c>
      <c r="D69" s="5" t="s">
        <v>401</v>
      </c>
      <c r="E69" s="5" t="s">
        <v>53</v>
      </c>
      <c r="F69" s="5" t="s">
        <v>24</v>
      </c>
      <c r="G69" s="5"/>
      <c r="H69" s="5" t="s">
        <v>101</v>
      </c>
      <c r="I69" s="5" t="s">
        <v>192</v>
      </c>
      <c r="J69" s="5"/>
      <c r="K69" s="5" t="s">
        <v>348</v>
      </c>
      <c r="L69" s="5" t="s">
        <v>304</v>
      </c>
      <c r="M69" s="5" t="s">
        <v>30</v>
      </c>
      <c r="N69" s="5"/>
    </row>
    <row r="70" ht="15.75" customHeight="1">
      <c r="A70" s="5" t="s">
        <v>297</v>
      </c>
      <c r="B70" s="5" t="s">
        <v>388</v>
      </c>
      <c r="C70" s="5" t="s">
        <v>112</v>
      </c>
      <c r="D70" s="5" t="s">
        <v>331</v>
      </c>
      <c r="E70" s="5" t="s">
        <v>95</v>
      </c>
      <c r="F70" s="5" t="s">
        <v>113</v>
      </c>
      <c r="G70" s="5" t="s">
        <v>305</v>
      </c>
      <c r="H70" s="5" t="s">
        <v>130</v>
      </c>
      <c r="I70" s="5" t="s">
        <v>391</v>
      </c>
      <c r="J70" s="5"/>
      <c r="K70" s="5" t="s">
        <v>302</v>
      </c>
      <c r="L70" s="5" t="s">
        <v>304</v>
      </c>
      <c r="M70" s="5" t="s">
        <v>30</v>
      </c>
      <c r="N70" s="5"/>
    </row>
    <row r="71" ht="15.75" customHeight="1">
      <c r="A71" s="5" t="s">
        <v>297</v>
      </c>
      <c r="B71" s="5" t="s">
        <v>619</v>
      </c>
      <c r="C71" s="5" t="s">
        <v>235</v>
      </c>
      <c r="D71" s="5" t="s">
        <v>499</v>
      </c>
      <c r="E71" s="5" t="s">
        <v>95</v>
      </c>
      <c r="F71" s="5" t="s">
        <v>181</v>
      </c>
      <c r="G71" s="5" t="s">
        <v>549</v>
      </c>
      <c r="H71" s="5" t="s">
        <v>26</v>
      </c>
      <c r="I71" s="5" t="s">
        <v>622</v>
      </c>
      <c r="J71" s="5" t="s">
        <v>623</v>
      </c>
      <c r="K71" s="5" t="s">
        <v>302</v>
      </c>
      <c r="L71" s="5" t="s">
        <v>304</v>
      </c>
      <c r="M71" s="5" t="s">
        <v>30</v>
      </c>
      <c r="N71" s="5"/>
    </row>
    <row r="72" ht="15.75" customHeight="1"/>
    <row r="73" ht="15.75" customHeight="1">
      <c r="A73" s="6" t="s">
        <v>414</v>
      </c>
    </row>
    <row r="74" ht="15.75" customHeight="1">
      <c r="A74" s="6" t="s">
        <v>31</v>
      </c>
    </row>
    <row r="75" ht="15.75" customHeight="1">
      <c r="A75" s="6" t="s">
        <v>4</v>
      </c>
      <c r="B75" s="6" t="s">
        <v>6</v>
      </c>
      <c r="C75" s="6" t="s">
        <v>7</v>
      </c>
      <c r="D75" s="6" t="s">
        <v>8</v>
      </c>
      <c r="E75" s="6" t="s">
        <v>9</v>
      </c>
      <c r="F75" s="6" t="s">
        <v>10</v>
      </c>
      <c r="G75" s="6" t="s">
        <v>11</v>
      </c>
      <c r="H75" s="6" t="s">
        <v>12</v>
      </c>
      <c r="I75" s="6" t="s">
        <v>13</v>
      </c>
      <c r="J75" s="6" t="s">
        <v>14</v>
      </c>
      <c r="K75" s="6" t="s">
        <v>15</v>
      </c>
      <c r="L75" s="6" t="s">
        <v>16</v>
      </c>
      <c r="M75" s="6" t="s">
        <v>17</v>
      </c>
      <c r="N75" s="6" t="s">
        <v>18</v>
      </c>
    </row>
    <row r="76" ht="15.75" customHeight="1">
      <c r="A76" s="6" t="s">
        <v>424</v>
      </c>
      <c r="B76" s="6" t="s">
        <v>47</v>
      </c>
      <c r="C76" s="6" t="s">
        <v>482</v>
      </c>
      <c r="D76" s="6" t="s">
        <v>553</v>
      </c>
      <c r="E76" s="6" t="s">
        <v>508</v>
      </c>
      <c r="F76" s="6" t="s">
        <v>24</v>
      </c>
      <c r="G76" s="6" t="s">
        <v>634</v>
      </c>
      <c r="H76" s="6" t="s">
        <v>558</v>
      </c>
      <c r="I76" s="6" t="s">
        <v>56</v>
      </c>
      <c r="M76" s="6" t="s">
        <v>561</v>
      </c>
    </row>
    <row r="77" ht="15.75" customHeight="1">
      <c r="A77" s="8" t="s">
        <v>424</v>
      </c>
      <c r="B77" s="8" t="s">
        <v>110</v>
      </c>
      <c r="C77" s="8" t="s">
        <v>576</v>
      </c>
      <c r="D77" s="8" t="s">
        <v>429</v>
      </c>
      <c r="E77" s="8" t="s">
        <v>524</v>
      </c>
      <c r="F77" s="8" t="s">
        <v>24</v>
      </c>
      <c r="G77" s="8" t="s">
        <v>431</v>
      </c>
      <c r="H77" s="8" t="s">
        <v>554</v>
      </c>
      <c r="I77" s="8" t="s">
        <v>118</v>
      </c>
      <c r="J77" s="8"/>
      <c r="K77" s="8"/>
      <c r="L77" s="8"/>
      <c r="M77" s="8" t="s">
        <v>30</v>
      </c>
      <c r="N77" s="8"/>
    </row>
    <row r="78" ht="15.75" customHeight="1">
      <c r="A78" s="8" t="s">
        <v>424</v>
      </c>
      <c r="B78" s="8" t="s">
        <v>110</v>
      </c>
      <c r="C78" s="8" t="s">
        <v>591</v>
      </c>
      <c r="D78" s="8" t="s">
        <v>429</v>
      </c>
      <c r="E78" s="8" t="s">
        <v>438</v>
      </c>
      <c r="F78" s="8" t="s">
        <v>98</v>
      </c>
      <c r="G78" s="8" t="s">
        <v>649</v>
      </c>
      <c r="H78" s="8" t="s">
        <v>156</v>
      </c>
      <c r="I78" s="8" t="s">
        <v>118</v>
      </c>
      <c r="J78" s="8" t="s">
        <v>650</v>
      </c>
      <c r="K78" s="8"/>
      <c r="L78" s="8"/>
      <c r="M78" s="8" t="s">
        <v>30</v>
      </c>
      <c r="N78" s="8"/>
    </row>
    <row r="79" ht="15.75" customHeight="1">
      <c r="A79" s="8" t="s">
        <v>424</v>
      </c>
      <c r="B79" s="8" t="s">
        <v>653</v>
      </c>
      <c r="C79" s="8" t="s">
        <v>565</v>
      </c>
      <c r="D79" s="8" t="s">
        <v>429</v>
      </c>
      <c r="E79" s="8" t="s">
        <v>459</v>
      </c>
      <c r="F79" s="8" t="s">
        <v>24</v>
      </c>
      <c r="G79" s="8" t="s">
        <v>634</v>
      </c>
      <c r="H79" s="8" t="s">
        <v>38</v>
      </c>
      <c r="I79" s="8" t="s">
        <v>656</v>
      </c>
      <c r="J79" s="8"/>
      <c r="K79" s="8"/>
      <c r="L79" s="8"/>
      <c r="M79" s="8" t="s">
        <v>59</v>
      </c>
      <c r="N79" s="8"/>
    </row>
    <row r="80" ht="15.75" customHeight="1">
      <c r="A80" s="8" t="s">
        <v>424</v>
      </c>
      <c r="B80" s="8" t="s">
        <v>653</v>
      </c>
      <c r="C80" s="8" t="s">
        <v>616</v>
      </c>
      <c r="D80" s="8" t="s">
        <v>429</v>
      </c>
      <c r="E80" s="8" t="s">
        <v>438</v>
      </c>
      <c r="F80" s="8" t="s">
        <v>98</v>
      </c>
      <c r="G80" s="8" t="s">
        <v>658</v>
      </c>
      <c r="H80" s="8" t="s">
        <v>101</v>
      </c>
      <c r="I80" s="8" t="s">
        <v>656</v>
      </c>
      <c r="J80" s="8"/>
      <c r="K80" s="8"/>
      <c r="L80" s="8"/>
      <c r="M80" s="8" t="s">
        <v>59</v>
      </c>
      <c r="N80" s="8"/>
    </row>
    <row r="81" ht="15.75" customHeight="1">
      <c r="A81" s="8" t="s">
        <v>424</v>
      </c>
      <c r="B81" s="8" t="s">
        <v>662</v>
      </c>
      <c r="C81" s="8" t="s">
        <v>596</v>
      </c>
      <c r="D81" s="8" t="s">
        <v>429</v>
      </c>
      <c r="E81" s="8" t="s">
        <v>541</v>
      </c>
      <c r="F81" s="8" t="s">
        <v>24</v>
      </c>
      <c r="G81" s="8" t="s">
        <v>431</v>
      </c>
      <c r="H81" s="8" t="s">
        <v>66</v>
      </c>
      <c r="I81" s="8" t="s">
        <v>665</v>
      </c>
      <c r="J81" s="8"/>
      <c r="K81" s="8"/>
      <c r="L81" s="8"/>
      <c r="M81" s="8" t="s">
        <v>59</v>
      </c>
      <c r="N81" s="8"/>
    </row>
    <row r="82" ht="15.75" customHeight="1">
      <c r="A82" s="8" t="s">
        <v>424</v>
      </c>
      <c r="B82" s="8" t="s">
        <v>318</v>
      </c>
      <c r="C82" s="8" t="s">
        <v>588</v>
      </c>
      <c r="D82" s="8" t="s">
        <v>429</v>
      </c>
      <c r="E82" s="8" t="s">
        <v>508</v>
      </c>
      <c r="F82" s="8" t="s">
        <v>24</v>
      </c>
      <c r="G82" s="8" t="s">
        <v>431</v>
      </c>
      <c r="H82" s="8" t="s">
        <v>667</v>
      </c>
      <c r="I82" s="8" t="s">
        <v>347</v>
      </c>
      <c r="J82" s="8"/>
      <c r="K82" s="8"/>
      <c r="L82" s="8"/>
      <c r="M82" s="8" t="s">
        <v>59</v>
      </c>
      <c r="N82" s="8"/>
    </row>
    <row r="83" ht="15.75" customHeight="1">
      <c r="A83" s="8" t="s">
        <v>424</v>
      </c>
      <c r="B83" s="8" t="s">
        <v>150</v>
      </c>
      <c r="C83" s="8" t="s">
        <v>576</v>
      </c>
      <c r="D83" s="8" t="s">
        <v>429</v>
      </c>
      <c r="E83" s="8" t="s">
        <v>508</v>
      </c>
      <c r="F83" s="8" t="s">
        <v>24</v>
      </c>
      <c r="G83" s="8" t="s">
        <v>431</v>
      </c>
      <c r="H83" s="8" t="s">
        <v>101</v>
      </c>
      <c r="I83" s="8" t="s">
        <v>152</v>
      </c>
      <c r="J83" s="8"/>
      <c r="K83" s="8"/>
      <c r="L83" s="8"/>
      <c r="M83" s="8" t="s">
        <v>30</v>
      </c>
      <c r="N83" s="8"/>
    </row>
    <row r="84" ht="15.75" customHeight="1">
      <c r="A84" s="8" t="s">
        <v>424</v>
      </c>
      <c r="B84" s="8" t="s">
        <v>150</v>
      </c>
      <c r="C84" s="8" t="s">
        <v>591</v>
      </c>
      <c r="D84" s="8" t="s">
        <v>429</v>
      </c>
      <c r="E84" s="8" t="s">
        <v>430</v>
      </c>
      <c r="F84" s="8" t="s">
        <v>67</v>
      </c>
      <c r="G84" s="8" t="s">
        <v>649</v>
      </c>
      <c r="H84" s="8" t="s">
        <v>26</v>
      </c>
      <c r="I84" s="8" t="s">
        <v>152</v>
      </c>
      <c r="J84" s="8"/>
      <c r="K84" s="8"/>
      <c r="L84" s="8"/>
      <c r="M84" s="8" t="s">
        <v>30</v>
      </c>
      <c r="N84" s="8"/>
    </row>
    <row r="85" ht="15.75" customHeight="1">
      <c r="A85" s="8" t="s">
        <v>424</v>
      </c>
      <c r="B85" s="8" t="s">
        <v>163</v>
      </c>
      <c r="C85" s="8" t="s">
        <v>608</v>
      </c>
      <c r="D85" s="8" t="s">
        <v>429</v>
      </c>
      <c r="E85" s="8" t="s">
        <v>459</v>
      </c>
      <c r="F85" s="8" t="s">
        <v>24</v>
      </c>
      <c r="G85" s="8" t="s">
        <v>431</v>
      </c>
      <c r="H85" s="8" t="s">
        <v>70</v>
      </c>
      <c r="I85" s="8" t="s">
        <v>673</v>
      </c>
      <c r="J85" s="8"/>
      <c r="K85" s="8"/>
      <c r="L85" s="8"/>
      <c r="M85" s="8" t="s">
        <v>59</v>
      </c>
      <c r="N85" s="8"/>
    </row>
    <row r="86" ht="15.75" customHeight="1">
      <c r="A86" s="8" t="s">
        <v>424</v>
      </c>
      <c r="B86" s="8" t="s">
        <v>676</v>
      </c>
      <c r="C86" s="8" t="s">
        <v>616</v>
      </c>
      <c r="D86" s="8" t="s">
        <v>678</v>
      </c>
      <c r="E86" s="8" t="s">
        <v>325</v>
      </c>
      <c r="F86" s="8" t="s">
        <v>138</v>
      </c>
      <c r="G86" s="8" t="s">
        <v>681</v>
      </c>
      <c r="H86" s="8" t="s">
        <v>584</v>
      </c>
      <c r="I86" s="8" t="s">
        <v>685</v>
      </c>
      <c r="J86" s="8"/>
      <c r="K86" s="8"/>
      <c r="L86" s="8"/>
      <c r="M86" s="8" t="s">
        <v>59</v>
      </c>
      <c r="N86" s="8"/>
    </row>
    <row r="87" ht="15.75" customHeight="1">
      <c r="A87" s="8" t="s">
        <v>424</v>
      </c>
      <c r="B87" s="8" t="s">
        <v>686</v>
      </c>
      <c r="C87" s="8" t="s">
        <v>428</v>
      </c>
      <c r="D87" s="8" t="s">
        <v>429</v>
      </c>
      <c r="E87" s="8" t="s">
        <v>325</v>
      </c>
      <c r="F87" s="8" t="s">
        <v>138</v>
      </c>
      <c r="G87" s="8" t="s">
        <v>681</v>
      </c>
      <c r="H87" s="8" t="s">
        <v>38</v>
      </c>
      <c r="I87" s="8" t="s">
        <v>689</v>
      </c>
      <c r="J87" s="8"/>
      <c r="K87" s="8"/>
      <c r="L87" s="8"/>
      <c r="M87" s="8" t="s">
        <v>59</v>
      </c>
      <c r="N87" s="8"/>
    </row>
    <row r="88" ht="15.75" customHeight="1">
      <c r="A88" s="8" t="s">
        <v>424</v>
      </c>
      <c r="B88" s="8" t="s">
        <v>691</v>
      </c>
      <c r="C88" s="8" t="s">
        <v>692</v>
      </c>
      <c r="D88" s="8" t="s">
        <v>429</v>
      </c>
      <c r="E88" s="8" t="s">
        <v>282</v>
      </c>
      <c r="F88" s="8" t="s">
        <v>138</v>
      </c>
      <c r="G88" s="8" t="s">
        <v>693</v>
      </c>
      <c r="H88" s="8" t="s">
        <v>694</v>
      </c>
      <c r="I88" s="8" t="s">
        <v>695</v>
      </c>
      <c r="J88" s="8"/>
      <c r="K88" s="8"/>
      <c r="L88" s="8"/>
      <c r="M88" s="8" t="s">
        <v>30</v>
      </c>
      <c r="N88" s="8"/>
    </row>
    <row r="89" ht="15.75" customHeight="1">
      <c r="A89" s="8" t="s">
        <v>424</v>
      </c>
      <c r="B89" s="8" t="s">
        <v>214</v>
      </c>
      <c r="C89" s="8" t="s">
        <v>588</v>
      </c>
      <c r="D89" s="8" t="s">
        <v>429</v>
      </c>
      <c r="E89" s="8" t="s">
        <v>438</v>
      </c>
      <c r="F89" s="8" t="s">
        <v>98</v>
      </c>
      <c r="G89" s="8" t="s">
        <v>649</v>
      </c>
      <c r="H89" s="8" t="s">
        <v>222</v>
      </c>
      <c r="I89" s="8" t="s">
        <v>223</v>
      </c>
      <c r="J89" s="8"/>
      <c r="K89" s="8"/>
      <c r="L89" s="8"/>
      <c r="M89" s="8" t="s">
        <v>59</v>
      </c>
      <c r="N89" s="8"/>
    </row>
    <row r="90" ht="15.75" customHeight="1"/>
    <row r="91" ht="15.75" customHeight="1">
      <c r="A91" s="6" t="s">
        <v>414</v>
      </c>
    </row>
    <row r="92" ht="15.75" customHeight="1">
      <c r="A92" s="6" t="s">
        <v>3</v>
      </c>
    </row>
    <row r="93" ht="15.75" customHeight="1">
      <c r="A93" s="6" t="s">
        <v>4</v>
      </c>
      <c r="B93" s="6" t="s">
        <v>6</v>
      </c>
      <c r="C93" s="6" t="s">
        <v>7</v>
      </c>
      <c r="D93" s="6" t="s">
        <v>8</v>
      </c>
      <c r="E93" s="6" t="s">
        <v>9</v>
      </c>
      <c r="F93" s="6" t="s">
        <v>10</v>
      </c>
      <c r="G93" s="6" t="s">
        <v>11</v>
      </c>
      <c r="H93" s="6" t="s">
        <v>12</v>
      </c>
      <c r="I93" s="6" t="s">
        <v>13</v>
      </c>
      <c r="J93" s="6" t="s">
        <v>14</v>
      </c>
      <c r="K93" s="6" t="s">
        <v>15</v>
      </c>
      <c r="L93" s="6" t="s">
        <v>16</v>
      </c>
      <c r="M93" s="6" t="s">
        <v>17</v>
      </c>
      <c r="N93" s="6" t="s">
        <v>18</v>
      </c>
    </row>
    <row r="94" ht="15.75" customHeight="1">
      <c r="A94" s="8" t="s">
        <v>424</v>
      </c>
      <c r="B94" s="8" t="s">
        <v>20</v>
      </c>
      <c r="C94" s="8" t="s">
        <v>445</v>
      </c>
      <c r="D94" s="8" t="s">
        <v>153</v>
      </c>
      <c r="E94" s="8" t="s">
        <v>712</v>
      </c>
      <c r="F94" s="8" t="s">
        <v>24</v>
      </c>
      <c r="G94" s="8" t="s">
        <v>431</v>
      </c>
      <c r="H94" s="8" t="s">
        <v>66</v>
      </c>
      <c r="I94" s="8" t="s">
        <v>27</v>
      </c>
      <c r="J94" s="8"/>
      <c r="K94" s="8"/>
      <c r="L94" s="8"/>
      <c r="M94" s="8" t="s">
        <v>30</v>
      </c>
      <c r="N94" s="8"/>
    </row>
    <row r="95" ht="15.75" customHeight="1"/>
    <row r="96" ht="15.75" customHeight="1">
      <c r="A96" s="6" t="s">
        <v>515</v>
      </c>
    </row>
    <row r="97" ht="15.75" customHeight="1">
      <c r="A97" s="6" t="s">
        <v>426</v>
      </c>
    </row>
    <row r="98" ht="15.75" customHeight="1">
      <c r="A98" s="6" t="s">
        <v>4</v>
      </c>
      <c r="B98" s="6" t="s">
        <v>6</v>
      </c>
      <c r="C98" s="6" t="s">
        <v>7</v>
      </c>
      <c r="D98" s="6" t="s">
        <v>8</v>
      </c>
      <c r="E98" s="6" t="s">
        <v>9</v>
      </c>
      <c r="F98" s="6" t="s">
        <v>10</v>
      </c>
      <c r="G98" s="6" t="s">
        <v>11</v>
      </c>
      <c r="H98" s="6" t="s">
        <v>12</v>
      </c>
      <c r="I98" s="6" t="s">
        <v>13</v>
      </c>
      <c r="J98" s="6" t="s">
        <v>14</v>
      </c>
      <c r="K98" s="6" t="s">
        <v>15</v>
      </c>
      <c r="L98" s="6" t="s">
        <v>16</v>
      </c>
      <c r="M98" s="6" t="s">
        <v>17</v>
      </c>
      <c r="N98" s="6" t="s">
        <v>18</v>
      </c>
    </row>
    <row r="99" ht="15.75" customHeight="1">
      <c r="A99" s="6" t="s">
        <v>521</v>
      </c>
      <c r="B99" s="6" t="s">
        <v>442</v>
      </c>
      <c r="C99" s="6" t="s">
        <v>482</v>
      </c>
      <c r="D99" s="6" t="s">
        <v>553</v>
      </c>
      <c r="E99" s="6" t="s">
        <v>438</v>
      </c>
      <c r="F99" s="6" t="s">
        <v>98</v>
      </c>
      <c r="G99" s="6" t="s">
        <v>727</v>
      </c>
      <c r="H99" s="6" t="s">
        <v>558</v>
      </c>
      <c r="I99" s="6" t="s">
        <v>729</v>
      </c>
      <c r="M99" s="6" t="s">
        <v>561</v>
      </c>
    </row>
    <row r="100" ht="15.75" customHeight="1">
      <c r="A100" s="8" t="s">
        <v>521</v>
      </c>
      <c r="B100" s="8" t="s">
        <v>458</v>
      </c>
      <c r="C100" s="8" t="s">
        <v>482</v>
      </c>
      <c r="D100" s="8" t="s">
        <v>429</v>
      </c>
      <c r="E100" s="8" t="s">
        <v>136</v>
      </c>
      <c r="F100" s="8" t="s">
        <v>138</v>
      </c>
      <c r="G100" s="8" t="s">
        <v>681</v>
      </c>
      <c r="H100" s="8" t="s">
        <v>733</v>
      </c>
      <c r="I100" s="8" t="s">
        <v>466</v>
      </c>
      <c r="J100" s="8" t="s">
        <v>735</v>
      </c>
      <c r="K100" s="8"/>
      <c r="L100" s="8"/>
      <c r="M100" s="8" t="s">
        <v>59</v>
      </c>
      <c r="N100" s="8"/>
    </row>
    <row r="101" ht="15.75" customHeight="1">
      <c r="A101" s="8" t="s">
        <v>521</v>
      </c>
      <c r="B101" s="8" t="s">
        <v>471</v>
      </c>
      <c r="C101" s="8" t="s">
        <v>501</v>
      </c>
      <c r="D101" s="8" t="s">
        <v>429</v>
      </c>
      <c r="E101" s="8" t="s">
        <v>592</v>
      </c>
      <c r="F101" s="8" t="s">
        <v>24</v>
      </c>
      <c r="G101" s="8" t="s">
        <v>431</v>
      </c>
      <c r="H101" s="8" t="s">
        <v>101</v>
      </c>
      <c r="I101" s="8" t="s">
        <v>477</v>
      </c>
      <c r="J101" s="8"/>
      <c r="K101" s="8"/>
      <c r="L101" s="8"/>
      <c r="M101" s="8" t="s">
        <v>59</v>
      </c>
      <c r="N101" s="8"/>
    </row>
    <row r="102" ht="15.75" customHeight="1">
      <c r="A102" s="6" t="s">
        <v>521</v>
      </c>
      <c r="B102" s="6" t="s">
        <v>266</v>
      </c>
      <c r="C102" s="6" t="s">
        <v>428</v>
      </c>
      <c r="D102" s="6" t="s">
        <v>553</v>
      </c>
      <c r="E102" s="6" t="s">
        <v>459</v>
      </c>
      <c r="F102" s="6" t="s">
        <v>24</v>
      </c>
      <c r="G102" s="6" t="s">
        <v>431</v>
      </c>
      <c r="H102" s="6" t="s">
        <v>558</v>
      </c>
      <c r="I102" s="6" t="s">
        <v>273</v>
      </c>
      <c r="M102" s="6" t="s">
        <v>561</v>
      </c>
    </row>
    <row r="103" ht="15.75" customHeight="1">
      <c r="A103" s="8" t="s">
        <v>521</v>
      </c>
      <c r="B103" s="8" t="s">
        <v>742</v>
      </c>
      <c r="C103" s="8" t="s">
        <v>565</v>
      </c>
      <c r="D103" s="8" t="s">
        <v>429</v>
      </c>
      <c r="E103" s="8" t="s">
        <v>430</v>
      </c>
      <c r="F103" s="8" t="s">
        <v>24</v>
      </c>
      <c r="G103" s="8" t="s">
        <v>431</v>
      </c>
      <c r="H103" s="8" t="s">
        <v>66</v>
      </c>
      <c r="I103" s="8" t="s">
        <v>743</v>
      </c>
      <c r="J103" s="8"/>
      <c r="K103" s="8"/>
      <c r="L103" s="8"/>
      <c r="M103" s="8" t="s">
        <v>59</v>
      </c>
      <c r="N103" s="8"/>
    </row>
    <row r="104" ht="15.75" customHeight="1">
      <c r="A104" s="8" t="s">
        <v>521</v>
      </c>
      <c r="B104" s="8" t="s">
        <v>746</v>
      </c>
      <c r="C104" s="8" t="s">
        <v>539</v>
      </c>
      <c r="D104" s="8" t="s">
        <v>429</v>
      </c>
      <c r="E104" s="8" t="s">
        <v>459</v>
      </c>
      <c r="F104" s="8" t="s">
        <v>24</v>
      </c>
      <c r="G104" s="8" t="s">
        <v>431</v>
      </c>
      <c r="H104" s="8" t="s">
        <v>130</v>
      </c>
      <c r="I104" s="8" t="s">
        <v>516</v>
      </c>
      <c r="J104" s="8"/>
      <c r="K104" s="8"/>
      <c r="L104" s="8"/>
      <c r="M104" s="8" t="s">
        <v>59</v>
      </c>
      <c r="N104" s="8"/>
    </row>
    <row r="105" ht="15.75" customHeight="1">
      <c r="A105" s="8" t="s">
        <v>521</v>
      </c>
      <c r="B105" s="8" t="s">
        <v>531</v>
      </c>
      <c r="C105" s="8" t="s">
        <v>616</v>
      </c>
      <c r="D105" s="8" t="s">
        <v>429</v>
      </c>
      <c r="E105" s="8" t="s">
        <v>459</v>
      </c>
      <c r="F105" s="8" t="s">
        <v>78</v>
      </c>
      <c r="G105" s="8" t="s">
        <v>431</v>
      </c>
      <c r="H105" s="8" t="s">
        <v>49</v>
      </c>
      <c r="I105" s="8" t="s">
        <v>535</v>
      </c>
      <c r="J105" s="8"/>
      <c r="K105" s="8"/>
      <c r="L105" s="8"/>
      <c r="M105" s="8" t="s">
        <v>59</v>
      </c>
      <c r="N105" s="8"/>
    </row>
    <row r="106" ht="15.75" customHeight="1">
      <c r="A106" s="8" t="s">
        <v>521</v>
      </c>
      <c r="B106" s="8" t="s">
        <v>754</v>
      </c>
      <c r="C106" s="8" t="s">
        <v>596</v>
      </c>
      <c r="D106" s="8" t="s">
        <v>429</v>
      </c>
      <c r="E106" s="8" t="s">
        <v>592</v>
      </c>
      <c r="F106" s="8" t="s">
        <v>24</v>
      </c>
      <c r="G106" s="8" t="s">
        <v>431</v>
      </c>
      <c r="H106" s="8" t="s">
        <v>26</v>
      </c>
      <c r="I106" s="8" t="s">
        <v>758</v>
      </c>
      <c r="J106" s="8"/>
      <c r="K106" s="8"/>
      <c r="L106" s="8"/>
      <c r="M106" s="8" t="s">
        <v>59</v>
      </c>
      <c r="N106" s="8"/>
    </row>
    <row r="107" ht="15.75" customHeight="1">
      <c r="A107" s="7" t="s">
        <v>521</v>
      </c>
      <c r="B107" s="7" t="s">
        <v>762</v>
      </c>
      <c r="C107" s="7" t="s">
        <v>588</v>
      </c>
      <c r="D107" s="7" t="s">
        <v>429</v>
      </c>
      <c r="E107" s="7" t="s">
        <v>224</v>
      </c>
      <c r="F107" s="7" t="s">
        <v>138</v>
      </c>
      <c r="G107" s="7" t="s">
        <v>693</v>
      </c>
      <c r="H107" s="7" t="s">
        <v>606</v>
      </c>
      <c r="I107" s="7" t="s">
        <v>765</v>
      </c>
      <c r="J107" s="7"/>
      <c r="K107" s="7"/>
      <c r="L107" s="7"/>
      <c r="M107" s="7" t="s">
        <v>373</v>
      </c>
      <c r="N107" s="8"/>
    </row>
    <row r="108" ht="15.75" customHeight="1">
      <c r="A108" s="7" t="s">
        <v>521</v>
      </c>
      <c r="B108" s="7" t="s">
        <v>762</v>
      </c>
      <c r="C108" s="7" t="s">
        <v>588</v>
      </c>
      <c r="D108" s="7" t="s">
        <v>429</v>
      </c>
      <c r="E108" s="7" t="s">
        <v>224</v>
      </c>
      <c r="F108" s="7" t="s">
        <v>597</v>
      </c>
      <c r="G108" s="7" t="s">
        <v>693</v>
      </c>
      <c r="H108" s="7" t="s">
        <v>88</v>
      </c>
      <c r="I108" s="7" t="s">
        <v>765</v>
      </c>
      <c r="J108" s="7"/>
      <c r="K108" s="7"/>
      <c r="L108" s="7"/>
      <c r="M108" s="7" t="s">
        <v>373</v>
      </c>
      <c r="N108" s="8"/>
    </row>
    <row r="109" ht="15.75" customHeight="1">
      <c r="A109" s="8" t="s">
        <v>521</v>
      </c>
      <c r="B109" s="8" t="s">
        <v>767</v>
      </c>
      <c r="C109" s="8" t="s">
        <v>457</v>
      </c>
      <c r="D109" s="8" t="s">
        <v>429</v>
      </c>
      <c r="E109" s="8" t="s">
        <v>592</v>
      </c>
      <c r="F109" s="8" t="s">
        <v>24</v>
      </c>
      <c r="G109" s="8" t="s">
        <v>431</v>
      </c>
      <c r="H109" s="8" t="s">
        <v>49</v>
      </c>
      <c r="I109" s="8" t="s">
        <v>768</v>
      </c>
      <c r="J109" s="8" t="s">
        <v>769</v>
      </c>
      <c r="K109" s="8"/>
      <c r="L109" s="8"/>
      <c r="M109" s="8" t="s">
        <v>59</v>
      </c>
      <c r="N109" s="8"/>
    </row>
    <row r="110" ht="15.75" customHeight="1">
      <c r="A110" s="8" t="s">
        <v>521</v>
      </c>
      <c r="B110" s="8" t="s">
        <v>82</v>
      </c>
      <c r="C110" s="8" t="s">
        <v>457</v>
      </c>
      <c r="D110" s="8" t="s">
        <v>429</v>
      </c>
      <c r="E110" s="8" t="s">
        <v>541</v>
      </c>
      <c r="F110" s="8" t="s">
        <v>24</v>
      </c>
      <c r="G110" s="8" t="s">
        <v>431</v>
      </c>
      <c r="H110" s="8" t="s">
        <v>55</v>
      </c>
      <c r="I110" s="8" t="s">
        <v>89</v>
      </c>
      <c r="J110" s="8"/>
      <c r="K110" s="8"/>
      <c r="L110" s="8"/>
      <c r="M110" s="8" t="s">
        <v>59</v>
      </c>
      <c r="N110" s="8"/>
    </row>
    <row r="111" ht="15.75" customHeight="1">
      <c r="A111" s="6" t="s">
        <v>521</v>
      </c>
      <c r="B111" s="6" t="s">
        <v>141</v>
      </c>
      <c r="C111" s="6" t="s">
        <v>539</v>
      </c>
      <c r="D111" s="6" t="s">
        <v>553</v>
      </c>
      <c r="E111" s="6" t="s">
        <v>430</v>
      </c>
      <c r="F111" s="6" t="s">
        <v>24</v>
      </c>
      <c r="G111" s="6" t="s">
        <v>431</v>
      </c>
      <c r="H111" s="6" t="s">
        <v>558</v>
      </c>
      <c r="I111" s="6" t="s">
        <v>147</v>
      </c>
      <c r="M111" s="6" t="s">
        <v>561</v>
      </c>
    </row>
    <row r="112" ht="15.75" customHeight="1">
      <c r="A112" s="8" t="s">
        <v>521</v>
      </c>
      <c r="B112" s="8" t="s">
        <v>587</v>
      </c>
      <c r="C112" s="8" t="s">
        <v>596</v>
      </c>
      <c r="D112" s="8" t="s">
        <v>429</v>
      </c>
      <c r="E112" s="8" t="s">
        <v>556</v>
      </c>
      <c r="F112" s="8" t="s">
        <v>24</v>
      </c>
      <c r="G112" s="8" t="s">
        <v>431</v>
      </c>
      <c r="H112" s="8" t="s">
        <v>156</v>
      </c>
      <c r="I112" s="8"/>
      <c r="J112" s="8"/>
      <c r="K112" s="8"/>
      <c r="L112" s="8"/>
      <c r="M112" s="8" t="s">
        <v>59</v>
      </c>
      <c r="N112" s="8"/>
    </row>
    <row r="113" ht="15.75" customHeight="1">
      <c r="A113" s="8" t="s">
        <v>521</v>
      </c>
      <c r="B113" s="8" t="s">
        <v>388</v>
      </c>
      <c r="C113" s="8" t="s">
        <v>616</v>
      </c>
      <c r="D113" s="8" t="s">
        <v>429</v>
      </c>
      <c r="E113" s="8" t="s">
        <v>459</v>
      </c>
      <c r="F113" s="8" t="s">
        <v>24</v>
      </c>
      <c r="G113" s="8" t="s">
        <v>634</v>
      </c>
      <c r="H113" s="8" t="s">
        <v>776</v>
      </c>
      <c r="I113" s="8" t="s">
        <v>391</v>
      </c>
      <c r="J113" s="8" t="s">
        <v>392</v>
      </c>
      <c r="K113" s="8"/>
      <c r="L113" s="8"/>
      <c r="M113" s="8" t="s">
        <v>30</v>
      </c>
      <c r="N113" s="8"/>
    </row>
    <row r="114" ht="15.75" customHeight="1">
      <c r="A114" s="8" t="s">
        <v>521</v>
      </c>
      <c r="B114" s="8" t="s">
        <v>388</v>
      </c>
      <c r="C114" s="8" t="s">
        <v>501</v>
      </c>
      <c r="D114" s="8" t="s">
        <v>429</v>
      </c>
      <c r="E114" s="8" t="s">
        <v>282</v>
      </c>
      <c r="F114" s="8" t="s">
        <v>255</v>
      </c>
      <c r="G114" s="8" t="s">
        <v>681</v>
      </c>
      <c r="H114" s="8" t="s">
        <v>777</v>
      </c>
      <c r="I114" s="8" t="s">
        <v>391</v>
      </c>
      <c r="J114" s="8"/>
      <c r="K114" s="8"/>
      <c r="L114" s="8"/>
      <c r="M114" s="8" t="s">
        <v>59</v>
      </c>
      <c r="N114" s="8"/>
    </row>
    <row r="115" ht="15.75" customHeight="1">
      <c r="A115" s="8" t="s">
        <v>521</v>
      </c>
      <c r="B115" s="8" t="s">
        <v>200</v>
      </c>
      <c r="C115" s="8" t="s">
        <v>492</v>
      </c>
      <c r="D115" s="8" t="s">
        <v>429</v>
      </c>
      <c r="E115" s="8" t="s">
        <v>136</v>
      </c>
      <c r="F115" s="8" t="s">
        <v>138</v>
      </c>
      <c r="G115" s="8" t="s">
        <v>693</v>
      </c>
      <c r="H115" s="8" t="s">
        <v>308</v>
      </c>
      <c r="I115" s="8" t="s">
        <v>780</v>
      </c>
      <c r="J115" s="8"/>
      <c r="K115" s="8"/>
      <c r="L115" s="8"/>
      <c r="M115" s="8" t="s">
        <v>59</v>
      </c>
      <c r="N115" s="8"/>
    </row>
    <row r="116" ht="15.75" customHeight="1">
      <c r="A116" s="6" t="s">
        <v>521</v>
      </c>
      <c r="B116" s="6" t="s">
        <v>619</v>
      </c>
      <c r="C116" s="6" t="s">
        <v>482</v>
      </c>
      <c r="D116" s="6" t="s">
        <v>553</v>
      </c>
      <c r="E116" s="6" t="s">
        <v>438</v>
      </c>
      <c r="F116" s="6" t="s">
        <v>113</v>
      </c>
      <c r="G116" s="6" t="s">
        <v>785</v>
      </c>
      <c r="H116" s="6" t="s">
        <v>710</v>
      </c>
      <c r="I116" s="6" t="s">
        <v>622</v>
      </c>
      <c r="J116" s="6" t="s">
        <v>787</v>
      </c>
      <c r="M116" s="6" t="s">
        <v>561</v>
      </c>
    </row>
    <row r="117" ht="15.75" customHeight="1"/>
    <row r="118" ht="15.75" customHeight="1">
      <c r="A118" s="6" t="s">
        <v>515</v>
      </c>
    </row>
    <row r="119" ht="15.75" customHeight="1">
      <c r="A119" s="6" t="s">
        <v>792</v>
      </c>
    </row>
    <row r="120" ht="15.75" customHeight="1">
      <c r="A120" s="6" t="s">
        <v>4</v>
      </c>
      <c r="B120" s="6" t="s">
        <v>6</v>
      </c>
      <c r="C120" s="6" t="s">
        <v>7</v>
      </c>
      <c r="D120" s="6" t="s">
        <v>8</v>
      </c>
      <c r="E120" s="6" t="s">
        <v>9</v>
      </c>
      <c r="F120" s="6" t="s">
        <v>10</v>
      </c>
      <c r="G120" s="6" t="s">
        <v>11</v>
      </c>
      <c r="H120" s="6" t="s">
        <v>12</v>
      </c>
      <c r="I120" s="6" t="s">
        <v>13</v>
      </c>
      <c r="J120" s="6" t="s">
        <v>14</v>
      </c>
      <c r="K120" s="6" t="s">
        <v>15</v>
      </c>
      <c r="L120" s="6" t="s">
        <v>16</v>
      </c>
      <c r="M120" s="6" t="s">
        <v>17</v>
      </c>
      <c r="N120" s="6" t="s">
        <v>18</v>
      </c>
    </row>
    <row r="121" ht="15.75" customHeight="1">
      <c r="A121" s="8" t="s">
        <v>521</v>
      </c>
      <c r="B121" s="8" t="s">
        <v>796</v>
      </c>
      <c r="C121" s="8" t="s">
        <v>798</v>
      </c>
      <c r="D121" s="8" t="s">
        <v>93</v>
      </c>
      <c r="E121" s="8" t="s">
        <v>800</v>
      </c>
      <c r="F121" s="8" t="s">
        <v>24</v>
      </c>
      <c r="G121" s="8" t="s">
        <v>634</v>
      </c>
      <c r="H121" s="8" t="s">
        <v>101</v>
      </c>
      <c r="I121" s="8" t="s">
        <v>801</v>
      </c>
      <c r="J121" s="8"/>
      <c r="K121" s="8"/>
      <c r="L121" s="8"/>
      <c r="M121" s="8" t="s">
        <v>30</v>
      </c>
      <c r="N121" s="8"/>
    </row>
    <row r="122" ht="15.75" customHeight="1">
      <c r="A122" s="8" t="s">
        <v>521</v>
      </c>
      <c r="B122" s="8" t="s">
        <v>796</v>
      </c>
      <c r="C122" s="8" t="s">
        <v>469</v>
      </c>
      <c r="D122" s="8" t="s">
        <v>806</v>
      </c>
      <c r="E122" s="8" t="s">
        <v>800</v>
      </c>
      <c r="F122" s="8" t="s">
        <v>24</v>
      </c>
      <c r="G122" s="8" t="s">
        <v>634</v>
      </c>
      <c r="H122" s="8" t="s">
        <v>807</v>
      </c>
      <c r="I122" s="8" t="s">
        <v>801</v>
      </c>
      <c r="J122" s="8"/>
      <c r="K122" s="8"/>
      <c r="L122" s="8"/>
      <c r="M122" s="8" t="s">
        <v>30</v>
      </c>
      <c r="N122" s="8"/>
    </row>
    <row r="123" ht="15.75" customHeight="1">
      <c r="A123" s="8" t="s">
        <v>521</v>
      </c>
      <c r="B123" s="8" t="s">
        <v>810</v>
      </c>
      <c r="C123" s="8" t="s">
        <v>469</v>
      </c>
      <c r="D123" s="8" t="s">
        <v>22</v>
      </c>
      <c r="E123" s="8" t="s">
        <v>812</v>
      </c>
      <c r="F123" s="8" t="s">
        <v>67</v>
      </c>
      <c r="G123" s="8" t="s">
        <v>649</v>
      </c>
      <c r="H123" s="8" t="s">
        <v>26</v>
      </c>
      <c r="I123" s="8" t="s">
        <v>814</v>
      </c>
      <c r="J123" s="8"/>
      <c r="K123" s="8"/>
      <c r="L123" s="8"/>
      <c r="M123" s="8" t="s">
        <v>30</v>
      </c>
      <c r="N123" s="8"/>
    </row>
    <row r="124" ht="15.75" customHeight="1"/>
    <row r="125" ht="15.75" customHeight="1">
      <c r="A125" s="6" t="s">
        <v>605</v>
      </c>
    </row>
    <row r="126" ht="15.75" customHeight="1">
      <c r="A126" s="6" t="s">
        <v>419</v>
      </c>
    </row>
    <row r="127" ht="15.75" customHeight="1">
      <c r="A127" s="6" t="s">
        <v>4</v>
      </c>
      <c r="B127" s="6" t="s">
        <v>6</v>
      </c>
      <c r="C127" s="6" t="s">
        <v>7</v>
      </c>
      <c r="D127" s="6" t="s">
        <v>8</v>
      </c>
      <c r="E127" s="6" t="s">
        <v>9</v>
      </c>
      <c r="F127" s="6" t="s">
        <v>10</v>
      </c>
      <c r="G127" s="6" t="s">
        <v>11</v>
      </c>
      <c r="H127" s="6" t="s">
        <v>12</v>
      </c>
      <c r="I127" s="6" t="s">
        <v>13</v>
      </c>
      <c r="J127" s="6" t="s">
        <v>14</v>
      </c>
      <c r="K127" s="6" t="s">
        <v>15</v>
      </c>
      <c r="L127" s="6" t="s">
        <v>16</v>
      </c>
      <c r="M127" s="6" t="s">
        <v>17</v>
      </c>
      <c r="N127" s="6" t="s">
        <v>18</v>
      </c>
    </row>
    <row r="128" ht="15.75" customHeight="1">
      <c r="A128" s="6" t="s">
        <v>613</v>
      </c>
      <c r="B128" s="6" t="s">
        <v>458</v>
      </c>
      <c r="C128" s="6" t="s">
        <v>435</v>
      </c>
      <c r="D128" s="6" t="s">
        <v>821</v>
      </c>
      <c r="E128" s="6" t="s">
        <v>438</v>
      </c>
      <c r="F128" s="6" t="s">
        <v>98</v>
      </c>
      <c r="G128" s="6" t="s">
        <v>305</v>
      </c>
      <c r="H128" s="6" t="s">
        <v>55</v>
      </c>
      <c r="I128" s="6" t="s">
        <v>466</v>
      </c>
      <c r="J128" s="6"/>
      <c r="K128" s="6"/>
      <c r="L128" s="6" t="s">
        <v>304</v>
      </c>
      <c r="M128" s="6" t="s">
        <v>59</v>
      </c>
      <c r="N128" s="6"/>
    </row>
    <row r="129" ht="15.75" customHeight="1">
      <c r="A129" s="6" t="s">
        <v>613</v>
      </c>
      <c r="B129" s="6" t="s">
        <v>762</v>
      </c>
      <c r="C129" s="6" t="s">
        <v>823</v>
      </c>
      <c r="D129" s="6" t="s">
        <v>604</v>
      </c>
      <c r="E129" s="6" t="s">
        <v>224</v>
      </c>
      <c r="F129" s="6" t="s">
        <v>138</v>
      </c>
      <c r="G129" s="6" t="s">
        <v>207</v>
      </c>
      <c r="H129" s="6" t="s">
        <v>606</v>
      </c>
      <c r="I129" s="6" t="s">
        <v>765</v>
      </c>
      <c r="J129" s="6"/>
      <c r="K129" s="6" t="s">
        <v>724</v>
      </c>
      <c r="L129" s="6" t="s">
        <v>304</v>
      </c>
      <c r="M129" s="6" t="s">
        <v>59</v>
      </c>
      <c r="N129" s="6"/>
    </row>
    <row r="130" ht="15.75" customHeight="1">
      <c r="A130" s="6" t="s">
        <v>613</v>
      </c>
      <c r="B130" s="6" t="s">
        <v>762</v>
      </c>
      <c r="C130" s="6" t="s">
        <v>823</v>
      </c>
      <c r="D130" s="6" t="s">
        <v>353</v>
      </c>
      <c r="E130" s="6" t="s">
        <v>224</v>
      </c>
      <c r="F130" s="6" t="s">
        <v>597</v>
      </c>
      <c r="G130" s="6" t="s">
        <v>207</v>
      </c>
      <c r="H130" s="6" t="s">
        <v>88</v>
      </c>
      <c r="I130" s="6" t="s">
        <v>765</v>
      </c>
      <c r="J130" s="6"/>
      <c r="K130" s="6" t="s">
        <v>833</v>
      </c>
      <c r="L130" s="6" t="s">
        <v>304</v>
      </c>
      <c r="M130" s="6" t="s">
        <v>59</v>
      </c>
      <c r="N130" s="6"/>
    </row>
    <row r="131" ht="15.75" customHeight="1">
      <c r="A131" s="6" t="s">
        <v>613</v>
      </c>
      <c r="B131" s="6" t="s">
        <v>60</v>
      </c>
      <c r="C131" s="6" t="s">
        <v>616</v>
      </c>
      <c r="D131" s="6" t="s">
        <v>299</v>
      </c>
      <c r="E131" s="6" t="s">
        <v>556</v>
      </c>
      <c r="F131" s="6" t="s">
        <v>24</v>
      </c>
      <c r="G131" s="6" t="s">
        <v>25</v>
      </c>
      <c r="H131" s="6" t="s">
        <v>156</v>
      </c>
      <c r="I131" s="6" t="s">
        <v>72</v>
      </c>
      <c r="J131" s="6"/>
      <c r="K131" s="6"/>
      <c r="L131" s="6" t="s">
        <v>304</v>
      </c>
      <c r="M131" s="6" t="s">
        <v>59</v>
      </c>
      <c r="N131" s="6"/>
    </row>
    <row r="132" ht="15.75" customHeight="1">
      <c r="A132" s="6" t="s">
        <v>613</v>
      </c>
      <c r="B132" s="6" t="s">
        <v>110</v>
      </c>
      <c r="C132" s="6" t="s">
        <v>576</v>
      </c>
      <c r="D132" s="6" t="s">
        <v>835</v>
      </c>
      <c r="E132" s="6" t="s">
        <v>524</v>
      </c>
      <c r="F132" s="6" t="s">
        <v>24</v>
      </c>
      <c r="G132" s="6" t="s">
        <v>25</v>
      </c>
      <c r="H132" s="6" t="s">
        <v>838</v>
      </c>
      <c r="I132" s="6" t="s">
        <v>118</v>
      </c>
      <c r="J132" s="6"/>
      <c r="K132" s="6" t="s">
        <v>638</v>
      </c>
      <c r="L132" s="6" t="s">
        <v>304</v>
      </c>
      <c r="M132" s="6" t="s">
        <v>59</v>
      </c>
      <c r="N132" s="6"/>
    </row>
    <row r="133" ht="15.75" customHeight="1">
      <c r="A133" s="6" t="s">
        <v>613</v>
      </c>
      <c r="B133" s="6" t="s">
        <v>662</v>
      </c>
      <c r="C133" s="6" t="s">
        <v>596</v>
      </c>
      <c r="D133" s="6" t="s">
        <v>299</v>
      </c>
      <c r="E133" s="6" t="s">
        <v>541</v>
      </c>
      <c r="F133" s="6" t="s">
        <v>24</v>
      </c>
      <c r="G133" s="6" t="s">
        <v>25</v>
      </c>
      <c r="H133" s="6" t="s">
        <v>156</v>
      </c>
      <c r="I133" s="6" t="s">
        <v>665</v>
      </c>
      <c r="J133" s="6"/>
      <c r="K133" s="6"/>
      <c r="L133" s="6" t="s">
        <v>304</v>
      </c>
      <c r="M133" s="6" t="s">
        <v>59</v>
      </c>
      <c r="N133" s="6"/>
    </row>
    <row r="134" ht="15.75" customHeight="1">
      <c r="A134" s="6" t="s">
        <v>613</v>
      </c>
      <c r="B134" s="6" t="s">
        <v>141</v>
      </c>
      <c r="C134" s="6" t="s">
        <v>539</v>
      </c>
      <c r="D134" s="6" t="s">
        <v>299</v>
      </c>
      <c r="E134" s="6" t="s">
        <v>556</v>
      </c>
      <c r="F134" s="6" t="s">
        <v>24</v>
      </c>
      <c r="G134" s="6" t="s">
        <v>25</v>
      </c>
      <c r="H134" s="6" t="s">
        <v>156</v>
      </c>
      <c r="I134" s="6" t="s">
        <v>147</v>
      </c>
      <c r="J134" s="6"/>
      <c r="K134" s="6"/>
      <c r="L134" s="6" t="s">
        <v>304</v>
      </c>
      <c r="M134" s="6" t="s">
        <v>59</v>
      </c>
      <c r="N134" s="6"/>
    </row>
    <row r="135" ht="15.75" customHeight="1">
      <c r="A135" s="6" t="s">
        <v>613</v>
      </c>
      <c r="B135" s="6" t="s">
        <v>846</v>
      </c>
      <c r="C135" s="6" t="s">
        <v>596</v>
      </c>
      <c r="D135" s="6" t="s">
        <v>353</v>
      </c>
      <c r="E135" s="6" t="s">
        <v>282</v>
      </c>
      <c r="F135" s="6" t="s">
        <v>597</v>
      </c>
      <c r="G135" s="6" t="s">
        <v>207</v>
      </c>
      <c r="H135" s="6" t="s">
        <v>88</v>
      </c>
      <c r="I135" s="6" t="s">
        <v>847</v>
      </c>
      <c r="J135" s="6"/>
      <c r="K135" s="6" t="s">
        <v>833</v>
      </c>
      <c r="L135" s="6" t="s">
        <v>304</v>
      </c>
      <c r="M135" s="6" t="s">
        <v>59</v>
      </c>
      <c r="N135" s="6"/>
    </row>
    <row r="136" ht="15.75" customHeight="1">
      <c r="A136" s="6" t="s">
        <v>613</v>
      </c>
      <c r="B136" s="6" t="s">
        <v>171</v>
      </c>
      <c r="C136" s="6" t="s">
        <v>608</v>
      </c>
      <c r="D136" s="6" t="s">
        <v>64</v>
      </c>
      <c r="E136" s="6" t="s">
        <v>459</v>
      </c>
      <c r="F136" s="6" t="s">
        <v>24</v>
      </c>
      <c r="G136" s="6" t="s">
        <v>54</v>
      </c>
      <c r="H136" s="6" t="s">
        <v>70</v>
      </c>
      <c r="I136" s="6" t="s">
        <v>497</v>
      </c>
      <c r="J136" s="6"/>
      <c r="K136" s="6" t="s">
        <v>638</v>
      </c>
      <c r="L136" s="6" t="s">
        <v>29</v>
      </c>
      <c r="M136" s="6" t="s">
        <v>59</v>
      </c>
      <c r="N136" s="6"/>
    </row>
    <row r="137" ht="15.75" customHeight="1">
      <c r="A137" s="6" t="s">
        <v>613</v>
      </c>
      <c r="B137" s="6" t="s">
        <v>200</v>
      </c>
      <c r="C137" s="6" t="s">
        <v>853</v>
      </c>
      <c r="D137" s="6" t="s">
        <v>854</v>
      </c>
      <c r="E137" s="6" t="s">
        <v>136</v>
      </c>
      <c r="F137" s="6" t="s">
        <v>138</v>
      </c>
      <c r="G137" s="6" t="s">
        <v>207</v>
      </c>
      <c r="H137" s="6" t="s">
        <v>341</v>
      </c>
      <c r="I137" s="6" t="s">
        <v>780</v>
      </c>
      <c r="J137" s="6"/>
      <c r="K137" s="6"/>
      <c r="L137" s="6" t="s">
        <v>304</v>
      </c>
      <c r="M137" s="6" t="s">
        <v>59</v>
      </c>
      <c r="N137" s="6"/>
    </row>
    <row r="138" ht="15.75" customHeight="1">
      <c r="A138" s="6" t="s">
        <v>613</v>
      </c>
      <c r="B138" s="6" t="s">
        <v>214</v>
      </c>
      <c r="C138" s="6" t="s">
        <v>588</v>
      </c>
      <c r="D138" s="6" t="s">
        <v>859</v>
      </c>
      <c r="E138" s="6" t="s">
        <v>541</v>
      </c>
      <c r="F138" s="6" t="s">
        <v>24</v>
      </c>
      <c r="G138" s="6" t="s">
        <v>25</v>
      </c>
      <c r="H138" s="6" t="s">
        <v>862</v>
      </c>
      <c r="I138" s="6" t="s">
        <v>223</v>
      </c>
      <c r="J138" s="6" t="s">
        <v>225</v>
      </c>
      <c r="K138" s="6"/>
      <c r="L138" s="6" t="s">
        <v>304</v>
      </c>
      <c r="M138" s="6" t="s">
        <v>59</v>
      </c>
      <c r="N138" s="6"/>
    </row>
    <row r="139" ht="15.75" customHeight="1"/>
    <row r="140" ht="15.75" customHeight="1">
      <c r="A140" s="6" t="s">
        <v>605</v>
      </c>
    </row>
    <row r="141" ht="15.75" customHeight="1">
      <c r="A141" s="6" t="s">
        <v>3</v>
      </c>
    </row>
    <row r="142" ht="15.75" customHeight="1">
      <c r="A142" s="6" t="s">
        <v>4</v>
      </c>
      <c r="B142" s="6" t="s">
        <v>6</v>
      </c>
      <c r="C142" s="6" t="s">
        <v>7</v>
      </c>
      <c r="D142" s="6" t="s">
        <v>8</v>
      </c>
      <c r="E142" s="6" t="s">
        <v>9</v>
      </c>
      <c r="F142" s="6" t="s">
        <v>10</v>
      </c>
      <c r="G142" s="6" t="s">
        <v>11</v>
      </c>
      <c r="H142" s="6" t="s">
        <v>12</v>
      </c>
      <c r="I142" s="6" t="s">
        <v>13</v>
      </c>
      <c r="J142" s="6" t="s">
        <v>14</v>
      </c>
      <c r="K142" s="6" t="s">
        <v>15</v>
      </c>
      <c r="L142" s="6" t="s">
        <v>16</v>
      </c>
      <c r="M142" s="6" t="s">
        <v>17</v>
      </c>
      <c r="N142" s="6" t="s">
        <v>18</v>
      </c>
    </row>
    <row r="143" ht="15.75" customHeight="1">
      <c r="A143" s="6" t="s">
        <v>613</v>
      </c>
      <c r="B143" s="6" t="s">
        <v>20</v>
      </c>
      <c r="C143" s="6" t="s">
        <v>428</v>
      </c>
      <c r="D143" s="6" t="s">
        <v>365</v>
      </c>
      <c r="E143" s="6" t="s">
        <v>712</v>
      </c>
      <c r="F143" s="6" t="s">
        <v>24</v>
      </c>
      <c r="G143" s="6" t="s">
        <v>25</v>
      </c>
      <c r="H143" s="6" t="s">
        <v>49</v>
      </c>
      <c r="I143" s="6" t="s">
        <v>27</v>
      </c>
      <c r="J143" s="6"/>
      <c r="K143" s="6"/>
      <c r="L143" s="6" t="s">
        <v>304</v>
      </c>
      <c r="M143" s="6" t="s">
        <v>59</v>
      </c>
      <c r="N143" s="6"/>
    </row>
    <row r="144" ht="15.75" customHeight="1"/>
    <row r="145" ht="15.75" customHeight="1">
      <c r="A145" s="16" t="s">
        <v>661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ht="15.75" customHeight="1">
      <c r="A146" s="17" t="s">
        <v>426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ht="15.75" customHeight="1">
      <c r="A147" s="18" t="s">
        <v>4</v>
      </c>
      <c r="B147" s="18" t="s">
        <v>6</v>
      </c>
      <c r="C147" s="18" t="s">
        <v>7</v>
      </c>
      <c r="D147" s="18" t="s">
        <v>8</v>
      </c>
      <c r="E147" s="18" t="s">
        <v>9</v>
      </c>
      <c r="F147" s="18" t="s">
        <v>10</v>
      </c>
      <c r="G147" s="18" t="s">
        <v>11</v>
      </c>
      <c r="H147" s="18" t="s">
        <v>12</v>
      </c>
      <c r="I147" s="18" t="s">
        <v>13</v>
      </c>
      <c r="J147" s="18" t="s">
        <v>14</v>
      </c>
      <c r="K147" s="18" t="s">
        <v>15</v>
      </c>
      <c r="L147" s="18" t="s">
        <v>16</v>
      </c>
      <c r="M147" s="18" t="s">
        <v>17</v>
      </c>
      <c r="N147" s="18" t="s">
        <v>18</v>
      </c>
    </row>
    <row r="148" ht="15.75" customHeight="1">
      <c r="A148" s="6" t="s">
        <v>669</v>
      </c>
      <c r="B148" s="6" t="s">
        <v>266</v>
      </c>
      <c r="C148" s="6" t="s">
        <v>781</v>
      </c>
      <c r="D148" s="6" t="s">
        <v>429</v>
      </c>
      <c r="E148" s="6" t="s">
        <v>459</v>
      </c>
      <c r="F148" s="6" t="s">
        <v>24</v>
      </c>
      <c r="G148" s="6" t="s">
        <v>431</v>
      </c>
      <c r="H148" s="6" t="s">
        <v>156</v>
      </c>
      <c r="I148" s="6" t="s">
        <v>273</v>
      </c>
      <c r="J148" s="6"/>
      <c r="K148" s="6"/>
      <c r="L148" s="6" t="s">
        <v>304</v>
      </c>
      <c r="M148" s="6" t="s">
        <v>59</v>
      </c>
      <c r="N148" s="6"/>
    </row>
    <row r="149" ht="15.75" customHeight="1">
      <c r="A149" s="6" t="s">
        <v>669</v>
      </c>
      <c r="B149" s="6" t="s">
        <v>742</v>
      </c>
      <c r="C149" s="6" t="s">
        <v>837</v>
      </c>
      <c r="D149" s="6" t="s">
        <v>429</v>
      </c>
      <c r="E149" s="6" t="s">
        <v>430</v>
      </c>
      <c r="F149" s="6" t="s">
        <v>24</v>
      </c>
      <c r="G149" s="6" t="s">
        <v>431</v>
      </c>
      <c r="H149" s="6" t="s">
        <v>156</v>
      </c>
      <c r="I149" s="6" t="s">
        <v>743</v>
      </c>
      <c r="J149" s="6"/>
      <c r="K149" s="6"/>
      <c r="L149" s="6" t="s">
        <v>304</v>
      </c>
      <c r="M149" s="6" t="s">
        <v>59</v>
      </c>
      <c r="N149" s="6"/>
    </row>
    <row r="150" ht="15.75" customHeight="1">
      <c r="A150" s="6" t="s">
        <v>669</v>
      </c>
      <c r="B150" s="6" t="s">
        <v>278</v>
      </c>
      <c r="C150" s="6" t="s">
        <v>700</v>
      </c>
      <c r="D150" s="6" t="s">
        <v>429</v>
      </c>
      <c r="E150" s="6" t="s">
        <v>714</v>
      </c>
      <c r="F150" s="6" t="s">
        <v>67</v>
      </c>
      <c r="G150" s="6" t="s">
        <v>883</v>
      </c>
      <c r="H150" s="6" t="s">
        <v>55</v>
      </c>
      <c r="I150" s="6" t="s">
        <v>283</v>
      </c>
      <c r="J150" s="6"/>
      <c r="K150" s="6"/>
      <c r="L150" s="6" t="s">
        <v>304</v>
      </c>
      <c r="M150" s="6" t="s">
        <v>59</v>
      </c>
      <c r="N150" s="6"/>
    </row>
    <row r="151" ht="15.75" customHeight="1">
      <c r="A151" s="6" t="s">
        <v>669</v>
      </c>
      <c r="B151" s="6" t="s">
        <v>746</v>
      </c>
      <c r="C151" s="6" t="s">
        <v>825</v>
      </c>
      <c r="D151" s="6" t="s">
        <v>429</v>
      </c>
      <c r="E151" s="6" t="s">
        <v>459</v>
      </c>
      <c r="F151" s="6" t="s">
        <v>24</v>
      </c>
      <c r="G151" s="6" t="s">
        <v>431</v>
      </c>
      <c r="H151" s="6" t="s">
        <v>55</v>
      </c>
      <c r="I151" s="6" t="s">
        <v>516</v>
      </c>
      <c r="J151" s="6"/>
      <c r="K151" s="6"/>
      <c r="L151" s="6" t="s">
        <v>304</v>
      </c>
      <c r="M151" s="6" t="s">
        <v>59</v>
      </c>
      <c r="N151" s="6"/>
    </row>
    <row r="152" ht="15.75" customHeight="1">
      <c r="A152" s="6" t="s">
        <v>669</v>
      </c>
      <c r="B152" s="6" t="s">
        <v>285</v>
      </c>
      <c r="C152" s="6" t="s">
        <v>672</v>
      </c>
      <c r="D152" s="6" t="s">
        <v>429</v>
      </c>
      <c r="E152" s="6" t="s">
        <v>459</v>
      </c>
      <c r="F152" s="6" t="s">
        <v>24</v>
      </c>
      <c r="G152" s="6" t="s">
        <v>431</v>
      </c>
      <c r="H152" s="6" t="s">
        <v>55</v>
      </c>
      <c r="I152" s="6" t="s">
        <v>290</v>
      </c>
      <c r="J152" s="6"/>
      <c r="K152" s="6"/>
      <c r="L152" s="6" t="s">
        <v>304</v>
      </c>
      <c r="M152" s="6" t="s">
        <v>59</v>
      </c>
      <c r="N152" s="6"/>
    </row>
    <row r="153" ht="15.75" customHeight="1">
      <c r="A153" s="6" t="s">
        <v>669</v>
      </c>
      <c r="B153" s="6" t="s">
        <v>754</v>
      </c>
      <c r="C153" s="6" t="s">
        <v>684</v>
      </c>
      <c r="D153" s="6" t="s">
        <v>429</v>
      </c>
      <c r="E153" s="6" t="s">
        <v>592</v>
      </c>
      <c r="F153" s="6" t="s">
        <v>24</v>
      </c>
      <c r="G153" s="6" t="s">
        <v>431</v>
      </c>
      <c r="H153" s="6" t="s">
        <v>66</v>
      </c>
      <c r="I153" s="6" t="s">
        <v>758</v>
      </c>
      <c r="J153" s="6"/>
      <c r="K153" s="6"/>
      <c r="L153" s="6" t="s">
        <v>304</v>
      </c>
      <c r="M153" s="6" t="s">
        <v>59</v>
      </c>
      <c r="N153" s="6"/>
    </row>
    <row r="154" ht="15.75" customHeight="1">
      <c r="A154" s="6" t="s">
        <v>669</v>
      </c>
      <c r="B154" s="6" t="s">
        <v>292</v>
      </c>
      <c r="C154" s="6" t="s">
        <v>895</v>
      </c>
      <c r="D154" s="6" t="s">
        <v>429</v>
      </c>
      <c r="E154" s="6" t="s">
        <v>196</v>
      </c>
      <c r="F154" s="6" t="s">
        <v>138</v>
      </c>
      <c r="G154" s="6" t="s">
        <v>693</v>
      </c>
      <c r="H154" s="6" t="s">
        <v>897</v>
      </c>
      <c r="I154" s="6" t="s">
        <v>898</v>
      </c>
      <c r="J154" s="6"/>
      <c r="K154" s="6" t="s">
        <v>724</v>
      </c>
      <c r="L154" s="6" t="s">
        <v>304</v>
      </c>
      <c r="M154" s="6" t="s">
        <v>59</v>
      </c>
      <c r="N154" s="6"/>
    </row>
    <row r="155" ht="15.75" customHeight="1">
      <c r="A155" s="6" t="s">
        <v>669</v>
      </c>
      <c r="B155" s="6" t="s">
        <v>767</v>
      </c>
      <c r="C155" s="6" t="s">
        <v>764</v>
      </c>
      <c r="D155" s="6" t="s">
        <v>429</v>
      </c>
      <c r="E155" s="6" t="s">
        <v>592</v>
      </c>
      <c r="F155" s="6" t="s">
        <v>24</v>
      </c>
      <c r="G155" s="6" t="s">
        <v>431</v>
      </c>
      <c r="H155" s="6" t="s">
        <v>38</v>
      </c>
      <c r="I155" s="6" t="s">
        <v>768</v>
      </c>
      <c r="J155" s="6" t="s">
        <v>769</v>
      </c>
      <c r="K155" s="6" t="s">
        <v>674</v>
      </c>
      <c r="L155" s="6" t="s">
        <v>304</v>
      </c>
      <c r="M155" s="6" t="s">
        <v>59</v>
      </c>
      <c r="N155" s="6"/>
    </row>
    <row r="156" ht="15.75" customHeight="1">
      <c r="A156" s="6" t="s">
        <v>669</v>
      </c>
      <c r="B156" s="6" t="s">
        <v>110</v>
      </c>
      <c r="C156" s="6" t="s">
        <v>690</v>
      </c>
      <c r="D156" s="6" t="s">
        <v>429</v>
      </c>
      <c r="E156" s="6" t="s">
        <v>438</v>
      </c>
      <c r="F156" s="6" t="s">
        <v>113</v>
      </c>
      <c r="G156" s="6" t="s">
        <v>785</v>
      </c>
      <c r="H156" s="6" t="s">
        <v>117</v>
      </c>
      <c r="I156" s="6" t="s">
        <v>118</v>
      </c>
      <c r="J156" s="6"/>
      <c r="K156" s="6" t="s">
        <v>674</v>
      </c>
      <c r="L156" s="6" t="s">
        <v>304</v>
      </c>
      <c r="M156" s="6" t="s">
        <v>59</v>
      </c>
      <c r="N156" s="6"/>
    </row>
    <row r="157" ht="15.75" customHeight="1">
      <c r="A157" s="6" t="s">
        <v>669</v>
      </c>
      <c r="B157" s="6" t="s">
        <v>123</v>
      </c>
      <c r="C157" s="6" t="s">
        <v>700</v>
      </c>
      <c r="D157" s="6" t="s">
        <v>429</v>
      </c>
      <c r="E157" s="6" t="s">
        <v>714</v>
      </c>
      <c r="F157" s="6" t="s">
        <v>113</v>
      </c>
      <c r="G157" s="6" t="s">
        <v>785</v>
      </c>
      <c r="H157" s="6" t="s">
        <v>306</v>
      </c>
      <c r="I157" s="6" t="s">
        <v>131</v>
      </c>
      <c r="J157" s="6" t="s">
        <v>315</v>
      </c>
      <c r="K157" s="6"/>
      <c r="L157" s="6" t="s">
        <v>304</v>
      </c>
      <c r="M157" s="6" t="s">
        <v>59</v>
      </c>
      <c r="N157" s="6"/>
    </row>
    <row r="158" ht="15.75" customHeight="1">
      <c r="A158" s="6" t="s">
        <v>669</v>
      </c>
      <c r="B158" s="6" t="s">
        <v>141</v>
      </c>
      <c r="C158" s="6" t="s">
        <v>690</v>
      </c>
      <c r="D158" s="6" t="s">
        <v>429</v>
      </c>
      <c r="E158" s="6" t="s">
        <v>459</v>
      </c>
      <c r="F158" s="6" t="s">
        <v>24</v>
      </c>
      <c r="G158" s="6" t="s">
        <v>431</v>
      </c>
      <c r="H158" s="6" t="s">
        <v>49</v>
      </c>
      <c r="I158" s="6" t="s">
        <v>147</v>
      </c>
      <c r="J158" s="6"/>
      <c r="K158" s="6"/>
      <c r="L158" s="6" t="s">
        <v>304</v>
      </c>
      <c r="M158" s="6" t="s">
        <v>59</v>
      </c>
      <c r="N158" s="6"/>
    </row>
    <row r="159" ht="15.75" customHeight="1">
      <c r="A159" s="6" t="s">
        <v>669</v>
      </c>
      <c r="B159" s="6" t="s">
        <v>318</v>
      </c>
      <c r="C159" s="6" t="s">
        <v>870</v>
      </c>
      <c r="D159" s="6" t="s">
        <v>429</v>
      </c>
      <c r="E159" s="6" t="s">
        <v>508</v>
      </c>
      <c r="F159" s="6" t="s">
        <v>24</v>
      </c>
      <c r="G159" s="6" t="s">
        <v>431</v>
      </c>
      <c r="H159" s="6" t="s">
        <v>910</v>
      </c>
      <c r="I159" s="6" t="s">
        <v>347</v>
      </c>
      <c r="J159" s="6"/>
      <c r="K159" s="6"/>
      <c r="L159" s="6" t="s">
        <v>304</v>
      </c>
      <c r="M159" s="6" t="s">
        <v>59</v>
      </c>
      <c r="N159" s="6"/>
    </row>
    <row r="160" ht="15.75" customHeight="1">
      <c r="A160" s="6" t="s">
        <v>669</v>
      </c>
      <c r="B160" s="6" t="s">
        <v>915</v>
      </c>
      <c r="C160" s="6" t="s">
        <v>781</v>
      </c>
      <c r="D160" s="6" t="s">
        <v>429</v>
      </c>
      <c r="E160" s="6" t="s">
        <v>430</v>
      </c>
      <c r="F160" s="6" t="s">
        <v>24</v>
      </c>
      <c r="G160" s="6" t="s">
        <v>431</v>
      </c>
      <c r="H160" s="6" t="s">
        <v>105</v>
      </c>
      <c r="I160" s="6" t="s">
        <v>917</v>
      </c>
      <c r="J160" s="6"/>
      <c r="K160" s="6" t="s">
        <v>724</v>
      </c>
      <c r="L160" s="6" t="s">
        <v>304</v>
      </c>
      <c r="M160" s="6" t="s">
        <v>59</v>
      </c>
      <c r="N160" s="6"/>
    </row>
    <row r="161" ht="15.75" customHeight="1">
      <c r="A161" s="6" t="s">
        <v>669</v>
      </c>
      <c r="B161" s="6" t="s">
        <v>163</v>
      </c>
      <c r="C161" s="6" t="s">
        <v>670</v>
      </c>
      <c r="D161" s="6" t="s">
        <v>429</v>
      </c>
      <c r="E161" s="6" t="s">
        <v>459</v>
      </c>
      <c r="F161" s="6" t="s">
        <v>24</v>
      </c>
      <c r="G161" s="6" t="s">
        <v>431</v>
      </c>
      <c r="H161" s="6" t="s">
        <v>101</v>
      </c>
      <c r="I161" s="6" t="s">
        <v>673</v>
      </c>
      <c r="J161" s="6"/>
      <c r="K161" s="6" t="s">
        <v>674</v>
      </c>
      <c r="L161" s="6" t="s">
        <v>304</v>
      </c>
      <c r="M161" s="6" t="s">
        <v>59</v>
      </c>
      <c r="N161" s="6" t="s">
        <v>702</v>
      </c>
    </row>
    <row r="162" ht="15.75" customHeight="1">
      <c r="A162" s="6" t="s">
        <v>669</v>
      </c>
      <c r="B162" s="6" t="s">
        <v>378</v>
      </c>
      <c r="C162" s="6" t="s">
        <v>840</v>
      </c>
      <c r="D162" s="6" t="s">
        <v>429</v>
      </c>
      <c r="E162" s="6" t="s">
        <v>196</v>
      </c>
      <c r="F162" s="6" t="s">
        <v>255</v>
      </c>
      <c r="G162" s="6" t="s">
        <v>681</v>
      </c>
      <c r="H162" s="6" t="s">
        <v>496</v>
      </c>
      <c r="I162" s="6" t="s">
        <v>385</v>
      </c>
      <c r="J162" s="6"/>
      <c r="K162" s="6"/>
      <c r="L162" s="6" t="s">
        <v>304</v>
      </c>
      <c r="M162" s="6" t="s">
        <v>59</v>
      </c>
      <c r="N162" s="6"/>
    </row>
    <row r="163" ht="15.75" customHeight="1">
      <c r="A163" s="6" t="s">
        <v>669</v>
      </c>
      <c r="B163" s="6" t="s">
        <v>388</v>
      </c>
      <c r="C163" s="6" t="s">
        <v>921</v>
      </c>
      <c r="D163" s="6" t="s">
        <v>429</v>
      </c>
      <c r="E163" s="6" t="s">
        <v>459</v>
      </c>
      <c r="F163" s="6" t="s">
        <v>24</v>
      </c>
      <c r="G163" s="6" t="s">
        <v>634</v>
      </c>
      <c r="H163" s="6" t="s">
        <v>922</v>
      </c>
      <c r="I163" s="6" t="s">
        <v>391</v>
      </c>
      <c r="J163" s="6" t="s">
        <v>392</v>
      </c>
      <c r="K163" s="6"/>
      <c r="L163" s="6" t="s">
        <v>304</v>
      </c>
      <c r="M163" s="6" t="s">
        <v>59</v>
      </c>
      <c r="N163" s="6"/>
    </row>
    <row r="164" ht="15.75" customHeight="1">
      <c r="A164" s="6" t="s">
        <v>669</v>
      </c>
      <c r="B164" s="6" t="s">
        <v>214</v>
      </c>
      <c r="C164" s="6" t="s">
        <v>705</v>
      </c>
      <c r="D164" s="6" t="s">
        <v>429</v>
      </c>
      <c r="E164" s="6" t="s">
        <v>196</v>
      </c>
      <c r="F164" s="6" t="s">
        <v>138</v>
      </c>
      <c r="G164" s="6" t="s">
        <v>681</v>
      </c>
      <c r="H164" s="6" t="s">
        <v>341</v>
      </c>
      <c r="I164" s="6" t="s">
        <v>223</v>
      </c>
      <c r="J164" s="6"/>
      <c r="K164" s="6"/>
      <c r="L164" s="6" t="s">
        <v>304</v>
      </c>
      <c r="M164" s="6" t="s">
        <v>59</v>
      </c>
      <c r="N164" s="6"/>
    </row>
    <row r="165" ht="15.75" customHeight="1">
      <c r="A165" s="6" t="s">
        <v>669</v>
      </c>
      <c r="B165" s="6" t="s">
        <v>404</v>
      </c>
      <c r="C165" s="6" t="s">
        <v>848</v>
      </c>
      <c r="D165" s="6" t="s">
        <v>429</v>
      </c>
      <c r="E165" s="6" t="s">
        <v>196</v>
      </c>
      <c r="F165" s="6" t="s">
        <v>138</v>
      </c>
      <c r="G165" s="6" t="s">
        <v>681</v>
      </c>
      <c r="H165" s="6" t="s">
        <v>923</v>
      </c>
      <c r="I165" s="6" t="s">
        <v>410</v>
      </c>
      <c r="J165" s="6"/>
      <c r="K165" s="6"/>
      <c r="L165" s="6" t="s">
        <v>304</v>
      </c>
      <c r="M165" s="6" t="s">
        <v>59</v>
      </c>
      <c r="N165" s="6"/>
    </row>
    <row r="166" ht="15.75" customHeight="1"/>
    <row r="167" ht="15.75" customHeight="1">
      <c r="A167" s="16" t="s">
        <v>661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ht="15.75" customHeight="1">
      <c r="A168" s="17" t="s">
        <v>926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ht="15.75" customHeight="1">
      <c r="A169" s="18" t="s">
        <v>4</v>
      </c>
      <c r="B169" s="18" t="s">
        <v>6</v>
      </c>
      <c r="C169" s="18" t="s">
        <v>7</v>
      </c>
      <c r="D169" s="18" t="s">
        <v>8</v>
      </c>
      <c r="E169" s="18" t="s">
        <v>9</v>
      </c>
      <c r="F169" s="18" t="s">
        <v>10</v>
      </c>
      <c r="G169" s="18" t="s">
        <v>11</v>
      </c>
      <c r="H169" s="18" t="s">
        <v>12</v>
      </c>
      <c r="I169" s="18" t="s">
        <v>13</v>
      </c>
      <c r="J169" s="18" t="s">
        <v>14</v>
      </c>
      <c r="K169" s="18" t="s">
        <v>15</v>
      </c>
      <c r="L169" s="18" t="s">
        <v>16</v>
      </c>
      <c r="M169" s="18" t="s">
        <v>17</v>
      </c>
      <c r="N169" s="18" t="s">
        <v>18</v>
      </c>
    </row>
    <row r="170" ht="15.75" customHeight="1">
      <c r="A170" s="6" t="s">
        <v>669</v>
      </c>
      <c r="B170" s="6" t="s">
        <v>20</v>
      </c>
      <c r="C170" s="6" t="s">
        <v>672</v>
      </c>
      <c r="D170" s="6" t="s">
        <v>429</v>
      </c>
      <c r="E170" s="6" t="s">
        <v>930</v>
      </c>
      <c r="F170" s="6" t="s">
        <v>244</v>
      </c>
      <c r="G170" s="6" t="s">
        <v>932</v>
      </c>
      <c r="H170" s="6" t="s">
        <v>694</v>
      </c>
      <c r="I170" s="6" t="s">
        <v>27</v>
      </c>
      <c r="J170" s="6" t="s">
        <v>248</v>
      </c>
      <c r="K170" s="6"/>
      <c r="L170" s="6" t="s">
        <v>304</v>
      </c>
      <c r="M170" s="6" t="s">
        <v>30</v>
      </c>
      <c r="N170" s="6"/>
    </row>
    <row r="171" ht="15.75" customHeight="1">
      <c r="A171" s="6" t="s">
        <v>669</v>
      </c>
      <c r="B171" s="6" t="s">
        <v>796</v>
      </c>
      <c r="C171" s="6" t="s">
        <v>914</v>
      </c>
      <c r="D171" s="6" t="s">
        <v>429</v>
      </c>
      <c r="E171" s="6" t="s">
        <v>812</v>
      </c>
      <c r="F171" s="6" t="s">
        <v>67</v>
      </c>
      <c r="G171" s="6" t="s">
        <v>883</v>
      </c>
      <c r="H171" s="6" t="s">
        <v>70</v>
      </c>
      <c r="I171" s="6" t="s">
        <v>801</v>
      </c>
      <c r="J171" s="6"/>
      <c r="K171" s="6" t="s">
        <v>674</v>
      </c>
      <c r="L171" s="6" t="s">
        <v>304</v>
      </c>
      <c r="M171" s="6" t="s">
        <v>30</v>
      </c>
      <c r="N171" s="6"/>
    </row>
    <row r="172" ht="15.75" customHeight="1">
      <c r="A172" s="6" t="s">
        <v>669</v>
      </c>
      <c r="B172" s="6" t="s">
        <v>939</v>
      </c>
      <c r="C172" s="6" t="s">
        <v>870</v>
      </c>
      <c r="D172" s="6" t="s">
        <v>429</v>
      </c>
      <c r="E172" s="6" t="s">
        <v>812</v>
      </c>
      <c r="F172" s="6" t="s">
        <v>85</v>
      </c>
      <c r="G172" s="6" t="s">
        <v>940</v>
      </c>
      <c r="H172" s="6" t="s">
        <v>88</v>
      </c>
      <c r="I172" s="6" t="s">
        <v>314</v>
      </c>
      <c r="J172" s="6"/>
      <c r="K172" s="6" t="s">
        <v>941</v>
      </c>
      <c r="L172" s="6" t="s">
        <v>304</v>
      </c>
      <c r="M172" s="6" t="s">
        <v>30</v>
      </c>
      <c r="N172" s="6"/>
    </row>
    <row r="173" ht="15.75" customHeight="1">
      <c r="A173" s="6" t="s">
        <v>669</v>
      </c>
      <c r="B173" s="6" t="s">
        <v>939</v>
      </c>
      <c r="C173" s="6" t="s">
        <v>870</v>
      </c>
      <c r="D173" s="6" t="s">
        <v>429</v>
      </c>
      <c r="E173" s="6" t="s">
        <v>812</v>
      </c>
      <c r="F173" s="6" t="s">
        <v>24</v>
      </c>
      <c r="G173" s="6" t="s">
        <v>431</v>
      </c>
      <c r="H173" s="6" t="s">
        <v>105</v>
      </c>
      <c r="I173" s="6" t="s">
        <v>314</v>
      </c>
      <c r="J173" s="6"/>
      <c r="K173" s="6" t="s">
        <v>724</v>
      </c>
      <c r="L173" s="6" t="s">
        <v>304</v>
      </c>
      <c r="M173" s="6" t="s">
        <v>30</v>
      </c>
      <c r="N173" s="6"/>
    </row>
    <row r="174" ht="15.75" customHeight="1"/>
    <row r="175" ht="15.75" customHeight="1">
      <c r="A175" s="16" t="s">
        <v>738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ht="15.75" customHeight="1">
      <c r="A176" s="17" t="s">
        <v>426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 ht="15.75" customHeight="1">
      <c r="A177" s="18" t="s">
        <v>4</v>
      </c>
      <c r="B177" s="18" t="s">
        <v>6</v>
      </c>
      <c r="C177" s="18" t="s">
        <v>7</v>
      </c>
      <c r="D177" s="18" t="s">
        <v>8</v>
      </c>
      <c r="E177" s="18" t="s">
        <v>9</v>
      </c>
      <c r="F177" s="18" t="s">
        <v>10</v>
      </c>
      <c r="G177" s="18" t="s">
        <v>11</v>
      </c>
      <c r="H177" s="18" t="s">
        <v>12</v>
      </c>
      <c r="I177" s="18" t="s">
        <v>13</v>
      </c>
      <c r="J177" s="18" t="s">
        <v>14</v>
      </c>
      <c r="K177" s="18" t="s">
        <v>15</v>
      </c>
      <c r="L177" s="18" t="s">
        <v>16</v>
      </c>
      <c r="M177" s="18" t="s">
        <v>17</v>
      </c>
      <c r="N177" s="18" t="s">
        <v>18</v>
      </c>
    </row>
    <row r="178" ht="15.75" customHeight="1">
      <c r="A178" s="6" t="s">
        <v>745</v>
      </c>
      <c r="B178" s="6" t="s">
        <v>47</v>
      </c>
      <c r="C178" s="6" t="s">
        <v>690</v>
      </c>
      <c r="D178" s="6" t="s">
        <v>429</v>
      </c>
      <c r="E178" s="6" t="s">
        <v>508</v>
      </c>
      <c r="F178" s="6" t="s">
        <v>24</v>
      </c>
      <c r="G178" s="6" t="s">
        <v>634</v>
      </c>
      <c r="H178" s="6" t="s">
        <v>26</v>
      </c>
      <c r="I178" s="6" t="s">
        <v>56</v>
      </c>
      <c r="L178" s="6" t="s">
        <v>304</v>
      </c>
      <c r="M178" s="6" t="s">
        <v>373</v>
      </c>
    </row>
    <row r="179" ht="15.75" customHeight="1">
      <c r="A179" s="6" t="s">
        <v>745</v>
      </c>
      <c r="B179" s="6" t="s">
        <v>746</v>
      </c>
      <c r="C179" s="6" t="s">
        <v>670</v>
      </c>
      <c r="D179" s="6" t="s">
        <v>429</v>
      </c>
      <c r="E179" s="6" t="s">
        <v>459</v>
      </c>
      <c r="F179" s="6" t="s">
        <v>24</v>
      </c>
      <c r="G179" s="6" t="s">
        <v>431</v>
      </c>
      <c r="H179" s="6" t="s">
        <v>26</v>
      </c>
      <c r="I179" s="6" t="s">
        <v>516</v>
      </c>
      <c r="J179" s="6"/>
      <c r="K179" s="6"/>
      <c r="L179" s="6" t="s">
        <v>304</v>
      </c>
      <c r="M179" s="6" t="s">
        <v>59</v>
      </c>
      <c r="N179" s="6"/>
    </row>
    <row r="180" ht="15.75" customHeight="1">
      <c r="A180" s="6" t="s">
        <v>745</v>
      </c>
      <c r="B180" s="6" t="s">
        <v>960</v>
      </c>
      <c r="C180" s="6" t="s">
        <v>700</v>
      </c>
      <c r="D180" s="6" t="s">
        <v>429</v>
      </c>
      <c r="E180" s="6" t="s">
        <v>524</v>
      </c>
      <c r="F180" s="6" t="s">
        <v>24</v>
      </c>
      <c r="G180" s="6" t="s">
        <v>431</v>
      </c>
      <c r="H180" s="6" t="s">
        <v>38</v>
      </c>
      <c r="I180" s="6" t="s">
        <v>962</v>
      </c>
      <c r="J180" s="6"/>
      <c r="K180" s="6" t="s">
        <v>674</v>
      </c>
      <c r="L180" s="6" t="s">
        <v>304</v>
      </c>
      <c r="M180" s="6" t="s">
        <v>59</v>
      </c>
      <c r="N180" s="6"/>
    </row>
    <row r="181" ht="15.75" customHeight="1">
      <c r="A181" s="6" t="s">
        <v>745</v>
      </c>
      <c r="B181" s="6" t="s">
        <v>60</v>
      </c>
      <c r="C181" s="6" t="s">
        <v>848</v>
      </c>
      <c r="D181" s="6" t="s">
        <v>429</v>
      </c>
      <c r="E181" s="6" t="s">
        <v>556</v>
      </c>
      <c r="F181" s="6" t="s">
        <v>24</v>
      </c>
      <c r="G181" s="6" t="s">
        <v>431</v>
      </c>
      <c r="H181" s="6" t="s">
        <v>49</v>
      </c>
      <c r="I181" s="6" t="s">
        <v>72</v>
      </c>
      <c r="J181" s="6"/>
      <c r="K181" s="6"/>
      <c r="L181" s="6" t="s">
        <v>304</v>
      </c>
      <c r="M181" s="6" t="s">
        <v>59</v>
      </c>
      <c r="N181" s="6"/>
    </row>
    <row r="182" ht="15.75" customHeight="1">
      <c r="A182" s="6" t="s">
        <v>745</v>
      </c>
      <c r="B182" s="6" t="s">
        <v>110</v>
      </c>
      <c r="C182" s="6" t="s">
        <v>914</v>
      </c>
      <c r="D182" s="6" t="s">
        <v>429</v>
      </c>
      <c r="E182" s="6" t="s">
        <v>524</v>
      </c>
      <c r="F182" s="6" t="s">
        <v>24</v>
      </c>
      <c r="G182" s="6" t="s">
        <v>431</v>
      </c>
      <c r="H182" s="6" t="s">
        <v>313</v>
      </c>
      <c r="I182" s="6" t="s">
        <v>118</v>
      </c>
      <c r="J182" s="6"/>
      <c r="K182" s="6" t="s">
        <v>724</v>
      </c>
      <c r="L182" s="6" t="s">
        <v>304</v>
      </c>
      <c r="M182" s="6" t="s">
        <v>59</v>
      </c>
      <c r="N182" s="6"/>
    </row>
    <row r="183" ht="15.75" customHeight="1">
      <c r="A183" s="6" t="s">
        <v>745</v>
      </c>
      <c r="B183" s="6" t="s">
        <v>110</v>
      </c>
      <c r="C183" s="6" t="s">
        <v>705</v>
      </c>
      <c r="D183" s="6" t="s">
        <v>429</v>
      </c>
      <c r="E183" s="6" t="s">
        <v>438</v>
      </c>
      <c r="F183" s="6" t="s">
        <v>98</v>
      </c>
      <c r="G183" s="6" t="s">
        <v>649</v>
      </c>
      <c r="H183" s="6" t="s">
        <v>49</v>
      </c>
      <c r="I183" s="6" t="s">
        <v>118</v>
      </c>
      <c r="J183" s="6" t="s">
        <v>650</v>
      </c>
      <c r="K183" s="6"/>
      <c r="L183" s="6" t="s">
        <v>304</v>
      </c>
      <c r="M183" s="6" t="s">
        <v>59</v>
      </c>
      <c r="N183" s="6"/>
    </row>
    <row r="184" ht="15.75" customHeight="1">
      <c r="A184" s="6" t="s">
        <v>745</v>
      </c>
      <c r="B184" s="6" t="s">
        <v>653</v>
      </c>
      <c r="C184" s="6" t="s">
        <v>837</v>
      </c>
      <c r="D184" s="6" t="s">
        <v>429</v>
      </c>
      <c r="E184" s="6" t="s">
        <v>459</v>
      </c>
      <c r="F184" s="6" t="s">
        <v>24</v>
      </c>
      <c r="G184" s="6" t="s">
        <v>634</v>
      </c>
      <c r="H184" s="6" t="s">
        <v>70</v>
      </c>
      <c r="I184" s="6" t="s">
        <v>656</v>
      </c>
      <c r="K184" s="6" t="s">
        <v>674</v>
      </c>
      <c r="L184" s="6" t="s">
        <v>304</v>
      </c>
      <c r="M184" s="6" t="s">
        <v>373</v>
      </c>
    </row>
    <row r="185" ht="15.75" customHeight="1">
      <c r="A185" s="6" t="s">
        <v>745</v>
      </c>
      <c r="B185" s="6" t="s">
        <v>653</v>
      </c>
      <c r="C185" s="6" t="s">
        <v>848</v>
      </c>
      <c r="D185" s="6" t="s">
        <v>553</v>
      </c>
      <c r="E185" s="6" t="s">
        <v>438</v>
      </c>
      <c r="F185" s="6" t="s">
        <v>98</v>
      </c>
      <c r="G185" s="6" t="s">
        <v>658</v>
      </c>
      <c r="H185" s="6" t="s">
        <v>558</v>
      </c>
      <c r="I185" s="6" t="s">
        <v>656</v>
      </c>
      <c r="J185" s="6" t="s">
        <v>769</v>
      </c>
      <c r="K185" s="6" t="s">
        <v>753</v>
      </c>
      <c r="M185" s="6"/>
    </row>
    <row r="186" ht="15.75" customHeight="1">
      <c r="A186" s="6" t="s">
        <v>745</v>
      </c>
      <c r="B186" s="6" t="s">
        <v>123</v>
      </c>
      <c r="C186" s="6" t="s">
        <v>840</v>
      </c>
      <c r="D186" s="6" t="s">
        <v>429</v>
      </c>
      <c r="E186" s="6" t="s">
        <v>524</v>
      </c>
      <c r="F186" s="6" t="s">
        <v>24</v>
      </c>
      <c r="G186" s="6" t="s">
        <v>431</v>
      </c>
      <c r="H186" s="6" t="s">
        <v>981</v>
      </c>
      <c r="I186" s="6" t="s">
        <v>131</v>
      </c>
      <c r="J186" s="6"/>
      <c r="K186" s="6" t="s">
        <v>674</v>
      </c>
      <c r="L186" s="6" t="s">
        <v>304</v>
      </c>
      <c r="M186" s="6" t="s">
        <v>59</v>
      </c>
      <c r="N186" s="6" t="s">
        <v>983</v>
      </c>
    </row>
    <row r="187" ht="15.75" customHeight="1">
      <c r="A187" s="6" t="s">
        <v>745</v>
      </c>
      <c r="B187" s="6" t="s">
        <v>662</v>
      </c>
      <c r="C187" s="6" t="s">
        <v>840</v>
      </c>
      <c r="D187" s="6" t="s">
        <v>429</v>
      </c>
      <c r="E187" s="6" t="s">
        <v>541</v>
      </c>
      <c r="F187" s="6" t="s">
        <v>24</v>
      </c>
      <c r="G187" s="6" t="s">
        <v>431</v>
      </c>
      <c r="H187" s="6" t="s">
        <v>49</v>
      </c>
      <c r="I187" s="6" t="s">
        <v>665</v>
      </c>
      <c r="J187" s="6"/>
      <c r="K187" s="6"/>
      <c r="L187" s="6" t="s">
        <v>304</v>
      </c>
      <c r="M187" s="6" t="s">
        <v>59</v>
      </c>
      <c r="N187" s="6"/>
    </row>
    <row r="188" ht="15.75" customHeight="1">
      <c r="A188" s="6" t="s">
        <v>745</v>
      </c>
      <c r="B188" s="6" t="s">
        <v>141</v>
      </c>
      <c r="C188" s="6" t="s">
        <v>825</v>
      </c>
      <c r="D188" s="6" t="s">
        <v>429</v>
      </c>
      <c r="E188" s="6" t="s">
        <v>459</v>
      </c>
      <c r="F188" s="6" t="s">
        <v>24</v>
      </c>
      <c r="G188" s="6" t="s">
        <v>431</v>
      </c>
      <c r="H188" s="6" t="s">
        <v>38</v>
      </c>
      <c r="I188" s="6" t="s">
        <v>147</v>
      </c>
      <c r="J188" s="6"/>
      <c r="K188" s="6" t="s">
        <v>674</v>
      </c>
      <c r="L188" s="6" t="s">
        <v>304</v>
      </c>
      <c r="M188" s="6" t="s">
        <v>59</v>
      </c>
      <c r="N188" s="6"/>
    </row>
    <row r="189" ht="15.75" customHeight="1">
      <c r="A189" s="6" t="s">
        <v>745</v>
      </c>
      <c r="B189" s="6" t="s">
        <v>318</v>
      </c>
      <c r="C189" s="6" t="s">
        <v>700</v>
      </c>
      <c r="D189" s="6" t="s">
        <v>429</v>
      </c>
      <c r="E189" s="6" t="s">
        <v>508</v>
      </c>
      <c r="F189" s="6" t="s">
        <v>24</v>
      </c>
      <c r="G189" s="6" t="s">
        <v>431</v>
      </c>
      <c r="H189" s="6" t="s">
        <v>986</v>
      </c>
      <c r="I189" s="6" t="s">
        <v>347</v>
      </c>
      <c r="J189" s="6"/>
      <c r="K189" s="6"/>
      <c r="L189" s="6" t="s">
        <v>304</v>
      </c>
      <c r="M189" s="6" t="s">
        <v>59</v>
      </c>
      <c r="N189" s="6" t="str">
        <f>IFERROR(__xludf.DUMMYFUNCTION("AI(""Preencha com um valor adequado para esta célula com base no contexto da tabela"")"),"=AI(""Preencha com um valor adequado para esta célula com base no contexto da tabela"")")</f>
        <v>=AI("Preencha com um valor adequado para esta célula com base no contexto da tabela")</v>
      </c>
    </row>
    <row r="190" ht="15.75" customHeight="1">
      <c r="A190" s="6" t="s">
        <v>745</v>
      </c>
      <c r="B190" s="6" t="s">
        <v>150</v>
      </c>
      <c r="C190" s="6" t="s">
        <v>914</v>
      </c>
      <c r="D190" s="6" t="s">
        <v>429</v>
      </c>
      <c r="E190" s="6" t="s">
        <v>508</v>
      </c>
      <c r="F190" s="6" t="s">
        <v>24</v>
      </c>
      <c r="G190" s="6" t="s">
        <v>431</v>
      </c>
      <c r="H190" s="6" t="s">
        <v>130</v>
      </c>
      <c r="I190" s="6" t="s">
        <v>152</v>
      </c>
      <c r="J190" s="6"/>
      <c r="K190" s="6"/>
      <c r="L190" s="6" t="s">
        <v>304</v>
      </c>
      <c r="M190" s="6" t="s">
        <v>59</v>
      </c>
      <c r="N190" s="6"/>
    </row>
    <row r="191" ht="15.75" customHeight="1">
      <c r="A191" s="6" t="s">
        <v>745</v>
      </c>
      <c r="B191" s="6" t="s">
        <v>150</v>
      </c>
      <c r="C191" s="6" t="s">
        <v>705</v>
      </c>
      <c r="D191" s="6" t="s">
        <v>429</v>
      </c>
      <c r="E191" s="6" t="s">
        <v>430</v>
      </c>
      <c r="F191" s="6" t="s">
        <v>67</v>
      </c>
      <c r="G191" s="6" t="s">
        <v>649</v>
      </c>
      <c r="H191" s="6" t="s">
        <v>66</v>
      </c>
      <c r="I191" s="6" t="s">
        <v>152</v>
      </c>
      <c r="J191" s="6"/>
      <c r="K191" s="6"/>
      <c r="L191" s="6" t="s">
        <v>304</v>
      </c>
      <c r="M191" s="6" t="s">
        <v>59</v>
      </c>
      <c r="N191" s="6"/>
    </row>
    <row r="192" ht="15.75" customHeight="1">
      <c r="A192" s="6" t="s">
        <v>745</v>
      </c>
      <c r="B192" s="6" t="s">
        <v>676</v>
      </c>
      <c r="C192" s="6" t="s">
        <v>848</v>
      </c>
      <c r="D192" s="6" t="s">
        <v>429</v>
      </c>
      <c r="E192" s="6" t="s">
        <v>325</v>
      </c>
      <c r="F192" s="6" t="s">
        <v>138</v>
      </c>
      <c r="G192" s="6" t="s">
        <v>681</v>
      </c>
      <c r="H192" s="6" t="s">
        <v>358</v>
      </c>
      <c r="I192" s="6" t="s">
        <v>685</v>
      </c>
      <c r="J192" s="6"/>
      <c r="K192" s="6" t="s">
        <v>674</v>
      </c>
      <c r="L192" s="6" t="s">
        <v>304</v>
      </c>
      <c r="M192" s="6" t="s">
        <v>59</v>
      </c>
      <c r="N192" s="6"/>
    </row>
    <row r="193" ht="15.75" customHeight="1">
      <c r="A193" s="6" t="s">
        <v>745</v>
      </c>
      <c r="B193" s="6" t="s">
        <v>686</v>
      </c>
      <c r="C193" s="6" t="s">
        <v>672</v>
      </c>
      <c r="D193" s="6" t="s">
        <v>429</v>
      </c>
      <c r="E193" s="6" t="s">
        <v>325</v>
      </c>
      <c r="F193" s="6" t="s">
        <v>138</v>
      </c>
      <c r="G193" s="6" t="s">
        <v>681</v>
      </c>
      <c r="H193" s="6" t="s">
        <v>70</v>
      </c>
      <c r="I193" s="6" t="s">
        <v>689</v>
      </c>
      <c r="J193" s="6"/>
      <c r="K193" s="6" t="s">
        <v>674</v>
      </c>
      <c r="L193" s="6" t="s">
        <v>304</v>
      </c>
      <c r="M193" s="6" t="s">
        <v>59</v>
      </c>
      <c r="N193" s="6"/>
    </row>
    <row r="194" ht="15.75" customHeight="1">
      <c r="A194" s="6" t="s">
        <v>745</v>
      </c>
      <c r="B194" s="6" t="s">
        <v>691</v>
      </c>
      <c r="C194" s="6" t="s">
        <v>999</v>
      </c>
      <c r="D194" s="6" t="s">
        <v>429</v>
      </c>
      <c r="E194" s="6" t="s">
        <v>282</v>
      </c>
      <c r="F194" s="6" t="s">
        <v>138</v>
      </c>
      <c r="G194" s="6" t="s">
        <v>693</v>
      </c>
      <c r="H194" s="6" t="s">
        <v>209</v>
      </c>
      <c r="I194" s="6" t="s">
        <v>695</v>
      </c>
      <c r="J194" s="6"/>
      <c r="K194" s="6"/>
      <c r="L194" s="6" t="s">
        <v>304</v>
      </c>
      <c r="M194" s="6" t="s">
        <v>59</v>
      </c>
      <c r="N194" s="6"/>
    </row>
    <row r="195" ht="15.75" customHeight="1">
      <c r="A195" s="6" t="s">
        <v>745</v>
      </c>
      <c r="B195" s="6" t="s">
        <v>214</v>
      </c>
      <c r="C195" s="6" t="s">
        <v>700</v>
      </c>
      <c r="D195" s="6" t="s">
        <v>429</v>
      </c>
      <c r="E195" s="6" t="s">
        <v>438</v>
      </c>
      <c r="F195" s="6" t="s">
        <v>98</v>
      </c>
      <c r="G195" s="6" t="s">
        <v>649</v>
      </c>
      <c r="H195" s="6" t="s">
        <v>862</v>
      </c>
      <c r="I195" s="6" t="s">
        <v>223</v>
      </c>
      <c r="J195" s="6"/>
      <c r="K195" s="6"/>
      <c r="L195" s="6" t="s">
        <v>304</v>
      </c>
      <c r="M195" s="6" t="s">
        <v>59</v>
      </c>
      <c r="N195" s="6"/>
    </row>
    <row r="196" ht="15.75" customHeight="1"/>
    <row r="197" ht="15.75" customHeight="1">
      <c r="A197" s="16" t="s">
        <v>809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ht="15.75" customHeight="1">
      <c r="A198" s="17" t="s">
        <v>287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 ht="15.75" customHeight="1">
      <c r="A199" s="18" t="s">
        <v>4</v>
      </c>
      <c r="B199" s="18" t="s">
        <v>6</v>
      </c>
      <c r="C199" s="18" t="s">
        <v>7</v>
      </c>
      <c r="D199" s="18" t="s">
        <v>8</v>
      </c>
      <c r="E199" s="18" t="s">
        <v>9</v>
      </c>
      <c r="F199" s="18" t="s">
        <v>10</v>
      </c>
      <c r="G199" s="18" t="s">
        <v>11</v>
      </c>
      <c r="H199" s="18" t="s">
        <v>12</v>
      </c>
      <c r="I199" s="18" t="s">
        <v>13</v>
      </c>
      <c r="J199" s="18" t="s">
        <v>14</v>
      </c>
      <c r="K199" s="18" t="s">
        <v>15</v>
      </c>
      <c r="L199" s="18" t="s">
        <v>16</v>
      </c>
      <c r="M199" s="18" t="s">
        <v>17</v>
      </c>
      <c r="N199" s="18" t="s">
        <v>18</v>
      </c>
    </row>
    <row r="200" ht="15.75" customHeight="1">
      <c r="A200" s="6" t="s">
        <v>818</v>
      </c>
      <c r="B200" s="6" t="s">
        <v>442</v>
      </c>
      <c r="C200" s="6" t="s">
        <v>690</v>
      </c>
      <c r="D200" s="6" t="s">
        <v>429</v>
      </c>
      <c r="E200" s="6" t="s">
        <v>438</v>
      </c>
      <c r="F200" s="6" t="s">
        <v>98</v>
      </c>
      <c r="G200" s="6" t="s">
        <v>727</v>
      </c>
      <c r="H200" s="6" t="s">
        <v>55</v>
      </c>
      <c r="I200" s="6" t="s">
        <v>729</v>
      </c>
      <c r="L200" s="6" t="s">
        <v>304</v>
      </c>
      <c r="M200" s="6" t="s">
        <v>373</v>
      </c>
    </row>
    <row r="201" ht="15.75" customHeight="1">
      <c r="A201" s="6" t="s">
        <v>818</v>
      </c>
      <c r="B201" s="6" t="s">
        <v>458</v>
      </c>
      <c r="C201" s="6" t="s">
        <v>690</v>
      </c>
      <c r="D201" s="6" t="s">
        <v>429</v>
      </c>
      <c r="E201" s="6" t="s">
        <v>136</v>
      </c>
      <c r="F201" s="6" t="s">
        <v>138</v>
      </c>
      <c r="G201" s="6" t="s">
        <v>681</v>
      </c>
      <c r="H201" s="6" t="s">
        <v>1006</v>
      </c>
      <c r="I201" s="6" t="s">
        <v>466</v>
      </c>
      <c r="J201" s="6" t="s">
        <v>735</v>
      </c>
      <c r="K201" s="6"/>
      <c r="L201" s="6" t="s">
        <v>304</v>
      </c>
      <c r="M201" s="6" t="s">
        <v>59</v>
      </c>
      <c r="N201" s="6"/>
    </row>
    <row r="202" ht="15.75" customHeight="1">
      <c r="A202" s="6" t="s">
        <v>818</v>
      </c>
      <c r="B202" s="6" t="s">
        <v>471</v>
      </c>
      <c r="C202" s="6" t="s">
        <v>781</v>
      </c>
      <c r="D202" s="6" t="s">
        <v>429</v>
      </c>
      <c r="E202" s="6" t="s">
        <v>592</v>
      </c>
      <c r="F202" s="6" t="s">
        <v>24</v>
      </c>
      <c r="G202" s="6" t="s">
        <v>431</v>
      </c>
      <c r="H202" s="6" t="s">
        <v>105</v>
      </c>
      <c r="I202" s="6" t="s">
        <v>477</v>
      </c>
      <c r="J202" s="6"/>
      <c r="K202" s="6" t="s">
        <v>724</v>
      </c>
      <c r="L202" s="6" t="s">
        <v>304</v>
      </c>
      <c r="M202" s="6" t="s">
        <v>59</v>
      </c>
      <c r="N202" s="6"/>
    </row>
    <row r="203" ht="15.75" customHeight="1">
      <c r="A203" s="6" t="s">
        <v>818</v>
      </c>
      <c r="B203" s="6" t="s">
        <v>266</v>
      </c>
      <c r="C203" s="6" t="s">
        <v>672</v>
      </c>
      <c r="D203" s="6" t="s">
        <v>429</v>
      </c>
      <c r="E203" s="6" t="s">
        <v>459</v>
      </c>
      <c r="F203" s="6" t="s">
        <v>24</v>
      </c>
      <c r="G203" s="6" t="s">
        <v>431</v>
      </c>
      <c r="H203" s="6" t="s">
        <v>49</v>
      </c>
      <c r="I203" s="6" t="s">
        <v>273</v>
      </c>
      <c r="L203" s="6" t="s">
        <v>304</v>
      </c>
      <c r="M203" s="6" t="s">
        <v>373</v>
      </c>
    </row>
    <row r="204" ht="15.75" customHeight="1">
      <c r="A204" s="6" t="s">
        <v>818</v>
      </c>
      <c r="B204" s="6" t="s">
        <v>1008</v>
      </c>
      <c r="C204" s="6" t="s">
        <v>837</v>
      </c>
      <c r="D204" s="6" t="s">
        <v>429</v>
      </c>
      <c r="E204" s="6" t="s">
        <v>459</v>
      </c>
      <c r="F204" s="6" t="s">
        <v>24</v>
      </c>
      <c r="G204" s="6" t="s">
        <v>431</v>
      </c>
      <c r="H204" s="6" t="s">
        <v>49</v>
      </c>
      <c r="I204" s="6" t="s">
        <v>1009</v>
      </c>
      <c r="J204" s="6"/>
      <c r="K204" s="6"/>
      <c r="L204" s="6" t="s">
        <v>304</v>
      </c>
      <c r="M204" s="6" t="s">
        <v>59</v>
      </c>
      <c r="N204" s="6"/>
    </row>
    <row r="205" ht="15.75" customHeight="1">
      <c r="A205" s="6" t="s">
        <v>818</v>
      </c>
      <c r="B205" s="6" t="s">
        <v>531</v>
      </c>
      <c r="C205" s="6" t="s">
        <v>848</v>
      </c>
      <c r="D205" s="6" t="s">
        <v>429</v>
      </c>
      <c r="E205" s="6" t="s">
        <v>459</v>
      </c>
      <c r="F205" s="6" t="s">
        <v>78</v>
      </c>
      <c r="G205" s="6" t="s">
        <v>431</v>
      </c>
      <c r="H205" s="6" t="s">
        <v>38</v>
      </c>
      <c r="I205" s="6" t="s">
        <v>535</v>
      </c>
      <c r="J205" s="6"/>
      <c r="K205" s="6" t="s">
        <v>820</v>
      </c>
      <c r="L205" s="6" t="s">
        <v>304</v>
      </c>
      <c r="M205" s="6" t="s">
        <v>59</v>
      </c>
      <c r="N205" s="6"/>
    </row>
    <row r="206" ht="15.75" customHeight="1">
      <c r="A206" s="6" t="s">
        <v>818</v>
      </c>
      <c r="B206" s="6" t="s">
        <v>754</v>
      </c>
      <c r="C206" s="6" t="s">
        <v>700</v>
      </c>
      <c r="D206" s="6" t="s">
        <v>429</v>
      </c>
      <c r="E206" s="6" t="s">
        <v>592</v>
      </c>
      <c r="F206" s="6" t="s">
        <v>24</v>
      </c>
      <c r="G206" s="6" t="s">
        <v>431</v>
      </c>
      <c r="H206" s="6" t="s">
        <v>156</v>
      </c>
      <c r="I206" s="6" t="s">
        <v>758</v>
      </c>
      <c r="J206" s="6"/>
      <c r="K206" s="6"/>
      <c r="L206" s="6" t="s">
        <v>304</v>
      </c>
      <c r="M206" s="6" t="s">
        <v>59</v>
      </c>
      <c r="N206" s="6"/>
    </row>
    <row r="207" ht="15.75" customHeight="1">
      <c r="A207" s="6" t="s">
        <v>818</v>
      </c>
      <c r="B207" s="6" t="s">
        <v>960</v>
      </c>
      <c r="C207" s="6" t="s">
        <v>840</v>
      </c>
      <c r="D207" s="6" t="s">
        <v>429</v>
      </c>
      <c r="E207" s="6" t="s">
        <v>524</v>
      </c>
      <c r="F207" s="6" t="s">
        <v>24</v>
      </c>
      <c r="G207" s="6" t="s">
        <v>431</v>
      </c>
      <c r="H207" s="6" t="s">
        <v>70</v>
      </c>
      <c r="I207" s="6" t="s">
        <v>962</v>
      </c>
      <c r="J207" s="6"/>
      <c r="K207" s="6" t="s">
        <v>820</v>
      </c>
      <c r="L207" s="6" t="s">
        <v>304</v>
      </c>
      <c r="M207" s="6" t="s">
        <v>59</v>
      </c>
      <c r="N207" s="6"/>
    </row>
    <row r="208" ht="15.75" customHeight="1">
      <c r="A208" s="6" t="s">
        <v>818</v>
      </c>
      <c r="B208" s="6" t="s">
        <v>318</v>
      </c>
      <c r="C208" s="6" t="s">
        <v>840</v>
      </c>
      <c r="D208" s="6" t="s">
        <v>429</v>
      </c>
      <c r="E208" s="6" t="s">
        <v>224</v>
      </c>
      <c r="F208" s="6" t="s">
        <v>255</v>
      </c>
      <c r="G208" s="6" t="s">
        <v>693</v>
      </c>
      <c r="H208" s="6" t="s">
        <v>1011</v>
      </c>
      <c r="I208" s="6" t="s">
        <v>347</v>
      </c>
      <c r="J208" s="6"/>
      <c r="K208" s="6"/>
      <c r="L208" s="6" t="s">
        <v>304</v>
      </c>
      <c r="M208" s="6" t="s">
        <v>59</v>
      </c>
      <c r="N208" s="6"/>
    </row>
    <row r="209" ht="15.75" customHeight="1">
      <c r="A209" s="6" t="s">
        <v>818</v>
      </c>
      <c r="B209" s="6" t="s">
        <v>570</v>
      </c>
      <c r="C209" s="6" t="s">
        <v>870</v>
      </c>
      <c r="D209" s="6" t="s">
        <v>429</v>
      </c>
      <c r="E209" s="6" t="s">
        <v>224</v>
      </c>
      <c r="F209" s="6" t="s">
        <v>255</v>
      </c>
      <c r="G209" s="6" t="s">
        <v>693</v>
      </c>
      <c r="H209" s="6" t="s">
        <v>130</v>
      </c>
      <c r="I209" s="6" t="s">
        <v>574</v>
      </c>
      <c r="J209" s="6"/>
      <c r="K209" s="6"/>
      <c r="L209" s="6" t="s">
        <v>304</v>
      </c>
      <c r="M209" s="6" t="s">
        <v>59</v>
      </c>
      <c r="N209" s="6"/>
    </row>
    <row r="210" ht="15.75" customHeight="1">
      <c r="A210" s="6" t="s">
        <v>818</v>
      </c>
      <c r="B210" s="6" t="s">
        <v>364</v>
      </c>
      <c r="C210" s="6" t="s">
        <v>848</v>
      </c>
      <c r="D210" s="6" t="s">
        <v>429</v>
      </c>
      <c r="E210" s="6" t="s">
        <v>430</v>
      </c>
      <c r="F210" s="6" t="s">
        <v>24</v>
      </c>
      <c r="G210" s="6" t="s">
        <v>431</v>
      </c>
      <c r="H210" s="6" t="s">
        <v>156</v>
      </c>
      <c r="I210" s="6" t="s">
        <v>368</v>
      </c>
      <c r="J210" s="6"/>
      <c r="K210" s="6"/>
      <c r="L210" s="6" t="s">
        <v>304</v>
      </c>
      <c r="M210" s="6" t="s">
        <v>59</v>
      </c>
      <c r="N210" s="6"/>
    </row>
    <row r="211" ht="15.75" customHeight="1">
      <c r="A211" s="6" t="s">
        <v>818</v>
      </c>
      <c r="B211" s="6" t="s">
        <v>587</v>
      </c>
      <c r="C211" s="6" t="s">
        <v>1016</v>
      </c>
      <c r="D211" s="6" t="s">
        <v>429</v>
      </c>
      <c r="E211" s="6" t="s">
        <v>556</v>
      </c>
      <c r="F211" s="6" t="s">
        <v>24</v>
      </c>
      <c r="G211" s="6" t="s">
        <v>431</v>
      </c>
      <c r="H211" s="6" t="s">
        <v>49</v>
      </c>
      <c r="I211" s="6"/>
      <c r="J211" s="6"/>
      <c r="K211" s="6"/>
      <c r="L211" s="6" t="s">
        <v>304</v>
      </c>
      <c r="M211" s="6" t="s">
        <v>59</v>
      </c>
      <c r="N211" s="6"/>
    </row>
    <row r="212" ht="15.75" customHeight="1">
      <c r="A212" s="6" t="s">
        <v>818</v>
      </c>
      <c r="B212" s="6" t="s">
        <v>388</v>
      </c>
      <c r="C212" s="6" t="s">
        <v>848</v>
      </c>
      <c r="D212" s="6" t="s">
        <v>553</v>
      </c>
      <c r="E212" s="6" t="s">
        <v>459</v>
      </c>
      <c r="F212" s="6" t="s">
        <v>24</v>
      </c>
      <c r="G212" s="6" t="s">
        <v>634</v>
      </c>
      <c r="H212" s="6" t="s">
        <v>1017</v>
      </c>
      <c r="I212" s="6" t="s">
        <v>391</v>
      </c>
      <c r="J212" s="6" t="s">
        <v>392</v>
      </c>
      <c r="K212" s="6" t="s">
        <v>824</v>
      </c>
      <c r="M212" s="6"/>
    </row>
    <row r="213" ht="15.75" customHeight="1">
      <c r="A213" s="6" t="s">
        <v>818</v>
      </c>
      <c r="B213" s="6" t="s">
        <v>388</v>
      </c>
      <c r="C213" s="6" t="s">
        <v>781</v>
      </c>
      <c r="D213" s="6" t="s">
        <v>553</v>
      </c>
      <c r="E213" s="6" t="s">
        <v>282</v>
      </c>
      <c r="F213" s="6" t="s">
        <v>255</v>
      </c>
      <c r="G213" s="6" t="s">
        <v>681</v>
      </c>
      <c r="H213" s="6" t="s">
        <v>1020</v>
      </c>
      <c r="I213" s="6" t="s">
        <v>391</v>
      </c>
      <c r="K213" s="6" t="s">
        <v>824</v>
      </c>
      <c r="M213" s="6"/>
    </row>
    <row r="214" ht="15.75" customHeight="1">
      <c r="A214" s="6" t="s">
        <v>818</v>
      </c>
      <c r="B214" s="6" t="s">
        <v>619</v>
      </c>
      <c r="C214" s="6" t="s">
        <v>690</v>
      </c>
      <c r="D214" s="6" t="s">
        <v>429</v>
      </c>
      <c r="E214" s="6" t="s">
        <v>438</v>
      </c>
      <c r="F214" s="6" t="s">
        <v>113</v>
      </c>
      <c r="G214" s="6" t="s">
        <v>785</v>
      </c>
      <c r="H214" s="6" t="s">
        <v>333</v>
      </c>
      <c r="I214" s="6" t="s">
        <v>622</v>
      </c>
      <c r="J214" s="6" t="s">
        <v>787</v>
      </c>
      <c r="K214" s="6"/>
      <c r="L214" s="6" t="s">
        <v>304</v>
      </c>
      <c r="M214" s="6" t="s">
        <v>59</v>
      </c>
      <c r="N214" s="6"/>
    </row>
    <row r="215" ht="15.75" customHeight="1"/>
    <row r="216" ht="15.75" customHeight="1">
      <c r="A216" s="16" t="s">
        <v>809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ht="15.75" customHeight="1">
      <c r="A217" s="17" t="s">
        <v>792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</row>
    <row r="218" ht="15.75" customHeight="1">
      <c r="A218" s="18" t="s">
        <v>4</v>
      </c>
      <c r="B218" s="18" t="s">
        <v>6</v>
      </c>
      <c r="C218" s="18" t="s">
        <v>7</v>
      </c>
      <c r="D218" s="18" t="s">
        <v>8</v>
      </c>
      <c r="E218" s="18" t="s">
        <v>9</v>
      </c>
      <c r="F218" s="18" t="s">
        <v>10</v>
      </c>
      <c r="G218" s="18" t="s">
        <v>11</v>
      </c>
      <c r="H218" s="18" t="s">
        <v>12</v>
      </c>
      <c r="I218" s="18" t="s">
        <v>13</v>
      </c>
      <c r="J218" s="18" t="s">
        <v>14</v>
      </c>
      <c r="K218" s="18" t="s">
        <v>15</v>
      </c>
      <c r="L218" s="18" t="s">
        <v>16</v>
      </c>
      <c r="M218" s="18" t="s">
        <v>17</v>
      </c>
      <c r="N218" s="18" t="s">
        <v>18</v>
      </c>
    </row>
    <row r="219" ht="15.75" customHeight="1">
      <c r="A219" s="6" t="s">
        <v>818</v>
      </c>
      <c r="B219" s="6" t="s">
        <v>796</v>
      </c>
      <c r="C219" s="6" t="s">
        <v>1029</v>
      </c>
      <c r="D219" s="6" t="s">
        <v>429</v>
      </c>
      <c r="E219" s="6" t="s">
        <v>800</v>
      </c>
      <c r="F219" s="6" t="s">
        <v>113</v>
      </c>
      <c r="G219" s="6" t="s">
        <v>1031</v>
      </c>
      <c r="H219" s="6" t="s">
        <v>130</v>
      </c>
      <c r="I219" s="6" t="s">
        <v>801</v>
      </c>
      <c r="J219" s="6"/>
      <c r="K219" s="6"/>
      <c r="L219" s="6" t="s">
        <v>304</v>
      </c>
      <c r="M219" s="6" t="s">
        <v>984</v>
      </c>
      <c r="N219" s="6"/>
    </row>
    <row r="220" ht="15.75" customHeight="1">
      <c r="A220" s="6" t="s">
        <v>818</v>
      </c>
      <c r="B220" s="6" t="s">
        <v>796</v>
      </c>
      <c r="C220" s="6" t="s">
        <v>747</v>
      </c>
      <c r="D220" s="6" t="s">
        <v>429</v>
      </c>
      <c r="E220" s="6" t="s">
        <v>800</v>
      </c>
      <c r="F220" s="6" t="s">
        <v>113</v>
      </c>
      <c r="G220" s="6" t="s">
        <v>1031</v>
      </c>
      <c r="H220" s="6" t="s">
        <v>55</v>
      </c>
      <c r="I220" s="6" t="s">
        <v>801</v>
      </c>
      <c r="J220" s="6"/>
      <c r="K220" s="6"/>
      <c r="L220" s="6" t="s">
        <v>304</v>
      </c>
      <c r="M220" s="6" t="s">
        <v>984</v>
      </c>
      <c r="N220" s="6"/>
    </row>
    <row r="221" ht="15.75" customHeight="1">
      <c r="A221" s="6" t="s">
        <v>818</v>
      </c>
      <c r="B221" s="6" t="s">
        <v>810</v>
      </c>
      <c r="C221" s="6" t="s">
        <v>747</v>
      </c>
      <c r="D221" s="6" t="s">
        <v>429</v>
      </c>
      <c r="E221" s="6" t="s">
        <v>812</v>
      </c>
      <c r="F221" s="6" t="s">
        <v>67</v>
      </c>
      <c r="G221" s="6" t="s">
        <v>649</v>
      </c>
      <c r="H221" s="6" t="s">
        <v>66</v>
      </c>
      <c r="I221" s="6" t="s">
        <v>814</v>
      </c>
      <c r="J221" s="6"/>
      <c r="K221" s="6"/>
      <c r="L221" s="6" t="s">
        <v>304</v>
      </c>
      <c r="M221" s="6" t="s">
        <v>984</v>
      </c>
      <c r="N221" s="6"/>
    </row>
    <row r="222" ht="15.75" customHeight="1"/>
    <row r="223" ht="15.75" customHeight="1">
      <c r="A223" s="16" t="s">
        <v>855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ht="15.75" customHeight="1">
      <c r="A224" s="17" t="s">
        <v>426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 ht="15.75" customHeight="1">
      <c r="A225" s="18" t="s">
        <v>4</v>
      </c>
      <c r="B225" s="18" t="s">
        <v>6</v>
      </c>
      <c r="C225" s="18" t="s">
        <v>7</v>
      </c>
      <c r="D225" s="18" t="s">
        <v>8</v>
      </c>
      <c r="E225" s="18" t="s">
        <v>9</v>
      </c>
      <c r="F225" s="18" t="s">
        <v>10</v>
      </c>
      <c r="G225" s="18" t="s">
        <v>11</v>
      </c>
      <c r="H225" s="18" t="s">
        <v>12</v>
      </c>
      <c r="I225" s="18" t="s">
        <v>13</v>
      </c>
      <c r="J225" s="18" t="s">
        <v>14</v>
      </c>
      <c r="K225" s="18" t="s">
        <v>15</v>
      </c>
      <c r="L225" s="18" t="s">
        <v>16</v>
      </c>
      <c r="M225" s="18" t="s">
        <v>17</v>
      </c>
      <c r="N225" s="18" t="s">
        <v>18</v>
      </c>
    </row>
    <row r="226" ht="15.75" customHeight="1">
      <c r="A226" s="6" t="s">
        <v>863</v>
      </c>
      <c r="B226" s="6" t="s">
        <v>458</v>
      </c>
      <c r="C226" s="6" t="s">
        <v>1037</v>
      </c>
      <c r="D226" s="6" t="s">
        <v>553</v>
      </c>
      <c r="E226" s="6" t="s">
        <v>438</v>
      </c>
      <c r="F226" s="6" t="s">
        <v>98</v>
      </c>
      <c r="G226" s="6" t="s">
        <v>785</v>
      </c>
      <c r="H226" s="6" t="s">
        <v>558</v>
      </c>
      <c r="I226" s="6" t="s">
        <v>466</v>
      </c>
      <c r="K226" s="6" t="s">
        <v>824</v>
      </c>
      <c r="M226" s="6"/>
    </row>
    <row r="227" ht="15.75" customHeight="1">
      <c r="A227" s="6" t="s">
        <v>863</v>
      </c>
      <c r="B227" s="6" t="s">
        <v>47</v>
      </c>
      <c r="C227" s="6" t="s">
        <v>840</v>
      </c>
      <c r="D227" s="6" t="s">
        <v>429</v>
      </c>
      <c r="E227" s="6" t="s">
        <v>508</v>
      </c>
      <c r="F227" s="6" t="s">
        <v>24</v>
      </c>
      <c r="G227" s="6" t="s">
        <v>634</v>
      </c>
      <c r="H227" s="6" t="s">
        <v>26</v>
      </c>
      <c r="I227" s="6" t="s">
        <v>56</v>
      </c>
      <c r="L227" s="6" t="s">
        <v>304</v>
      </c>
      <c r="M227" s="6" t="s">
        <v>373</v>
      </c>
    </row>
    <row r="228" ht="15.75" customHeight="1">
      <c r="A228" s="6" t="s">
        <v>863</v>
      </c>
      <c r="B228" s="6" t="s">
        <v>266</v>
      </c>
      <c r="C228" s="6" t="s">
        <v>914</v>
      </c>
      <c r="D228" s="6" t="s">
        <v>429</v>
      </c>
      <c r="E228" s="6" t="s">
        <v>459</v>
      </c>
      <c r="F228" s="6" t="s">
        <v>24</v>
      </c>
      <c r="G228" s="6" t="s">
        <v>431</v>
      </c>
      <c r="H228" s="6" t="s">
        <v>49</v>
      </c>
      <c r="I228" s="6" t="s">
        <v>273</v>
      </c>
      <c r="J228" s="6"/>
      <c r="K228" s="6"/>
      <c r="L228" s="6" t="s">
        <v>304</v>
      </c>
      <c r="M228" s="6" t="s">
        <v>59</v>
      </c>
      <c r="N228" s="6"/>
    </row>
    <row r="229" ht="15.75" customHeight="1">
      <c r="A229" s="6" t="s">
        <v>863</v>
      </c>
      <c r="B229" s="6" t="s">
        <v>746</v>
      </c>
      <c r="C229" s="6" t="s">
        <v>670</v>
      </c>
      <c r="D229" s="6" t="s">
        <v>429</v>
      </c>
      <c r="E229" s="6" t="s">
        <v>459</v>
      </c>
      <c r="F229" s="6" t="s">
        <v>24</v>
      </c>
      <c r="G229" s="6" t="s">
        <v>431</v>
      </c>
      <c r="H229" s="6" t="s">
        <v>66</v>
      </c>
      <c r="I229" s="6" t="s">
        <v>516</v>
      </c>
      <c r="J229" s="6"/>
      <c r="K229" s="6"/>
      <c r="L229" s="6" t="s">
        <v>304</v>
      </c>
      <c r="M229" s="6" t="s">
        <v>59</v>
      </c>
      <c r="N229" s="6"/>
    </row>
    <row r="230" ht="15.75" customHeight="1">
      <c r="A230" s="6" t="s">
        <v>863</v>
      </c>
      <c r="B230" s="6" t="s">
        <v>285</v>
      </c>
      <c r="C230" s="6" t="s">
        <v>684</v>
      </c>
      <c r="D230" s="6" t="s">
        <v>553</v>
      </c>
      <c r="E230" s="6" t="s">
        <v>430</v>
      </c>
      <c r="F230" s="6" t="s">
        <v>67</v>
      </c>
      <c r="G230" s="6" t="s">
        <v>649</v>
      </c>
      <c r="H230" s="6" t="s">
        <v>558</v>
      </c>
      <c r="I230" s="6" t="s">
        <v>290</v>
      </c>
      <c r="K230" s="6" t="s">
        <v>824</v>
      </c>
      <c r="M230" s="6"/>
    </row>
    <row r="231" ht="15.75" customHeight="1">
      <c r="A231" s="6" t="s">
        <v>863</v>
      </c>
      <c r="B231" s="6" t="s">
        <v>960</v>
      </c>
      <c r="C231" s="6" t="s">
        <v>700</v>
      </c>
      <c r="D231" s="6" t="s">
        <v>429</v>
      </c>
      <c r="E231" s="6" t="s">
        <v>524</v>
      </c>
      <c r="F231" s="6" t="s">
        <v>24</v>
      </c>
      <c r="G231" s="6" t="s">
        <v>431</v>
      </c>
      <c r="H231" s="6" t="s">
        <v>101</v>
      </c>
      <c r="I231" s="6" t="s">
        <v>962</v>
      </c>
      <c r="K231" s="6" t="s">
        <v>820</v>
      </c>
      <c r="L231" s="6" t="s">
        <v>304</v>
      </c>
      <c r="M231" s="6" t="s">
        <v>373</v>
      </c>
    </row>
    <row r="232" ht="15.75" customHeight="1">
      <c r="A232" s="6" t="s">
        <v>863</v>
      </c>
      <c r="B232" s="6" t="s">
        <v>60</v>
      </c>
      <c r="C232" s="6" t="s">
        <v>848</v>
      </c>
      <c r="D232" s="6" t="s">
        <v>1000</v>
      </c>
      <c r="E232" s="6" t="s">
        <v>556</v>
      </c>
      <c r="F232" s="6" t="s">
        <v>24</v>
      </c>
      <c r="G232" s="6" t="s">
        <v>431</v>
      </c>
      <c r="H232" s="6" t="s">
        <v>558</v>
      </c>
      <c r="I232" s="6" t="s">
        <v>72</v>
      </c>
      <c r="K232" s="6" t="s">
        <v>824</v>
      </c>
      <c r="M232" s="6"/>
    </row>
    <row r="233" ht="15.75" customHeight="1">
      <c r="A233" s="6" t="s">
        <v>863</v>
      </c>
      <c r="B233" s="6" t="s">
        <v>110</v>
      </c>
      <c r="C233" s="6" t="s">
        <v>914</v>
      </c>
      <c r="D233" s="6" t="s">
        <v>429</v>
      </c>
      <c r="E233" s="6" t="s">
        <v>524</v>
      </c>
      <c r="F233" s="6" t="s">
        <v>24</v>
      </c>
      <c r="G233" s="6" t="s">
        <v>431</v>
      </c>
      <c r="H233" s="6" t="s">
        <v>306</v>
      </c>
      <c r="I233" s="6" t="s">
        <v>118</v>
      </c>
      <c r="J233" s="6"/>
      <c r="K233" s="6"/>
      <c r="L233" s="6" t="s">
        <v>304</v>
      </c>
      <c r="M233" s="6" t="s">
        <v>59</v>
      </c>
      <c r="N233" s="6"/>
    </row>
    <row r="234" ht="15.75" customHeight="1">
      <c r="A234" s="6" t="s">
        <v>863</v>
      </c>
      <c r="B234" s="6" t="s">
        <v>123</v>
      </c>
      <c r="C234" s="6" t="s">
        <v>840</v>
      </c>
      <c r="D234" s="6" t="s">
        <v>429</v>
      </c>
      <c r="E234" s="6" t="s">
        <v>524</v>
      </c>
      <c r="F234" s="6" t="s">
        <v>24</v>
      </c>
      <c r="G234" s="6" t="s">
        <v>431</v>
      </c>
      <c r="H234" s="6" t="s">
        <v>981</v>
      </c>
      <c r="I234" s="6" t="s">
        <v>131</v>
      </c>
      <c r="J234" s="6"/>
      <c r="K234" s="6" t="s">
        <v>820</v>
      </c>
      <c r="L234" s="6" t="s">
        <v>304</v>
      </c>
      <c r="M234" s="6" t="s">
        <v>59</v>
      </c>
      <c r="N234" s="6"/>
    </row>
    <row r="235" ht="15.75" customHeight="1">
      <c r="A235" s="6" t="s">
        <v>863</v>
      </c>
      <c r="B235" s="6" t="s">
        <v>662</v>
      </c>
      <c r="C235" s="6" t="s">
        <v>840</v>
      </c>
      <c r="D235" s="6" t="s">
        <v>429</v>
      </c>
      <c r="E235" s="6" t="s">
        <v>541</v>
      </c>
      <c r="F235" s="6" t="s">
        <v>24</v>
      </c>
      <c r="G235" s="6" t="s">
        <v>431</v>
      </c>
      <c r="H235" s="6" t="s">
        <v>38</v>
      </c>
      <c r="I235" s="6" t="s">
        <v>665</v>
      </c>
      <c r="J235" s="6"/>
      <c r="K235" s="6" t="s">
        <v>820</v>
      </c>
      <c r="L235" s="6" t="s">
        <v>304</v>
      </c>
      <c r="M235" s="6" t="s">
        <v>59</v>
      </c>
      <c r="N235" s="6"/>
    </row>
    <row r="236" ht="15.75" customHeight="1">
      <c r="A236" s="6" t="s">
        <v>863</v>
      </c>
      <c r="B236" s="6" t="s">
        <v>150</v>
      </c>
      <c r="C236" s="6" t="s">
        <v>914</v>
      </c>
      <c r="D236" s="6" t="s">
        <v>429</v>
      </c>
      <c r="E236" s="6" t="s">
        <v>508</v>
      </c>
      <c r="F236" s="6" t="s">
        <v>24</v>
      </c>
      <c r="G236" s="6" t="s">
        <v>431</v>
      </c>
      <c r="H236" s="6" t="s">
        <v>55</v>
      </c>
      <c r="I236" s="6" t="s">
        <v>152</v>
      </c>
      <c r="J236" s="6"/>
      <c r="K236" s="6"/>
      <c r="L236" s="6" t="s">
        <v>304</v>
      </c>
      <c r="M236" s="6" t="s">
        <v>59</v>
      </c>
      <c r="N236" s="6"/>
    </row>
    <row r="237" ht="15.75" customHeight="1">
      <c r="A237" s="6" t="s">
        <v>863</v>
      </c>
      <c r="B237" s="6" t="s">
        <v>578</v>
      </c>
      <c r="C237" s="6" t="s">
        <v>870</v>
      </c>
      <c r="D237" s="6" t="s">
        <v>429</v>
      </c>
      <c r="E237" s="6" t="s">
        <v>282</v>
      </c>
      <c r="F237" s="6" t="s">
        <v>138</v>
      </c>
      <c r="G237" s="6" t="s">
        <v>681</v>
      </c>
      <c r="H237" s="6" t="s">
        <v>358</v>
      </c>
      <c r="I237" s="6" t="s">
        <v>585</v>
      </c>
      <c r="J237" s="6"/>
      <c r="K237" s="6" t="s">
        <v>820</v>
      </c>
      <c r="L237" s="6" t="s">
        <v>304</v>
      </c>
      <c r="M237" s="6" t="s">
        <v>59</v>
      </c>
      <c r="N237" s="6"/>
    </row>
    <row r="238" ht="15.75" customHeight="1">
      <c r="A238" s="6" t="s">
        <v>863</v>
      </c>
      <c r="B238" s="6" t="s">
        <v>846</v>
      </c>
      <c r="C238" s="6" t="s">
        <v>840</v>
      </c>
      <c r="D238" s="6" t="s">
        <v>429</v>
      </c>
      <c r="E238" s="6" t="s">
        <v>282</v>
      </c>
      <c r="F238" s="6" t="s">
        <v>255</v>
      </c>
      <c r="G238" s="6" t="s">
        <v>693</v>
      </c>
      <c r="H238" s="6" t="s">
        <v>105</v>
      </c>
      <c r="I238" s="6" t="s">
        <v>847</v>
      </c>
      <c r="J238" s="6"/>
      <c r="K238" s="6" t="s">
        <v>724</v>
      </c>
      <c r="L238" s="6" t="s">
        <v>304</v>
      </c>
      <c r="M238" s="6" t="s">
        <v>59</v>
      </c>
      <c r="N238" s="6"/>
    </row>
    <row r="239" ht="15.75" customHeight="1">
      <c r="A239" s="6" t="s">
        <v>863</v>
      </c>
      <c r="B239" s="6" t="s">
        <v>171</v>
      </c>
      <c r="C239" s="6" t="s">
        <v>670</v>
      </c>
      <c r="D239" s="6" t="s">
        <v>429</v>
      </c>
      <c r="E239" s="6" t="s">
        <v>459</v>
      </c>
      <c r="F239" s="6" t="s">
        <v>24</v>
      </c>
      <c r="G239" s="6" t="s">
        <v>634</v>
      </c>
      <c r="H239" s="6" t="s">
        <v>101</v>
      </c>
      <c r="I239" s="6" t="s">
        <v>497</v>
      </c>
      <c r="J239" s="6"/>
      <c r="K239" s="6" t="s">
        <v>820</v>
      </c>
      <c r="L239" s="6" t="s">
        <v>304</v>
      </c>
      <c r="M239" s="6" t="s">
        <v>59</v>
      </c>
      <c r="N239" s="6"/>
    </row>
    <row r="240" ht="15.75" customHeight="1">
      <c r="A240" s="6" t="s">
        <v>863</v>
      </c>
      <c r="B240" s="6" t="s">
        <v>182</v>
      </c>
      <c r="C240" s="6" t="s">
        <v>705</v>
      </c>
      <c r="D240" s="6" t="s">
        <v>429</v>
      </c>
      <c r="E240" s="6" t="s">
        <v>508</v>
      </c>
      <c r="F240" s="6" t="s">
        <v>24</v>
      </c>
      <c r="G240" s="6" t="s">
        <v>431</v>
      </c>
      <c r="H240" s="6" t="s">
        <v>105</v>
      </c>
      <c r="I240" s="6" t="s">
        <v>192</v>
      </c>
      <c r="K240" s="6" t="s">
        <v>724</v>
      </c>
      <c r="L240" s="6" t="s">
        <v>304</v>
      </c>
      <c r="M240" s="6" t="s">
        <v>373</v>
      </c>
    </row>
    <row r="241" ht="15.75" customHeight="1">
      <c r="A241" s="6" t="s">
        <v>863</v>
      </c>
      <c r="B241" s="6" t="s">
        <v>200</v>
      </c>
      <c r="C241" s="6" t="s">
        <v>1042</v>
      </c>
      <c r="D241" s="6" t="s">
        <v>429</v>
      </c>
      <c r="E241" s="6" t="s">
        <v>136</v>
      </c>
      <c r="F241" s="6" t="s">
        <v>138</v>
      </c>
      <c r="G241" s="6" t="s">
        <v>693</v>
      </c>
      <c r="H241" s="6" t="s">
        <v>162</v>
      </c>
      <c r="I241" s="6" t="s">
        <v>780</v>
      </c>
      <c r="J241" s="6"/>
      <c r="K241" s="6"/>
      <c r="L241" s="6" t="s">
        <v>304</v>
      </c>
      <c r="M241" s="6" t="s">
        <v>59</v>
      </c>
      <c r="N241" s="6"/>
    </row>
    <row r="242" ht="15.75" customHeight="1">
      <c r="A242" s="6" t="s">
        <v>863</v>
      </c>
      <c r="B242" s="6" t="s">
        <v>1043</v>
      </c>
      <c r="C242" s="6" t="s">
        <v>870</v>
      </c>
      <c r="D242" s="6" t="s">
        <v>429</v>
      </c>
      <c r="E242" s="6" t="s">
        <v>430</v>
      </c>
      <c r="F242" s="6" t="s">
        <v>85</v>
      </c>
      <c r="G242" s="6" t="s">
        <v>940</v>
      </c>
      <c r="H242" s="6" t="s">
        <v>88</v>
      </c>
      <c r="I242" s="6"/>
      <c r="J242" s="6"/>
      <c r="K242" s="6" t="s">
        <v>845</v>
      </c>
      <c r="L242" s="6" t="s">
        <v>304</v>
      </c>
      <c r="M242" s="6" t="s">
        <v>59</v>
      </c>
      <c r="N242" s="6"/>
    </row>
    <row r="243" ht="15.75" customHeight="1">
      <c r="A243" s="6" t="s">
        <v>863</v>
      </c>
      <c r="B243" s="6" t="s">
        <v>1043</v>
      </c>
      <c r="C243" s="6" t="s">
        <v>870</v>
      </c>
      <c r="D243" s="6" t="s">
        <v>429</v>
      </c>
      <c r="E243" s="6" t="s">
        <v>430</v>
      </c>
      <c r="F243" s="6" t="s">
        <v>24</v>
      </c>
      <c r="G243" s="6" t="s">
        <v>431</v>
      </c>
      <c r="H243" s="6" t="s">
        <v>105</v>
      </c>
      <c r="I243" s="6"/>
      <c r="J243" s="6"/>
      <c r="K243" s="6" t="s">
        <v>724</v>
      </c>
      <c r="L243" s="6" t="s">
        <v>304</v>
      </c>
      <c r="M243" s="6" t="s">
        <v>59</v>
      </c>
      <c r="N243" s="6"/>
    </row>
    <row r="244" ht="15.75" customHeight="1"/>
    <row r="245" ht="15.75" customHeight="1">
      <c r="A245" s="16" t="s">
        <v>900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ht="15.75" customHeight="1">
      <c r="A246" s="17" t="s">
        <v>31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</row>
    <row r="247" ht="15.75" customHeight="1">
      <c r="A247" s="18" t="s">
        <v>4</v>
      </c>
      <c r="B247" s="18" t="s">
        <v>6</v>
      </c>
      <c r="C247" s="18" t="s">
        <v>7</v>
      </c>
      <c r="D247" s="18" t="s">
        <v>8</v>
      </c>
      <c r="E247" s="18" t="s">
        <v>9</v>
      </c>
      <c r="F247" s="18" t="s">
        <v>10</v>
      </c>
      <c r="G247" s="18" t="s">
        <v>11</v>
      </c>
      <c r="H247" s="18" t="s">
        <v>12</v>
      </c>
      <c r="I247" s="18" t="s">
        <v>13</v>
      </c>
      <c r="J247" s="18" t="s">
        <v>14</v>
      </c>
      <c r="K247" s="18" t="s">
        <v>15</v>
      </c>
      <c r="L247" s="18" t="s">
        <v>16</v>
      </c>
      <c r="M247" s="18" t="s">
        <v>17</v>
      </c>
      <c r="N247" s="18" t="s">
        <v>18</v>
      </c>
    </row>
    <row r="248" ht="15.75" customHeight="1">
      <c r="A248" s="6" t="s">
        <v>903</v>
      </c>
      <c r="B248" s="6" t="s">
        <v>742</v>
      </c>
      <c r="C248" s="6" t="s">
        <v>111</v>
      </c>
      <c r="D248" s="6" t="s">
        <v>365</v>
      </c>
      <c r="E248" s="6" t="s">
        <v>211</v>
      </c>
      <c r="F248" s="6" t="s">
        <v>24</v>
      </c>
      <c r="G248" s="6" t="s">
        <v>25</v>
      </c>
      <c r="H248" s="6" t="s">
        <v>49</v>
      </c>
      <c r="I248" s="6" t="s">
        <v>743</v>
      </c>
      <c r="J248" s="6"/>
      <c r="K248" s="6"/>
      <c r="L248" s="6" t="s">
        <v>304</v>
      </c>
      <c r="M248" s="6" t="s">
        <v>59</v>
      </c>
      <c r="N248" s="6"/>
    </row>
    <row r="249" ht="15.75" customHeight="1">
      <c r="A249" s="6" t="s">
        <v>903</v>
      </c>
      <c r="B249" s="6" t="s">
        <v>278</v>
      </c>
      <c r="C249" s="6" t="s">
        <v>94</v>
      </c>
      <c r="D249" s="6" t="s">
        <v>499</v>
      </c>
      <c r="E249" s="6" t="s">
        <v>280</v>
      </c>
      <c r="F249" s="6" t="s">
        <v>67</v>
      </c>
      <c r="G249" s="6" t="s">
        <v>281</v>
      </c>
      <c r="H249" s="6" t="s">
        <v>26</v>
      </c>
      <c r="I249" s="6" t="s">
        <v>283</v>
      </c>
      <c r="J249" s="6"/>
      <c r="K249" s="6"/>
      <c r="L249" s="6" t="s">
        <v>304</v>
      </c>
      <c r="M249" s="6" t="s">
        <v>59</v>
      </c>
      <c r="N249" s="6"/>
    </row>
    <row r="250" ht="15.75" customHeight="1">
      <c r="A250" s="6" t="s">
        <v>903</v>
      </c>
      <c r="B250" s="6" t="s">
        <v>746</v>
      </c>
      <c r="C250" s="6" t="s">
        <v>262</v>
      </c>
      <c r="D250" s="6" t="s">
        <v>299</v>
      </c>
      <c r="E250" s="6" t="s">
        <v>37</v>
      </c>
      <c r="F250" s="6" t="s">
        <v>24</v>
      </c>
      <c r="G250" s="6" t="s">
        <v>25</v>
      </c>
      <c r="H250" s="6" t="s">
        <v>156</v>
      </c>
      <c r="I250" s="6" t="s">
        <v>516</v>
      </c>
      <c r="J250" s="6"/>
      <c r="K250" s="6"/>
      <c r="L250" s="6" t="s">
        <v>304</v>
      </c>
      <c r="M250" s="6" t="s">
        <v>59</v>
      </c>
      <c r="N250" s="6"/>
    </row>
    <row r="251" ht="15.75" customHeight="1">
      <c r="A251" s="6" t="s">
        <v>903</v>
      </c>
      <c r="B251" s="6" t="s">
        <v>285</v>
      </c>
      <c r="C251" s="6" t="s">
        <v>21</v>
      </c>
      <c r="D251" s="6" t="s">
        <v>499</v>
      </c>
      <c r="E251" s="6" t="s">
        <v>37</v>
      </c>
      <c r="F251" s="6" t="s">
        <v>24</v>
      </c>
      <c r="G251" s="6" t="s">
        <v>25</v>
      </c>
      <c r="H251" s="6" t="s">
        <v>26</v>
      </c>
      <c r="I251" s="6" t="s">
        <v>290</v>
      </c>
      <c r="J251" s="6"/>
      <c r="K251" s="6"/>
      <c r="L251" s="6" t="s">
        <v>304</v>
      </c>
      <c r="M251" s="6" t="s">
        <v>59</v>
      </c>
      <c r="N251" s="6"/>
    </row>
    <row r="252" ht="15.75" customHeight="1">
      <c r="A252" s="6" t="s">
        <v>903</v>
      </c>
      <c r="B252" s="6" t="s">
        <v>292</v>
      </c>
      <c r="C252" s="6" t="s">
        <v>124</v>
      </c>
      <c r="D252" s="6" t="s">
        <v>1046</v>
      </c>
      <c r="E252" s="6" t="s">
        <v>907</v>
      </c>
      <c r="F252" s="6" t="s">
        <v>138</v>
      </c>
      <c r="G252" s="6" t="s">
        <v>207</v>
      </c>
      <c r="H252" s="6" t="s">
        <v>1047</v>
      </c>
      <c r="I252" s="6" t="s">
        <v>898</v>
      </c>
      <c r="J252" s="6"/>
      <c r="K252" s="6"/>
      <c r="L252" s="6" t="s">
        <v>304</v>
      </c>
      <c r="M252" s="6" t="s">
        <v>59</v>
      </c>
      <c r="N252" s="6"/>
    </row>
    <row r="253" ht="15.75" customHeight="1">
      <c r="A253" s="6" t="s">
        <v>903</v>
      </c>
      <c r="B253" s="6" t="s">
        <v>762</v>
      </c>
      <c r="C253" s="6" t="s">
        <v>112</v>
      </c>
      <c r="D253" s="6" t="s">
        <v>1048</v>
      </c>
      <c r="E253" s="6" t="s">
        <v>1049</v>
      </c>
      <c r="F253" s="6" t="s">
        <v>138</v>
      </c>
      <c r="G253" s="6" t="s">
        <v>207</v>
      </c>
      <c r="H253" s="6" t="s">
        <v>1050</v>
      </c>
      <c r="I253" s="6" t="s">
        <v>765</v>
      </c>
      <c r="J253" s="6"/>
      <c r="K253" s="6"/>
      <c r="L253" s="6" t="s">
        <v>304</v>
      </c>
      <c r="M253" s="6" t="s">
        <v>59</v>
      </c>
      <c r="N253" s="6"/>
    </row>
    <row r="254" ht="15.75" customHeight="1">
      <c r="A254" s="6" t="s">
        <v>903</v>
      </c>
      <c r="B254" s="6" t="s">
        <v>110</v>
      </c>
      <c r="C254" s="6" t="s">
        <v>235</v>
      </c>
      <c r="D254" s="6" t="s">
        <v>552</v>
      </c>
      <c r="E254" s="6" t="s">
        <v>95</v>
      </c>
      <c r="F254" s="6" t="s">
        <v>113</v>
      </c>
      <c r="G254" s="6" t="s">
        <v>305</v>
      </c>
      <c r="H254" s="6" t="s">
        <v>554</v>
      </c>
      <c r="I254" s="6" t="s">
        <v>118</v>
      </c>
      <c r="J254" s="6"/>
      <c r="K254" s="6" t="s">
        <v>820</v>
      </c>
      <c r="L254" s="6" t="s">
        <v>304</v>
      </c>
      <c r="M254" s="6" t="s">
        <v>59</v>
      </c>
      <c r="N254" s="6"/>
    </row>
    <row r="255" ht="15.75" customHeight="1">
      <c r="A255" s="6" t="s">
        <v>903</v>
      </c>
      <c r="B255" s="6" t="s">
        <v>123</v>
      </c>
      <c r="C255" s="6" t="s">
        <v>94</v>
      </c>
      <c r="D255" s="6" t="s">
        <v>1053</v>
      </c>
      <c r="E255" s="6" t="s">
        <v>280</v>
      </c>
      <c r="F255" s="6" t="s">
        <v>113</v>
      </c>
      <c r="G255" s="6" t="s">
        <v>305</v>
      </c>
      <c r="H255" s="6" t="s">
        <v>1054</v>
      </c>
      <c r="I255" s="6" t="s">
        <v>131</v>
      </c>
      <c r="J255" s="6" t="s">
        <v>315</v>
      </c>
      <c r="K255" s="6" t="s">
        <v>820</v>
      </c>
      <c r="L255" s="6" t="s">
        <v>304</v>
      </c>
      <c r="M255" s="6" t="s">
        <v>59</v>
      </c>
      <c r="N255" s="6"/>
    </row>
    <row r="256" ht="15.75" customHeight="1">
      <c r="A256" s="6" t="s">
        <v>903</v>
      </c>
      <c r="B256" s="6" t="s">
        <v>318</v>
      </c>
      <c r="C256" s="6" t="s">
        <v>177</v>
      </c>
      <c r="D256" s="6" t="s">
        <v>1055</v>
      </c>
      <c r="E256" s="6" t="s">
        <v>53</v>
      </c>
      <c r="F256" s="6" t="s">
        <v>24</v>
      </c>
      <c r="G256" s="6" t="s">
        <v>25</v>
      </c>
      <c r="H256" s="6" t="s">
        <v>1057</v>
      </c>
      <c r="I256" s="6" t="s">
        <v>347</v>
      </c>
      <c r="J256" s="6"/>
      <c r="K256" s="6"/>
      <c r="L256" s="6" t="s">
        <v>304</v>
      </c>
      <c r="M256" s="6" t="s">
        <v>59</v>
      </c>
      <c r="N256" s="6"/>
    </row>
    <row r="257" ht="15.75" customHeight="1">
      <c r="A257" s="6" t="s">
        <v>903</v>
      </c>
      <c r="B257" s="6" t="s">
        <v>364</v>
      </c>
      <c r="C257" s="6" t="s">
        <v>43</v>
      </c>
      <c r="D257" s="6" t="s">
        <v>365</v>
      </c>
      <c r="E257" s="6" t="s">
        <v>211</v>
      </c>
      <c r="F257" s="6" t="s">
        <v>24</v>
      </c>
      <c r="G257" s="6" t="s">
        <v>25</v>
      </c>
      <c r="H257" s="6" t="s">
        <v>49</v>
      </c>
      <c r="I257" s="6" t="s">
        <v>368</v>
      </c>
      <c r="J257" s="6"/>
      <c r="K257" s="6"/>
      <c r="L257" s="6" t="s">
        <v>304</v>
      </c>
      <c r="M257" s="6" t="s">
        <v>59</v>
      </c>
      <c r="N257" s="6"/>
    </row>
    <row r="258" ht="15.75" customHeight="1">
      <c r="A258" s="6" t="s">
        <v>903</v>
      </c>
      <c r="B258" s="6" t="s">
        <v>915</v>
      </c>
      <c r="C258" s="6" t="s">
        <v>62</v>
      </c>
      <c r="D258" s="6" t="s">
        <v>331</v>
      </c>
      <c r="E258" s="6" t="s">
        <v>211</v>
      </c>
      <c r="F258" s="6" t="s">
        <v>24</v>
      </c>
      <c r="G258" s="6" t="s">
        <v>25</v>
      </c>
      <c r="H258" s="6" t="s">
        <v>130</v>
      </c>
      <c r="I258" s="6" t="s">
        <v>917</v>
      </c>
      <c r="J258" s="6"/>
      <c r="K258" s="6"/>
      <c r="L258" s="6" t="s">
        <v>304</v>
      </c>
      <c r="M258" s="6" t="s">
        <v>59</v>
      </c>
      <c r="N258" s="6"/>
    </row>
    <row r="259" ht="15.75" customHeight="1">
      <c r="A259" s="6" t="s">
        <v>903</v>
      </c>
      <c r="B259" s="6" t="s">
        <v>214</v>
      </c>
      <c r="C259" s="6" t="s">
        <v>177</v>
      </c>
      <c r="D259" s="6" t="s">
        <v>1058</v>
      </c>
      <c r="E259" s="6" t="s">
        <v>53</v>
      </c>
      <c r="F259" s="6" t="s">
        <v>24</v>
      </c>
      <c r="G259" s="6" t="s">
        <v>25</v>
      </c>
      <c r="H259" s="6" t="s">
        <v>1059</v>
      </c>
      <c r="I259" s="6" t="s">
        <v>223</v>
      </c>
      <c r="J259" s="6" t="s">
        <v>225</v>
      </c>
      <c r="K259" s="6"/>
      <c r="L259" s="6" t="s">
        <v>304</v>
      </c>
      <c r="M259" s="6" t="s">
        <v>59</v>
      </c>
      <c r="N259" s="6"/>
    </row>
    <row r="260" ht="15.75" customHeight="1">
      <c r="A260" s="6" t="s">
        <v>903</v>
      </c>
      <c r="B260" s="6" t="s">
        <v>214</v>
      </c>
      <c r="C260" s="6" t="s">
        <v>35</v>
      </c>
      <c r="D260" s="6" t="s">
        <v>1060</v>
      </c>
      <c r="E260" s="6" t="s">
        <v>907</v>
      </c>
      <c r="F260" s="6" t="s">
        <v>138</v>
      </c>
      <c r="G260" s="6" t="s">
        <v>383</v>
      </c>
      <c r="H260" s="6" t="s">
        <v>1039</v>
      </c>
      <c r="I260" s="6" t="s">
        <v>223</v>
      </c>
      <c r="J260" s="6"/>
      <c r="K260" s="6"/>
      <c r="L260" s="6" t="s">
        <v>304</v>
      </c>
      <c r="M260" s="6" t="s">
        <v>59</v>
      </c>
      <c r="N260" s="6"/>
    </row>
    <row r="261" ht="15.75" customHeight="1">
      <c r="A261" s="6" t="s">
        <v>903</v>
      </c>
      <c r="B261" s="6" t="s">
        <v>404</v>
      </c>
      <c r="C261" s="6" t="s">
        <v>61</v>
      </c>
      <c r="D261" s="6" t="s">
        <v>1061</v>
      </c>
      <c r="E261" s="6" t="s">
        <v>907</v>
      </c>
      <c r="F261" s="6" t="s">
        <v>138</v>
      </c>
      <c r="G261" s="6" t="s">
        <v>383</v>
      </c>
      <c r="H261" s="6" t="s">
        <v>1062</v>
      </c>
      <c r="I261" s="6" t="s">
        <v>410</v>
      </c>
      <c r="J261" s="6"/>
      <c r="K261" s="6"/>
      <c r="L261" s="6" t="s">
        <v>304</v>
      </c>
      <c r="M261" s="6" t="s">
        <v>59</v>
      </c>
      <c r="N261" s="6"/>
    </row>
    <row r="262" ht="15.75" customHeight="1"/>
    <row r="263" ht="15.75" customHeight="1">
      <c r="A263" s="16" t="s">
        <v>900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ht="15.75" customHeight="1">
      <c r="A264" s="17" t="s">
        <v>792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</row>
    <row r="265" ht="15.75" customHeight="1">
      <c r="A265" s="18" t="s">
        <v>4</v>
      </c>
      <c r="B265" s="18" t="s">
        <v>6</v>
      </c>
      <c r="C265" s="18" t="s">
        <v>7</v>
      </c>
      <c r="D265" s="18" t="s">
        <v>8</v>
      </c>
      <c r="E265" s="18" t="s">
        <v>9</v>
      </c>
      <c r="F265" s="18" t="s">
        <v>10</v>
      </c>
      <c r="G265" s="18" t="s">
        <v>11</v>
      </c>
      <c r="H265" s="18" t="s">
        <v>12</v>
      </c>
      <c r="I265" s="18" t="s">
        <v>13</v>
      </c>
      <c r="J265" s="18" t="s">
        <v>14</v>
      </c>
      <c r="K265" s="18" t="s">
        <v>15</v>
      </c>
      <c r="L265" s="18" t="s">
        <v>16</v>
      </c>
      <c r="M265" s="18" t="s">
        <v>17</v>
      </c>
      <c r="N265" s="18" t="s">
        <v>18</v>
      </c>
    </row>
    <row r="266" ht="15.75" customHeight="1">
      <c r="A266" s="6" t="s">
        <v>903</v>
      </c>
      <c r="B266" s="6" t="s">
        <v>20</v>
      </c>
      <c r="C266" s="6" t="s">
        <v>21</v>
      </c>
      <c r="D266" s="6" t="s">
        <v>1063</v>
      </c>
      <c r="E266" s="6" t="s">
        <v>242</v>
      </c>
      <c r="F266" s="6" t="s">
        <v>244</v>
      </c>
      <c r="G266" s="6" t="s">
        <v>246</v>
      </c>
      <c r="H266" s="6" t="s">
        <v>209</v>
      </c>
      <c r="I266" s="6" t="s">
        <v>27</v>
      </c>
      <c r="J266" s="6" t="s">
        <v>248</v>
      </c>
      <c r="K266" s="6"/>
      <c r="L266" s="6" t="s">
        <v>304</v>
      </c>
      <c r="M266" s="6" t="s">
        <v>30</v>
      </c>
      <c r="N266" s="6"/>
    </row>
    <row r="267" ht="15.75" customHeight="1">
      <c r="A267" s="6" t="s">
        <v>903</v>
      </c>
      <c r="B267" s="6" t="s">
        <v>796</v>
      </c>
      <c r="C267" s="6" t="s">
        <v>177</v>
      </c>
      <c r="D267" s="6" t="s">
        <v>401</v>
      </c>
      <c r="E267" s="6" t="s">
        <v>1065</v>
      </c>
      <c r="F267" s="6" t="s">
        <v>67</v>
      </c>
      <c r="G267" s="6" t="s">
        <v>281</v>
      </c>
      <c r="H267" s="6" t="s">
        <v>101</v>
      </c>
      <c r="I267" s="6" t="s">
        <v>801</v>
      </c>
      <c r="J267" s="6"/>
      <c r="K267" s="6" t="s">
        <v>820</v>
      </c>
      <c r="L267" s="6" t="s">
        <v>304</v>
      </c>
      <c r="M267" s="6" t="s">
        <v>30</v>
      </c>
      <c r="N267" s="6"/>
    </row>
    <row r="268" ht="15.75" customHeight="1">
      <c r="A268" s="6" t="s">
        <v>903</v>
      </c>
      <c r="B268" s="6" t="s">
        <v>939</v>
      </c>
      <c r="C268" s="6" t="s">
        <v>71</v>
      </c>
      <c r="D268" s="6" t="s">
        <v>331</v>
      </c>
      <c r="E268" s="6" t="s">
        <v>1065</v>
      </c>
      <c r="F268" s="6" t="s">
        <v>24</v>
      </c>
      <c r="G268" s="6" t="s">
        <v>25</v>
      </c>
      <c r="H268" s="6" t="s">
        <v>130</v>
      </c>
      <c r="I268" s="6" t="s">
        <v>314</v>
      </c>
      <c r="J268" s="6"/>
      <c r="K268" s="6"/>
      <c r="L268" s="6" t="s">
        <v>304</v>
      </c>
      <c r="M268" s="6" t="s">
        <v>30</v>
      </c>
      <c r="N268" s="6"/>
    </row>
    <row r="269" ht="15.75" customHeight="1"/>
    <row r="270" ht="15.75" customHeight="1">
      <c r="A270" s="16" t="s">
        <v>928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ht="15.75" customHeight="1">
      <c r="A271" s="17" t="s">
        <v>1067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</row>
    <row r="272" ht="15.75" customHeight="1">
      <c r="A272" s="18" t="s">
        <v>4</v>
      </c>
      <c r="B272" s="18" t="s">
        <v>6</v>
      </c>
      <c r="C272" s="18" t="s">
        <v>7</v>
      </c>
      <c r="D272" s="18" t="s">
        <v>8</v>
      </c>
      <c r="E272" s="18" t="s">
        <v>9</v>
      </c>
      <c r="F272" s="18" t="s">
        <v>10</v>
      </c>
      <c r="G272" s="18" t="s">
        <v>11</v>
      </c>
      <c r="H272" s="18" t="s">
        <v>12</v>
      </c>
      <c r="I272" s="18" t="s">
        <v>13</v>
      </c>
      <c r="J272" s="18" t="s">
        <v>14</v>
      </c>
      <c r="K272" s="18" t="s">
        <v>15</v>
      </c>
      <c r="L272" s="18" t="s">
        <v>16</v>
      </c>
      <c r="M272" s="18" t="s">
        <v>17</v>
      </c>
      <c r="N272" s="18" t="s">
        <v>18</v>
      </c>
    </row>
    <row r="273" ht="15.75" customHeight="1">
      <c r="A273" s="6" t="s">
        <v>935</v>
      </c>
      <c r="B273" s="6" t="s">
        <v>442</v>
      </c>
      <c r="C273" s="6" t="s">
        <v>482</v>
      </c>
      <c r="D273" s="6" t="s">
        <v>553</v>
      </c>
      <c r="E273" s="6" t="s">
        <v>438</v>
      </c>
      <c r="F273" s="6" t="s">
        <v>24</v>
      </c>
      <c r="G273" s="6" t="s">
        <v>936</v>
      </c>
      <c r="H273" s="6" t="s">
        <v>558</v>
      </c>
      <c r="I273" s="6">
        <v>9.09648778E8</v>
      </c>
      <c r="L273" s="6" t="s">
        <v>995</v>
      </c>
      <c r="M273" s="6"/>
    </row>
    <row r="274" ht="15.75" customHeight="1">
      <c r="A274" s="6" t="s">
        <v>935</v>
      </c>
      <c r="B274" s="6" t="s">
        <v>471</v>
      </c>
      <c r="C274" s="6" t="s">
        <v>501</v>
      </c>
      <c r="D274" s="6" t="s">
        <v>429</v>
      </c>
      <c r="E274" s="6" t="s">
        <v>592</v>
      </c>
      <c r="F274" s="6" t="s">
        <v>24</v>
      </c>
      <c r="G274" s="6" t="s">
        <v>936</v>
      </c>
      <c r="H274" s="6" t="s">
        <v>130</v>
      </c>
      <c r="I274" s="6" t="s">
        <v>477</v>
      </c>
      <c r="J274" s="6"/>
      <c r="K274" s="6"/>
      <c r="L274" s="6" t="s">
        <v>304</v>
      </c>
      <c r="M274" s="6" t="s">
        <v>59</v>
      </c>
      <c r="N274" s="6"/>
    </row>
    <row r="275" ht="15.75" customHeight="1">
      <c r="A275" s="6" t="s">
        <v>935</v>
      </c>
      <c r="B275" s="6" t="s">
        <v>471</v>
      </c>
      <c r="C275" s="6" t="s">
        <v>596</v>
      </c>
      <c r="D275" s="6" t="s">
        <v>429</v>
      </c>
      <c r="E275" s="6" t="s">
        <v>325</v>
      </c>
      <c r="F275" s="6" t="s">
        <v>138</v>
      </c>
      <c r="G275" s="6" t="s">
        <v>936</v>
      </c>
      <c r="H275" s="6" t="s">
        <v>896</v>
      </c>
      <c r="I275" s="6" t="s">
        <v>477</v>
      </c>
      <c r="J275" s="6"/>
      <c r="K275" s="6"/>
      <c r="L275" s="6" t="s">
        <v>304</v>
      </c>
      <c r="M275" s="6" t="s">
        <v>59</v>
      </c>
      <c r="N275" s="6"/>
    </row>
    <row r="276" ht="15.75" customHeight="1">
      <c r="A276" s="6" t="s">
        <v>935</v>
      </c>
      <c r="B276" s="6" t="s">
        <v>278</v>
      </c>
      <c r="C276" s="6" t="s">
        <v>588</v>
      </c>
      <c r="D276" s="6" t="s">
        <v>429</v>
      </c>
      <c r="E276" s="6" t="s">
        <v>592</v>
      </c>
      <c r="F276" s="6" t="s">
        <v>24</v>
      </c>
      <c r="G276" s="6" t="s">
        <v>936</v>
      </c>
      <c r="H276" s="6" t="s">
        <v>55</v>
      </c>
      <c r="I276" s="6" t="s">
        <v>283</v>
      </c>
      <c r="J276" s="6"/>
      <c r="K276" s="6"/>
      <c r="L276" s="6" t="s">
        <v>304</v>
      </c>
      <c r="M276" s="6" t="s">
        <v>59</v>
      </c>
      <c r="N276" s="6"/>
    </row>
    <row r="277" ht="15.75" customHeight="1">
      <c r="A277" s="6" t="s">
        <v>935</v>
      </c>
      <c r="B277" s="6" t="s">
        <v>1008</v>
      </c>
      <c r="C277" s="6" t="s">
        <v>565</v>
      </c>
      <c r="D277" s="6" t="s">
        <v>553</v>
      </c>
      <c r="E277" s="6" t="s">
        <v>430</v>
      </c>
      <c r="F277" s="6" t="s">
        <v>24</v>
      </c>
      <c r="G277" s="6" t="s">
        <v>936</v>
      </c>
      <c r="H277" s="6" t="s">
        <v>558</v>
      </c>
      <c r="I277" s="6" t="s">
        <v>1009</v>
      </c>
      <c r="L277" s="6" t="s">
        <v>995</v>
      </c>
      <c r="M277" s="6"/>
    </row>
    <row r="278" ht="15.75" customHeight="1">
      <c r="A278" s="6" t="s">
        <v>935</v>
      </c>
      <c r="B278" s="6" t="s">
        <v>513</v>
      </c>
      <c r="C278" s="6" t="s">
        <v>539</v>
      </c>
      <c r="D278" s="6" t="s">
        <v>30</v>
      </c>
      <c r="E278" s="6" t="s">
        <v>430</v>
      </c>
      <c r="F278" s="6" t="s">
        <v>24</v>
      </c>
      <c r="G278" s="6" t="s">
        <v>936</v>
      </c>
      <c r="H278" s="6" t="s">
        <v>49</v>
      </c>
      <c r="I278" s="6" t="s">
        <v>516</v>
      </c>
      <c r="J278" s="6"/>
      <c r="K278" s="6"/>
      <c r="L278" s="6" t="s">
        <v>304</v>
      </c>
      <c r="M278" s="6" t="s">
        <v>59</v>
      </c>
      <c r="N278" s="6"/>
    </row>
    <row r="279" ht="15.75" customHeight="1">
      <c r="A279" s="6" t="s">
        <v>935</v>
      </c>
      <c r="B279" s="6" t="s">
        <v>285</v>
      </c>
      <c r="C279" s="6" t="s">
        <v>428</v>
      </c>
      <c r="D279" s="6" t="s">
        <v>429</v>
      </c>
      <c r="E279" s="6" t="s">
        <v>430</v>
      </c>
      <c r="F279" s="6" t="s">
        <v>67</v>
      </c>
      <c r="G279" s="6" t="s">
        <v>936</v>
      </c>
      <c r="H279" s="6" t="s">
        <v>156</v>
      </c>
      <c r="I279" s="6" t="s">
        <v>290</v>
      </c>
      <c r="J279" s="6"/>
      <c r="K279" s="6"/>
      <c r="L279" s="6" t="s">
        <v>304</v>
      </c>
      <c r="M279" s="6" t="s">
        <v>59</v>
      </c>
      <c r="N279" s="6"/>
    </row>
    <row r="280" ht="15.75" customHeight="1">
      <c r="A280" s="6" t="s">
        <v>935</v>
      </c>
      <c r="B280" s="6" t="s">
        <v>531</v>
      </c>
      <c r="C280" s="6" t="s">
        <v>616</v>
      </c>
      <c r="D280" s="6" t="s">
        <v>429</v>
      </c>
      <c r="E280" s="6" t="s">
        <v>430</v>
      </c>
      <c r="F280" s="6" t="s">
        <v>78</v>
      </c>
      <c r="G280" s="6" t="s">
        <v>936</v>
      </c>
      <c r="H280" s="6" t="s">
        <v>70</v>
      </c>
      <c r="I280" s="6" t="s">
        <v>535</v>
      </c>
      <c r="J280" s="6"/>
      <c r="K280" s="6" t="s">
        <v>937</v>
      </c>
      <c r="L280" s="6" t="s">
        <v>304</v>
      </c>
      <c r="M280" s="6" t="s">
        <v>59</v>
      </c>
      <c r="N280" s="6"/>
    </row>
    <row r="281" ht="15.75" customHeight="1">
      <c r="A281" s="6" t="s">
        <v>935</v>
      </c>
      <c r="B281" s="6" t="s">
        <v>1069</v>
      </c>
      <c r="C281" s="6" t="s">
        <v>588</v>
      </c>
      <c r="D281" s="6" t="s">
        <v>429</v>
      </c>
      <c r="E281" s="6" t="s">
        <v>524</v>
      </c>
      <c r="F281" s="6" t="s">
        <v>24</v>
      </c>
      <c r="G281" s="6" t="s">
        <v>936</v>
      </c>
      <c r="H281" s="6" t="s">
        <v>105</v>
      </c>
      <c r="I281" s="6" t="s">
        <v>962</v>
      </c>
      <c r="J281" s="6"/>
      <c r="K281" s="6" t="s">
        <v>945</v>
      </c>
      <c r="L281" s="6" t="s">
        <v>304</v>
      </c>
      <c r="M281" s="6" t="s">
        <v>59</v>
      </c>
      <c r="N281" s="6"/>
    </row>
    <row r="282" ht="15.75" customHeight="1">
      <c r="A282" s="6" t="s">
        <v>935</v>
      </c>
      <c r="B282" s="6" t="s">
        <v>82</v>
      </c>
      <c r="C282" s="6" t="s">
        <v>457</v>
      </c>
      <c r="D282" s="6" t="s">
        <v>429</v>
      </c>
      <c r="E282" s="6" t="s">
        <v>541</v>
      </c>
      <c r="F282" s="6" t="s">
        <v>24</v>
      </c>
      <c r="G282" s="6" t="s">
        <v>936</v>
      </c>
      <c r="H282" s="6" t="s">
        <v>156</v>
      </c>
      <c r="I282" s="6" t="s">
        <v>89</v>
      </c>
      <c r="J282" s="6"/>
      <c r="K282" s="6"/>
      <c r="L282" s="6" t="s">
        <v>304</v>
      </c>
      <c r="M282" s="6" t="s">
        <v>59</v>
      </c>
      <c r="N282" s="6"/>
    </row>
    <row r="283" ht="15.75" customHeight="1">
      <c r="A283" s="6" t="s">
        <v>935</v>
      </c>
      <c r="B283" s="6" t="s">
        <v>123</v>
      </c>
      <c r="C283" s="6" t="s">
        <v>588</v>
      </c>
      <c r="D283" s="6" t="s">
        <v>429</v>
      </c>
      <c r="E283" s="6" t="s">
        <v>714</v>
      </c>
      <c r="F283" s="6" t="s">
        <v>67</v>
      </c>
      <c r="G283" s="6" t="s">
        <v>936</v>
      </c>
      <c r="H283" s="6" t="s">
        <v>156</v>
      </c>
      <c r="I283" s="6" t="s">
        <v>131</v>
      </c>
      <c r="J283" s="6" t="s">
        <v>550</v>
      </c>
      <c r="K283" s="6"/>
      <c r="L283" s="6" t="s">
        <v>304</v>
      </c>
      <c r="M283" s="6" t="s">
        <v>59</v>
      </c>
      <c r="N283" s="6"/>
    </row>
    <row r="284" ht="15.75" customHeight="1">
      <c r="A284" s="6" t="s">
        <v>935</v>
      </c>
      <c r="B284" s="6" t="s">
        <v>123</v>
      </c>
      <c r="C284" s="6" t="s">
        <v>596</v>
      </c>
      <c r="D284" s="6" t="s">
        <v>429</v>
      </c>
      <c r="E284" s="6" t="s">
        <v>524</v>
      </c>
      <c r="F284" s="6" t="s">
        <v>24</v>
      </c>
      <c r="G284" s="6" t="s">
        <v>936</v>
      </c>
      <c r="H284" s="6" t="s">
        <v>1070</v>
      </c>
      <c r="I284" s="6" t="s">
        <v>131</v>
      </c>
      <c r="J284" s="6"/>
      <c r="K284" s="6" t="s">
        <v>937</v>
      </c>
      <c r="L284" s="6" t="s">
        <v>304</v>
      </c>
      <c r="M284" s="6" t="s">
        <v>59</v>
      </c>
      <c r="N284" s="6"/>
    </row>
    <row r="285" ht="15.75" customHeight="1">
      <c r="A285" s="6" t="s">
        <v>935</v>
      </c>
      <c r="B285" s="6" t="s">
        <v>318</v>
      </c>
      <c r="C285" s="6" t="s">
        <v>596</v>
      </c>
      <c r="D285" s="6" t="s">
        <v>429</v>
      </c>
      <c r="E285" s="6" t="s">
        <v>224</v>
      </c>
      <c r="F285" s="6" t="s">
        <v>255</v>
      </c>
      <c r="G285" s="6" t="s">
        <v>936</v>
      </c>
      <c r="H285" s="6" t="s">
        <v>1071</v>
      </c>
      <c r="I285" s="6" t="s">
        <v>347</v>
      </c>
      <c r="J285" s="6"/>
      <c r="K285" s="6"/>
      <c r="L285" s="6" t="s">
        <v>304</v>
      </c>
      <c r="M285" s="6" t="s">
        <v>59</v>
      </c>
      <c r="N285" s="6"/>
    </row>
    <row r="286" ht="15.75" customHeight="1">
      <c r="A286" s="6" t="s">
        <v>935</v>
      </c>
      <c r="B286" s="6" t="s">
        <v>570</v>
      </c>
      <c r="C286" s="6" t="s">
        <v>639</v>
      </c>
      <c r="D286" s="6" t="s">
        <v>429</v>
      </c>
      <c r="E286" s="6" t="s">
        <v>224</v>
      </c>
      <c r="F286" s="6" t="s">
        <v>255</v>
      </c>
      <c r="G286" s="6" t="s">
        <v>936</v>
      </c>
      <c r="H286" s="6" t="s">
        <v>55</v>
      </c>
      <c r="I286" s="6" t="s">
        <v>574</v>
      </c>
      <c r="J286" s="6"/>
      <c r="K286" s="6"/>
      <c r="L286" s="6" t="s">
        <v>304</v>
      </c>
      <c r="M286" s="6" t="s">
        <v>59</v>
      </c>
      <c r="N286" s="6"/>
    </row>
    <row r="287" ht="15.75" customHeight="1">
      <c r="A287" s="6" t="s">
        <v>935</v>
      </c>
      <c r="B287" s="6" t="s">
        <v>587</v>
      </c>
      <c r="C287" s="6" t="s">
        <v>596</v>
      </c>
      <c r="D287" s="6" t="s">
        <v>429</v>
      </c>
      <c r="E287" s="6" t="s">
        <v>556</v>
      </c>
      <c r="F287" s="6" t="s">
        <v>24</v>
      </c>
      <c r="G287" s="6" t="s">
        <v>936</v>
      </c>
      <c r="H287" s="6" t="s">
        <v>38</v>
      </c>
      <c r="K287" s="6" t="s">
        <v>937</v>
      </c>
      <c r="L287" s="6" t="s">
        <v>304</v>
      </c>
      <c r="M287" s="6" t="s">
        <v>373</v>
      </c>
    </row>
    <row r="288" ht="15.75" customHeight="1">
      <c r="A288" s="6" t="s">
        <v>935</v>
      </c>
      <c r="B288" s="6" t="s">
        <v>915</v>
      </c>
      <c r="C288" s="6" t="s">
        <v>501</v>
      </c>
      <c r="D288" s="6" t="s">
        <v>429</v>
      </c>
      <c r="E288" s="6" t="s">
        <v>430</v>
      </c>
      <c r="F288" s="6" t="s">
        <v>24</v>
      </c>
      <c r="G288" s="6" t="s">
        <v>936</v>
      </c>
      <c r="H288" s="6" t="s">
        <v>130</v>
      </c>
      <c r="I288" s="6" t="s">
        <v>917</v>
      </c>
      <c r="J288" s="6"/>
      <c r="K288" s="6"/>
      <c r="L288" s="6" t="s">
        <v>304</v>
      </c>
      <c r="M288" s="6" t="s">
        <v>59</v>
      </c>
      <c r="N288" s="6"/>
    </row>
    <row r="289" ht="15.75" customHeight="1">
      <c r="A289" s="6" t="s">
        <v>935</v>
      </c>
      <c r="B289" s="6" t="s">
        <v>595</v>
      </c>
      <c r="C289" s="6" t="s">
        <v>428</v>
      </c>
      <c r="D289" s="6" t="s">
        <v>429</v>
      </c>
      <c r="E289" s="6" t="s">
        <v>282</v>
      </c>
      <c r="F289" s="6" t="s">
        <v>255</v>
      </c>
      <c r="G289" s="6" t="s">
        <v>936</v>
      </c>
      <c r="H289" s="6" t="s">
        <v>1050</v>
      </c>
      <c r="I289" s="6" t="s">
        <v>599</v>
      </c>
      <c r="J289" s="6"/>
      <c r="K289" s="6"/>
      <c r="L289" s="6" t="s">
        <v>304</v>
      </c>
      <c r="M289" s="6" t="s">
        <v>59</v>
      </c>
      <c r="N289" s="6"/>
    </row>
    <row r="290" ht="15.75" customHeight="1">
      <c r="A290" s="6" t="s">
        <v>935</v>
      </c>
      <c r="B290" s="6" t="s">
        <v>1074</v>
      </c>
      <c r="C290" s="6" t="s">
        <v>608</v>
      </c>
      <c r="D290" s="6" t="s">
        <v>30</v>
      </c>
      <c r="E290" s="6" t="s">
        <v>592</v>
      </c>
      <c r="F290" s="6" t="s">
        <v>85</v>
      </c>
      <c r="G290" s="6" t="s">
        <v>936</v>
      </c>
      <c r="H290" s="6" t="s">
        <v>88</v>
      </c>
      <c r="I290" s="6"/>
      <c r="J290" s="6"/>
      <c r="K290" s="6" t="s">
        <v>945</v>
      </c>
      <c r="L290" s="6" t="s">
        <v>304</v>
      </c>
      <c r="M290" s="6" t="s">
        <v>59</v>
      </c>
      <c r="N290" s="6"/>
    </row>
    <row r="291" ht="15.75" customHeight="1">
      <c r="A291" s="6" t="s">
        <v>935</v>
      </c>
      <c r="B291" s="6" t="s">
        <v>1074</v>
      </c>
      <c r="C291" s="6" t="s">
        <v>608</v>
      </c>
      <c r="D291" s="6" t="s">
        <v>429</v>
      </c>
      <c r="E291" s="6" t="s">
        <v>592</v>
      </c>
      <c r="F291" s="6" t="s">
        <v>24</v>
      </c>
      <c r="G291" s="6" t="s">
        <v>936</v>
      </c>
      <c r="H291" s="6" t="s">
        <v>105</v>
      </c>
      <c r="I291" s="6"/>
      <c r="J291" s="6"/>
      <c r="K291" s="6" t="s">
        <v>945</v>
      </c>
      <c r="L291" s="6" t="s">
        <v>304</v>
      </c>
      <c r="M291" s="6" t="s">
        <v>59</v>
      </c>
      <c r="N291" s="6"/>
    </row>
    <row r="292" ht="15.75" customHeight="1">
      <c r="A292" s="6" t="s">
        <v>935</v>
      </c>
      <c r="B292" s="6" t="s">
        <v>1075</v>
      </c>
      <c r="C292" s="6" t="s">
        <v>616</v>
      </c>
      <c r="D292" s="6" t="s">
        <v>429</v>
      </c>
      <c r="E292" s="6" t="s">
        <v>282</v>
      </c>
      <c r="F292" s="6" t="s">
        <v>138</v>
      </c>
      <c r="G292" s="6" t="s">
        <v>936</v>
      </c>
      <c r="H292" s="6" t="s">
        <v>986</v>
      </c>
      <c r="I292" s="6" t="s">
        <v>1076</v>
      </c>
      <c r="J292" s="6" t="s">
        <v>1078</v>
      </c>
      <c r="K292" s="6"/>
      <c r="L292" s="6" t="s">
        <v>304</v>
      </c>
      <c r="M292" s="6" t="s">
        <v>59</v>
      </c>
      <c r="N292" s="6"/>
    </row>
    <row r="293" ht="15.75" customHeight="1">
      <c r="A293" s="6" t="s">
        <v>935</v>
      </c>
      <c r="B293" s="6" t="s">
        <v>1079</v>
      </c>
      <c r="C293" s="6" t="s">
        <v>435</v>
      </c>
      <c r="D293" s="6" t="s">
        <v>429</v>
      </c>
      <c r="E293" s="6" t="s">
        <v>508</v>
      </c>
      <c r="F293" s="6" t="s">
        <v>24</v>
      </c>
      <c r="G293" s="6" t="s">
        <v>936</v>
      </c>
      <c r="H293" s="6" t="s">
        <v>105</v>
      </c>
      <c r="I293" s="6"/>
      <c r="J293" s="6"/>
      <c r="K293" s="6" t="s">
        <v>945</v>
      </c>
      <c r="L293" s="6" t="s">
        <v>304</v>
      </c>
      <c r="M293" s="6" t="s">
        <v>59</v>
      </c>
      <c r="N293" s="6"/>
    </row>
    <row r="294" ht="15.75" customHeight="1">
      <c r="A294" s="6" t="s">
        <v>935</v>
      </c>
      <c r="B294" s="6" t="s">
        <v>1079</v>
      </c>
      <c r="C294" s="6" t="s">
        <v>435</v>
      </c>
      <c r="D294" s="6" t="s">
        <v>429</v>
      </c>
      <c r="E294" s="6" t="s">
        <v>508</v>
      </c>
      <c r="F294" s="6" t="s">
        <v>85</v>
      </c>
      <c r="G294" s="6" t="s">
        <v>936</v>
      </c>
      <c r="H294" s="6" t="s">
        <v>88</v>
      </c>
      <c r="I294" s="6"/>
      <c r="J294" s="6"/>
      <c r="K294" s="6" t="s">
        <v>945</v>
      </c>
      <c r="L294" s="6" t="s">
        <v>304</v>
      </c>
      <c r="M294" s="6" t="s">
        <v>59</v>
      </c>
      <c r="N294" s="6"/>
    </row>
    <row r="295" ht="15.75" customHeight="1">
      <c r="A295" s="6" t="s">
        <v>935</v>
      </c>
      <c r="B295" s="6" t="s">
        <v>182</v>
      </c>
      <c r="C295" s="6" t="s">
        <v>591</v>
      </c>
      <c r="D295" s="6" t="s">
        <v>429</v>
      </c>
      <c r="E295" s="6" t="s">
        <v>508</v>
      </c>
      <c r="F295" s="6" t="s">
        <v>24</v>
      </c>
      <c r="G295" s="6" t="s">
        <v>936</v>
      </c>
      <c r="H295" s="6" t="s">
        <v>105</v>
      </c>
      <c r="I295" s="6" t="s">
        <v>192</v>
      </c>
      <c r="J295" s="6"/>
      <c r="K295" s="6" t="s">
        <v>945</v>
      </c>
      <c r="L295" s="6" t="s">
        <v>304</v>
      </c>
      <c r="M295" s="6" t="s">
        <v>59</v>
      </c>
      <c r="N295" s="6"/>
    </row>
    <row r="296" ht="15.75" customHeight="1">
      <c r="A296" s="6" t="s">
        <v>935</v>
      </c>
      <c r="B296" s="6" t="s">
        <v>388</v>
      </c>
      <c r="C296" s="6" t="s">
        <v>576</v>
      </c>
      <c r="D296" s="6" t="s">
        <v>429</v>
      </c>
      <c r="E296" s="6" t="s">
        <v>438</v>
      </c>
      <c r="F296" s="6" t="s">
        <v>113</v>
      </c>
      <c r="G296" s="6" t="s">
        <v>936</v>
      </c>
      <c r="H296" s="6" t="s">
        <v>55</v>
      </c>
      <c r="I296" s="6" t="s">
        <v>391</v>
      </c>
      <c r="J296" s="6"/>
      <c r="K296" s="6"/>
      <c r="L296" s="6" t="s">
        <v>304</v>
      </c>
      <c r="M296" s="6" t="s">
        <v>59</v>
      </c>
      <c r="N296" s="6"/>
    </row>
    <row r="297" ht="15.75" customHeight="1">
      <c r="A297" s="6" t="s">
        <v>935</v>
      </c>
      <c r="B297" s="6" t="s">
        <v>619</v>
      </c>
      <c r="C297" s="6" t="s">
        <v>482</v>
      </c>
      <c r="D297" s="6" t="s">
        <v>429</v>
      </c>
      <c r="E297" s="6" t="s">
        <v>438</v>
      </c>
      <c r="F297" s="6" t="s">
        <v>181</v>
      </c>
      <c r="G297" s="6" t="s">
        <v>936</v>
      </c>
      <c r="H297" s="6" t="s">
        <v>66</v>
      </c>
      <c r="I297" s="6" t="s">
        <v>622</v>
      </c>
      <c r="J297" s="6" t="s">
        <v>623</v>
      </c>
      <c r="L297" s="6" t="s">
        <v>304</v>
      </c>
      <c r="M297" s="6" t="s">
        <v>373</v>
      </c>
    </row>
    <row r="298" ht="15.75" customHeight="1"/>
    <row r="299" ht="15.75" customHeight="1">
      <c r="A299" s="16" t="s">
        <v>975</v>
      </c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ht="15.75" customHeight="1">
      <c r="A300" s="17" t="s">
        <v>3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 ht="15.75" customHeight="1">
      <c r="A301" s="18" t="s">
        <v>4</v>
      </c>
      <c r="B301" s="18" t="s">
        <v>6</v>
      </c>
      <c r="C301" s="18" t="s">
        <v>7</v>
      </c>
      <c r="D301" s="18" t="s">
        <v>8</v>
      </c>
      <c r="E301" s="18" t="s">
        <v>9</v>
      </c>
      <c r="F301" s="18" t="s">
        <v>10</v>
      </c>
      <c r="G301" s="18" t="s">
        <v>11</v>
      </c>
      <c r="H301" s="18" t="s">
        <v>12</v>
      </c>
      <c r="I301" s="18" t="s">
        <v>13</v>
      </c>
      <c r="J301" s="18" t="s">
        <v>14</v>
      </c>
      <c r="K301" s="18" t="s">
        <v>15</v>
      </c>
      <c r="L301" s="18" t="s">
        <v>16</v>
      </c>
      <c r="M301" s="18" t="s">
        <v>17</v>
      </c>
      <c r="N301" s="18" t="s">
        <v>18</v>
      </c>
    </row>
    <row r="302" ht="15.75" customHeight="1">
      <c r="A302" s="6" t="s">
        <v>978</v>
      </c>
      <c r="B302" s="6" t="s">
        <v>20</v>
      </c>
      <c r="C302" s="6" t="s">
        <v>445</v>
      </c>
      <c r="D302" s="6" t="s">
        <v>429</v>
      </c>
      <c r="E302" s="6" t="s">
        <v>712</v>
      </c>
      <c r="F302" s="6" t="s">
        <v>24</v>
      </c>
      <c r="G302" s="6" t="s">
        <v>936</v>
      </c>
      <c r="H302" s="6" t="s">
        <v>38</v>
      </c>
      <c r="I302" s="6" t="s">
        <v>27</v>
      </c>
      <c r="J302" s="6"/>
      <c r="K302" s="6" t="s">
        <v>985</v>
      </c>
      <c r="L302" s="6" t="s">
        <v>304</v>
      </c>
      <c r="M302" s="6" t="s">
        <v>984</v>
      </c>
      <c r="N302" s="6"/>
    </row>
    <row r="303" ht="15.75" customHeight="1"/>
    <row r="304" ht="15.75" customHeight="1">
      <c r="A304" s="16" t="s">
        <v>975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ht="15.75" customHeight="1">
      <c r="A305" s="17" t="s">
        <v>45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 ht="15.75" customHeight="1">
      <c r="A306" s="18" t="s">
        <v>4</v>
      </c>
      <c r="B306" s="18" t="s">
        <v>6</v>
      </c>
      <c r="C306" s="18" t="s">
        <v>7</v>
      </c>
      <c r="D306" s="18" t="s">
        <v>8</v>
      </c>
      <c r="E306" s="18" t="s">
        <v>9</v>
      </c>
      <c r="F306" s="18" t="s">
        <v>10</v>
      </c>
      <c r="G306" s="18" t="s">
        <v>11</v>
      </c>
      <c r="H306" s="18" t="s">
        <v>12</v>
      </c>
      <c r="I306" s="18" t="s">
        <v>13</v>
      </c>
      <c r="J306" s="18" t="s">
        <v>14</v>
      </c>
      <c r="K306" s="18" t="s">
        <v>15</v>
      </c>
      <c r="L306" s="18" t="s">
        <v>16</v>
      </c>
      <c r="M306" s="18" t="s">
        <v>17</v>
      </c>
      <c r="N306" s="18" t="s">
        <v>18</v>
      </c>
    </row>
    <row r="307" ht="15.75" customHeight="1">
      <c r="A307" s="6" t="s">
        <v>978</v>
      </c>
      <c r="B307" s="6" t="s">
        <v>47</v>
      </c>
      <c r="C307" s="6" t="s">
        <v>482</v>
      </c>
      <c r="D307" s="6" t="s">
        <v>429</v>
      </c>
      <c r="E307" s="6" t="s">
        <v>508</v>
      </c>
      <c r="F307" s="6" t="s">
        <v>24</v>
      </c>
      <c r="G307" s="6" t="s">
        <v>936</v>
      </c>
      <c r="H307" s="6" t="s">
        <v>26</v>
      </c>
      <c r="I307" s="6" t="s">
        <v>56</v>
      </c>
      <c r="J307" s="6"/>
      <c r="K307" s="6"/>
      <c r="L307" s="6" t="s">
        <v>304</v>
      </c>
      <c r="M307" s="20" t="s">
        <v>59</v>
      </c>
      <c r="N307" s="6"/>
    </row>
    <row r="308" ht="15.75" customHeight="1">
      <c r="A308" s="6" t="s">
        <v>978</v>
      </c>
      <c r="B308" s="6" t="s">
        <v>742</v>
      </c>
      <c r="C308" s="6" t="s">
        <v>576</v>
      </c>
      <c r="D308" s="6" t="s">
        <v>429</v>
      </c>
      <c r="E308" s="6" t="s">
        <v>430</v>
      </c>
      <c r="F308" s="6" t="s">
        <v>24</v>
      </c>
      <c r="G308" s="6" t="s">
        <v>936</v>
      </c>
      <c r="H308" s="6" t="s">
        <v>38</v>
      </c>
      <c r="I308" s="6" t="s">
        <v>743</v>
      </c>
      <c r="J308" s="6"/>
      <c r="K308" s="6" t="s">
        <v>985</v>
      </c>
      <c r="L308" s="6" t="s">
        <v>304</v>
      </c>
      <c r="M308" s="20" t="s">
        <v>59</v>
      </c>
      <c r="N308" s="6"/>
    </row>
    <row r="309" ht="15.75" customHeight="1">
      <c r="A309" s="6" t="s">
        <v>978</v>
      </c>
      <c r="B309" s="6" t="s">
        <v>60</v>
      </c>
      <c r="C309" s="6" t="s">
        <v>616</v>
      </c>
      <c r="D309" s="6" t="s">
        <v>429</v>
      </c>
      <c r="E309" s="6" t="s">
        <v>556</v>
      </c>
      <c r="F309" s="6" t="s">
        <v>24</v>
      </c>
      <c r="G309" s="6" t="s">
        <v>936</v>
      </c>
      <c r="H309" s="6" t="s">
        <v>38</v>
      </c>
      <c r="I309" s="6" t="s">
        <v>72</v>
      </c>
      <c r="J309" s="6"/>
      <c r="K309" s="6" t="s">
        <v>985</v>
      </c>
      <c r="L309" s="6" t="s">
        <v>304</v>
      </c>
      <c r="M309" s="6" t="s">
        <v>59</v>
      </c>
      <c r="N309" s="6"/>
    </row>
    <row r="310" ht="15.75" customHeight="1">
      <c r="A310" s="6" t="s">
        <v>978</v>
      </c>
      <c r="B310" s="6" t="s">
        <v>110</v>
      </c>
      <c r="C310" s="6" t="s">
        <v>576</v>
      </c>
      <c r="D310" s="6" t="s">
        <v>429</v>
      </c>
      <c r="E310" s="6" t="s">
        <v>430</v>
      </c>
      <c r="F310" s="6" t="s">
        <v>24</v>
      </c>
      <c r="G310" s="6" t="s">
        <v>936</v>
      </c>
      <c r="H310" s="6" t="s">
        <v>117</v>
      </c>
      <c r="I310" s="6" t="s">
        <v>118</v>
      </c>
      <c r="J310" s="6"/>
      <c r="K310" s="6" t="s">
        <v>985</v>
      </c>
      <c r="L310" s="6" t="s">
        <v>304</v>
      </c>
      <c r="M310" s="20" t="s">
        <v>59</v>
      </c>
      <c r="N310" s="6"/>
    </row>
    <row r="311" ht="15.75" customHeight="1">
      <c r="A311" s="6" t="s">
        <v>978</v>
      </c>
      <c r="B311" s="6" t="s">
        <v>110</v>
      </c>
      <c r="C311" s="6" t="s">
        <v>591</v>
      </c>
      <c r="D311" s="6" t="s">
        <v>429</v>
      </c>
      <c r="E311" s="6" t="s">
        <v>438</v>
      </c>
      <c r="F311" s="6" t="s">
        <v>98</v>
      </c>
      <c r="G311" s="6" t="s">
        <v>936</v>
      </c>
      <c r="H311" s="6" t="s">
        <v>38</v>
      </c>
      <c r="I311" s="6" t="s">
        <v>118</v>
      </c>
      <c r="J311" s="6" t="s">
        <v>650</v>
      </c>
      <c r="K311" s="6" t="s">
        <v>985</v>
      </c>
      <c r="L311" s="6" t="s">
        <v>304</v>
      </c>
      <c r="M311" s="20" t="s">
        <v>59</v>
      </c>
      <c r="N311" s="6"/>
    </row>
    <row r="312" ht="15.75" customHeight="1">
      <c r="A312" s="6" t="s">
        <v>978</v>
      </c>
      <c r="B312" s="6" t="s">
        <v>653</v>
      </c>
      <c r="C312" s="6" t="s">
        <v>565</v>
      </c>
      <c r="D312" s="6" t="s">
        <v>429</v>
      </c>
      <c r="E312" s="6" t="s">
        <v>459</v>
      </c>
      <c r="F312" s="6" t="s">
        <v>24</v>
      </c>
      <c r="G312" s="6" t="s">
        <v>936</v>
      </c>
      <c r="H312" s="6" t="s">
        <v>70</v>
      </c>
      <c r="I312" s="6">
        <v>8.31392894E8</v>
      </c>
      <c r="J312" s="6"/>
      <c r="K312" s="6" t="s">
        <v>985</v>
      </c>
      <c r="L312" s="6" t="s">
        <v>304</v>
      </c>
      <c r="M312" s="20" t="s">
        <v>59</v>
      </c>
      <c r="N312" s="6"/>
    </row>
    <row r="313" ht="15.75" customHeight="1">
      <c r="A313" s="6" t="s">
        <v>978</v>
      </c>
      <c r="B313" s="6" t="s">
        <v>653</v>
      </c>
      <c r="C313" s="6" t="s">
        <v>616</v>
      </c>
      <c r="D313" s="6" t="s">
        <v>429</v>
      </c>
      <c r="E313" s="6" t="s">
        <v>438</v>
      </c>
      <c r="F313" s="6" t="s">
        <v>98</v>
      </c>
      <c r="G313" s="6" t="s">
        <v>936</v>
      </c>
      <c r="H313" s="6" t="s">
        <v>105</v>
      </c>
      <c r="I313" s="6">
        <v>8.31392894E8</v>
      </c>
      <c r="J313" s="6" t="s">
        <v>769</v>
      </c>
      <c r="K313" s="6" t="s">
        <v>988</v>
      </c>
      <c r="L313" s="6" t="s">
        <v>304</v>
      </c>
      <c r="M313" s="20" t="s">
        <v>59</v>
      </c>
      <c r="N313" s="6"/>
    </row>
    <row r="314" ht="15.75" customHeight="1">
      <c r="A314" s="6" t="s">
        <v>978</v>
      </c>
      <c r="B314" s="6" t="s">
        <v>662</v>
      </c>
      <c r="C314" s="6" t="s">
        <v>596</v>
      </c>
      <c r="D314" s="6" t="s">
        <v>553</v>
      </c>
      <c r="E314" s="6" t="s">
        <v>541</v>
      </c>
      <c r="F314" s="6" t="s">
        <v>24</v>
      </c>
      <c r="G314" s="6" t="s">
        <v>936</v>
      </c>
      <c r="H314" s="6" t="s">
        <v>558</v>
      </c>
      <c r="I314" s="6" t="s">
        <v>665</v>
      </c>
      <c r="L314" s="6" t="s">
        <v>995</v>
      </c>
      <c r="M314" s="6"/>
    </row>
    <row r="315" ht="15.75" customHeight="1">
      <c r="A315" s="6" t="s">
        <v>978</v>
      </c>
      <c r="B315" s="6" t="s">
        <v>141</v>
      </c>
      <c r="C315" s="6" t="s">
        <v>428</v>
      </c>
      <c r="D315" s="6" t="s">
        <v>553</v>
      </c>
      <c r="E315" s="6" t="s">
        <v>556</v>
      </c>
      <c r="F315" s="6" t="s">
        <v>24</v>
      </c>
      <c r="G315" s="6" t="s">
        <v>936</v>
      </c>
      <c r="H315" s="6" t="s">
        <v>558</v>
      </c>
      <c r="I315" s="6" t="s">
        <v>147</v>
      </c>
      <c r="L315" s="6" t="s">
        <v>995</v>
      </c>
      <c r="M315" s="6"/>
    </row>
    <row r="316" ht="15.75" customHeight="1">
      <c r="A316" s="6" t="s">
        <v>978</v>
      </c>
      <c r="B316" s="6" t="s">
        <v>141</v>
      </c>
      <c r="C316" s="6" t="s">
        <v>482</v>
      </c>
      <c r="D316" s="6" t="s">
        <v>429</v>
      </c>
      <c r="E316" s="6" t="s">
        <v>459</v>
      </c>
      <c r="F316" s="6" t="s">
        <v>24</v>
      </c>
      <c r="G316" s="6" t="s">
        <v>936</v>
      </c>
      <c r="H316" s="6" t="s">
        <v>70</v>
      </c>
      <c r="I316" s="6" t="s">
        <v>147</v>
      </c>
      <c r="J316" s="6"/>
      <c r="K316" s="6" t="s">
        <v>985</v>
      </c>
      <c r="L316" s="6" t="s">
        <v>304</v>
      </c>
      <c r="M316" s="20" t="s">
        <v>59</v>
      </c>
      <c r="N316" s="6"/>
    </row>
    <row r="317" ht="15.75" customHeight="1">
      <c r="A317" s="6" t="s">
        <v>978</v>
      </c>
      <c r="B317" s="6" t="s">
        <v>318</v>
      </c>
      <c r="C317" s="6" t="s">
        <v>588</v>
      </c>
      <c r="D317" s="6" t="s">
        <v>429</v>
      </c>
      <c r="E317" s="6" t="s">
        <v>508</v>
      </c>
      <c r="F317" s="6" t="s">
        <v>24</v>
      </c>
      <c r="G317" s="6" t="s">
        <v>936</v>
      </c>
      <c r="H317" s="6" t="s">
        <v>1086</v>
      </c>
      <c r="I317" s="6" t="s">
        <v>347</v>
      </c>
      <c r="J317" s="6"/>
      <c r="K317" s="6"/>
      <c r="L317" s="6" t="s">
        <v>304</v>
      </c>
      <c r="M317" s="20" t="s">
        <v>59</v>
      </c>
      <c r="N317" s="6"/>
    </row>
    <row r="318" ht="15.75" customHeight="1">
      <c r="A318" s="6" t="s">
        <v>978</v>
      </c>
      <c r="B318" s="6" t="s">
        <v>150</v>
      </c>
      <c r="C318" s="6" t="s">
        <v>576</v>
      </c>
      <c r="D318" s="6" t="s">
        <v>429</v>
      </c>
      <c r="E318" s="6" t="s">
        <v>508</v>
      </c>
      <c r="F318" s="6" t="s">
        <v>24</v>
      </c>
      <c r="G318" s="6" t="s">
        <v>936</v>
      </c>
      <c r="H318" s="6" t="s">
        <v>26</v>
      </c>
      <c r="I318" s="6" t="s">
        <v>152</v>
      </c>
      <c r="J318" s="6"/>
      <c r="K318" s="6"/>
      <c r="L318" s="6" t="s">
        <v>304</v>
      </c>
      <c r="M318" s="20" t="s">
        <v>59</v>
      </c>
      <c r="N318" s="6"/>
    </row>
    <row r="319" ht="15.75" customHeight="1">
      <c r="A319" s="6" t="s">
        <v>978</v>
      </c>
      <c r="B319" s="6" t="s">
        <v>150</v>
      </c>
      <c r="C319" s="6" t="s">
        <v>591</v>
      </c>
      <c r="D319" s="6" t="s">
        <v>429</v>
      </c>
      <c r="E319" s="6" t="s">
        <v>430</v>
      </c>
      <c r="F319" s="6" t="s">
        <v>67</v>
      </c>
      <c r="G319" s="6" t="s">
        <v>936</v>
      </c>
      <c r="H319" s="6" t="s">
        <v>156</v>
      </c>
      <c r="I319" s="6" t="s">
        <v>152</v>
      </c>
      <c r="J319" s="6"/>
      <c r="K319" s="6"/>
      <c r="L319" s="6" t="s">
        <v>304</v>
      </c>
      <c r="M319" s="20" t="s">
        <v>59</v>
      </c>
      <c r="N319" s="6"/>
    </row>
    <row r="320" ht="15.75" customHeight="1">
      <c r="A320" s="6" t="s">
        <v>978</v>
      </c>
      <c r="B320" s="6" t="s">
        <v>676</v>
      </c>
      <c r="C320" s="6" t="s">
        <v>616</v>
      </c>
      <c r="D320" s="6" t="s">
        <v>429</v>
      </c>
      <c r="E320" s="6" t="s">
        <v>325</v>
      </c>
      <c r="F320" s="6" t="s">
        <v>138</v>
      </c>
      <c r="G320" s="6" t="s">
        <v>936</v>
      </c>
      <c r="H320" s="6" t="s">
        <v>143</v>
      </c>
      <c r="I320" s="6" t="s">
        <v>685</v>
      </c>
      <c r="J320" s="6"/>
      <c r="K320" s="6" t="s">
        <v>985</v>
      </c>
      <c r="L320" s="6" t="s">
        <v>304</v>
      </c>
      <c r="M320" s="6" t="s">
        <v>59</v>
      </c>
      <c r="N320" s="6"/>
    </row>
    <row r="321" ht="15.75" customHeight="1">
      <c r="A321" s="6" t="s">
        <v>978</v>
      </c>
      <c r="B321" s="6" t="s">
        <v>686</v>
      </c>
      <c r="C321" s="6" t="s">
        <v>428</v>
      </c>
      <c r="D321" s="6" t="s">
        <v>429</v>
      </c>
      <c r="E321" s="6" t="s">
        <v>325</v>
      </c>
      <c r="F321" s="6" t="s">
        <v>138</v>
      </c>
      <c r="G321" s="6" t="s">
        <v>936</v>
      </c>
      <c r="H321" s="6" t="s">
        <v>101</v>
      </c>
      <c r="I321" s="6" t="s">
        <v>689</v>
      </c>
      <c r="J321" s="6"/>
      <c r="K321" s="6" t="s">
        <v>985</v>
      </c>
      <c r="L321" s="6" t="s">
        <v>304</v>
      </c>
      <c r="M321" s="6" t="s">
        <v>59</v>
      </c>
      <c r="N321" s="6"/>
    </row>
    <row r="322" ht="15.75" customHeight="1">
      <c r="A322" s="6" t="s">
        <v>978</v>
      </c>
      <c r="B322" s="6" t="s">
        <v>1043</v>
      </c>
      <c r="C322" s="6" t="s">
        <v>639</v>
      </c>
      <c r="D322" s="6" t="s">
        <v>429</v>
      </c>
      <c r="E322" s="6" t="s">
        <v>430</v>
      </c>
      <c r="F322" s="6" t="s">
        <v>24</v>
      </c>
      <c r="G322" s="6" t="s">
        <v>936</v>
      </c>
      <c r="H322" s="6" t="s">
        <v>130</v>
      </c>
      <c r="I322" s="6"/>
      <c r="J322" s="6"/>
      <c r="K322" s="6"/>
      <c r="L322" s="6" t="s">
        <v>304</v>
      </c>
      <c r="M322" s="6" t="s">
        <v>59</v>
      </c>
      <c r="N322" s="6"/>
    </row>
    <row r="323" ht="15.75" customHeight="1">
      <c r="A323" s="6" t="s">
        <v>978</v>
      </c>
      <c r="B323" s="6" t="s">
        <v>214</v>
      </c>
      <c r="C323" s="6" t="s">
        <v>588</v>
      </c>
      <c r="D323" s="6" t="s">
        <v>429</v>
      </c>
      <c r="E323" s="6" t="s">
        <v>438</v>
      </c>
      <c r="F323" s="6" t="s">
        <v>98</v>
      </c>
      <c r="G323" s="6" t="s">
        <v>936</v>
      </c>
      <c r="H323" s="6" t="s">
        <v>1059</v>
      </c>
      <c r="I323" s="6" t="s">
        <v>223</v>
      </c>
      <c r="J323" s="6"/>
      <c r="K323" s="6"/>
      <c r="L323" s="6" t="s">
        <v>304</v>
      </c>
      <c r="M323" s="20" t="s">
        <v>59</v>
      </c>
      <c r="N323" s="6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6:N46"/>
    <mergeCell ref="A47:N47"/>
    <mergeCell ref="A1:N1"/>
    <mergeCell ref="A3:N3"/>
    <mergeCell ref="A4:N4"/>
    <mergeCell ref="A8:N8"/>
    <mergeCell ref="A25:N25"/>
    <mergeCell ref="A26:N26"/>
    <mergeCell ref="A30:N30"/>
  </mergeCells>
  <conditionalFormatting sqref="A6:N6">
    <cfRule type="expression" dxfId="0" priority="1">
      <formula>OR(ISNUMBER(SEARCH("Finalizado",$D6)),$M6="Finalizado",$M6="Validado")</formula>
    </cfRule>
  </conditionalFormatting>
  <conditionalFormatting sqref="A6:N6">
    <cfRule type="expression" dxfId="1" priority="2">
      <formula>AND(NOT(ISNUMBER(SEARCH("Finalizado",$D6))),$M6="Pendente",NOT(ISNUMBER(SEARCH("Falta Justificada",$D6))))</formula>
    </cfRule>
  </conditionalFormatting>
  <conditionalFormatting sqref="K6">
    <cfRule type="expression" dxfId="2" priority="3">
      <formula>OR(ISNUMBER(SEARCH("1ª SESSÃO",K6)),ISNUMBER(SEARCH("ALERTA FINAL",K6)),ISNUMBER(SEARCH("MEDSÊNIOR",K6)))</formula>
    </cfRule>
  </conditionalFormatting>
  <conditionalFormatting sqref="A10:N23">
    <cfRule type="expression" dxfId="0" priority="4">
      <formula>OR(ISNUMBER(SEARCH("Finalizado",$D10)),$M10="Finalizado",$M10="Validado")</formula>
    </cfRule>
  </conditionalFormatting>
  <conditionalFormatting sqref="A10:N23">
    <cfRule type="expression" dxfId="1" priority="5">
      <formula>AND(NOT(ISNUMBER(SEARCH("Finalizado",$D10))),$M10="Pendente",NOT(ISNUMBER(SEARCH("Falta Justificada",$D10))))</formula>
    </cfRule>
  </conditionalFormatting>
  <conditionalFormatting sqref="K10:K23">
    <cfRule type="expression" dxfId="2" priority="6">
      <formula>OR(ISNUMBER(SEARCH("1ª SESSÃO",K10)),ISNUMBER(SEARCH("ALERTA FINAL",K10)),ISNUMBER(SEARCH("MEDSÊNIOR",K10)))</formula>
    </cfRule>
  </conditionalFormatting>
  <conditionalFormatting sqref="A28:N28">
    <cfRule type="expression" dxfId="0" priority="7">
      <formula>OR(ISNUMBER(SEARCH("Finalizado",$D28)),$M28="Finalizado",$M28="Validado")</formula>
    </cfRule>
  </conditionalFormatting>
  <conditionalFormatting sqref="A28:N28">
    <cfRule type="expression" dxfId="1" priority="8">
      <formula>AND(NOT(ISNUMBER(SEARCH("Finalizado",$D28))),$M28="Pendente",NOT(ISNUMBER(SEARCH("Falta Justificada",$D28))))</formula>
    </cfRule>
  </conditionalFormatting>
  <conditionalFormatting sqref="K28">
    <cfRule type="expression" dxfId="2" priority="9">
      <formula>OR(ISNUMBER(SEARCH("1ª SESSÃO",K28)),ISNUMBER(SEARCH("ALERTA FINAL",K28)),ISNUMBER(SEARCH("MEDSÊNIOR",K28)))</formula>
    </cfRule>
  </conditionalFormatting>
  <conditionalFormatting sqref="A32:N44">
    <cfRule type="expression" dxfId="0" priority="10">
      <formula>OR(ISNUMBER(SEARCH("Finalizado",$D32)),$M32="Finalizado",$M32="Validado")</formula>
    </cfRule>
  </conditionalFormatting>
  <conditionalFormatting sqref="A32:N44">
    <cfRule type="expression" dxfId="1" priority="11">
      <formula>AND(NOT(ISNUMBER(SEARCH("Finalizado",$D32))),$M32="Pendente",NOT(ISNUMBER(SEARCH("Falta Justificada",$D32))))</formula>
    </cfRule>
  </conditionalFormatting>
  <conditionalFormatting sqref="K32:K44">
    <cfRule type="expression" dxfId="2" priority="12">
      <formula>OR(ISNUMBER(SEARCH("1ª SESSÃO",K32)),ISNUMBER(SEARCH("ALERTA FINAL",K32)),ISNUMBER(SEARCH("MEDSÊNIOR",K32)))</formula>
    </cfRule>
  </conditionalFormatting>
  <conditionalFormatting sqref="A49:N71">
    <cfRule type="expression" dxfId="0" priority="13">
      <formula>OR(ISNUMBER(SEARCH("Finalizado",$D49)),$M49="Finalizado",$M49="Validado")</formula>
    </cfRule>
  </conditionalFormatting>
  <conditionalFormatting sqref="A49:N71">
    <cfRule type="expression" dxfId="1" priority="14">
      <formula>AND(NOT(ISNUMBER(SEARCH("Finalizado",$D49))),$M49="Pendente",NOT(ISNUMBER(SEARCH("Falta Justificada",$D49))))</formula>
    </cfRule>
  </conditionalFormatting>
  <conditionalFormatting sqref="K49:K71">
    <cfRule type="expression" dxfId="2" priority="15">
      <formula>OR(ISNUMBER(SEARCH("1ª SESSÃO",K49)),ISNUMBER(SEARCH("ALERTA FINAL",K49)),ISNUMBER(SEARCH("MEDSÊNIOR",K49)))</formula>
    </cfRule>
  </conditionalFormatting>
  <conditionalFormatting sqref="A76:N76">
    <cfRule type="expression" dxfId="3" priority="16">
      <formula>OR($M76="Finalizado",$M76="Validado",$D76="Finalizado")</formula>
    </cfRule>
  </conditionalFormatting>
  <conditionalFormatting sqref="A76:N76">
    <cfRule type="expression" dxfId="4" priority="17">
      <formula>AND($M76="Pendente",$D76&lt;&gt;"Finalizado")</formula>
    </cfRule>
  </conditionalFormatting>
  <conditionalFormatting sqref="A77:N77">
    <cfRule type="expression" dxfId="3" priority="18">
      <formula>OR($M77="Finalizado",$M77="Validado",$D77="Finalizado")</formula>
    </cfRule>
  </conditionalFormatting>
  <conditionalFormatting sqref="A77:N77">
    <cfRule type="expression" dxfId="4" priority="19">
      <formula>AND($M77="Pendente",$D77&lt;&gt;"Finalizado")</formula>
    </cfRule>
  </conditionalFormatting>
  <conditionalFormatting sqref="A78:N78">
    <cfRule type="expression" dxfId="3" priority="20">
      <formula>OR($M78="Finalizado",$M78="Validado",$D78="Finalizado")</formula>
    </cfRule>
  </conditionalFormatting>
  <conditionalFormatting sqref="A78:N78">
    <cfRule type="expression" dxfId="4" priority="21">
      <formula>AND($M78="Pendente",$D78&lt;&gt;"Finalizado")</formula>
    </cfRule>
  </conditionalFormatting>
  <conditionalFormatting sqref="A79:N79">
    <cfRule type="expression" dxfId="3" priority="22">
      <formula>OR($M79="Finalizado",$M79="Validado",$D79="Finalizado")</formula>
    </cfRule>
  </conditionalFormatting>
  <conditionalFormatting sqref="A79:N79">
    <cfRule type="expression" dxfId="4" priority="23">
      <formula>AND($M79="Pendente",$D79&lt;&gt;"Finalizado")</formula>
    </cfRule>
  </conditionalFormatting>
  <conditionalFormatting sqref="A80:N80">
    <cfRule type="expression" dxfId="3" priority="24">
      <formula>OR($M80="Finalizado",$M80="Validado",$D80="Finalizado")</formula>
    </cfRule>
  </conditionalFormatting>
  <conditionalFormatting sqref="A80:N80">
    <cfRule type="expression" dxfId="4" priority="25">
      <formula>AND($M80="Pendente",$D80&lt;&gt;"Finalizado")</formula>
    </cfRule>
  </conditionalFormatting>
  <conditionalFormatting sqref="A81:N81">
    <cfRule type="expression" dxfId="3" priority="26">
      <formula>OR($M81="Finalizado",$M81="Validado",$D81="Finalizado")</formula>
    </cfRule>
  </conditionalFormatting>
  <conditionalFormatting sqref="A81:N81">
    <cfRule type="expression" dxfId="4" priority="27">
      <formula>AND($M81="Pendente",$D81&lt;&gt;"Finalizado")</formula>
    </cfRule>
  </conditionalFormatting>
  <conditionalFormatting sqref="A82:N82">
    <cfRule type="expression" dxfId="3" priority="28">
      <formula>OR($M82="Finalizado",$M82="Validado",$D82="Finalizado")</formula>
    </cfRule>
  </conditionalFormatting>
  <conditionalFormatting sqref="A82:N82">
    <cfRule type="expression" dxfId="4" priority="29">
      <formula>AND($M82="Pendente",$D82&lt;&gt;"Finalizado")</formula>
    </cfRule>
  </conditionalFormatting>
  <conditionalFormatting sqref="A83:N83">
    <cfRule type="expression" dxfId="3" priority="30">
      <formula>OR($M83="Finalizado",$M83="Validado",$D83="Finalizado")</formula>
    </cfRule>
  </conditionalFormatting>
  <conditionalFormatting sqref="A83:N83">
    <cfRule type="expression" dxfId="4" priority="31">
      <formula>AND($M83="Pendente",$D83&lt;&gt;"Finalizado")</formula>
    </cfRule>
  </conditionalFormatting>
  <conditionalFormatting sqref="A84:N84">
    <cfRule type="expression" dxfId="3" priority="32">
      <formula>OR($M84="Finalizado",$M84="Validado",$D84="Finalizado")</formula>
    </cfRule>
  </conditionalFormatting>
  <conditionalFormatting sqref="A84:N84">
    <cfRule type="expression" dxfId="4" priority="33">
      <formula>AND($M84="Pendente",$D84&lt;&gt;"Finalizado")</formula>
    </cfRule>
  </conditionalFormatting>
  <conditionalFormatting sqref="A85:N85">
    <cfRule type="expression" dxfId="3" priority="34">
      <formula>OR($M85="Finalizado",$M85="Validado",$D85="Finalizado")</formula>
    </cfRule>
  </conditionalFormatting>
  <conditionalFormatting sqref="A85:N85">
    <cfRule type="expression" dxfId="4" priority="35">
      <formula>AND($M85="Pendente",$D85&lt;&gt;"Finalizado")</formula>
    </cfRule>
  </conditionalFormatting>
  <conditionalFormatting sqref="A86:N86">
    <cfRule type="expression" dxfId="3" priority="36">
      <formula>OR($M86="Finalizado",$M86="Validado",$D86="Finalizado")</formula>
    </cfRule>
  </conditionalFormatting>
  <conditionalFormatting sqref="A86:N86">
    <cfRule type="expression" dxfId="4" priority="37">
      <formula>AND($M86="Pendente",$D86&lt;&gt;"Finalizado")</formula>
    </cfRule>
  </conditionalFormatting>
  <conditionalFormatting sqref="A87:N87">
    <cfRule type="expression" dxfId="3" priority="38">
      <formula>OR($M87="Finalizado",$M87="Validado",$D87="Finalizado")</formula>
    </cfRule>
  </conditionalFormatting>
  <conditionalFormatting sqref="A87:N87">
    <cfRule type="expression" dxfId="4" priority="39">
      <formula>AND($M87="Pendente",$D87&lt;&gt;"Finalizado")</formula>
    </cfRule>
  </conditionalFormatting>
  <conditionalFormatting sqref="A88:N88">
    <cfRule type="expression" dxfId="3" priority="40">
      <formula>OR($M88="Finalizado",$M88="Validado",$D88="Finalizado")</formula>
    </cfRule>
  </conditionalFormatting>
  <conditionalFormatting sqref="A88:N88">
    <cfRule type="expression" dxfId="4" priority="41">
      <formula>AND($M88="Pendente",$D88&lt;&gt;"Finalizado")</formula>
    </cfRule>
  </conditionalFormatting>
  <conditionalFormatting sqref="A89:N89">
    <cfRule type="expression" dxfId="3" priority="42">
      <formula>OR($M89="Finalizado",$M89="Validado",$D89="Finalizado")</formula>
    </cfRule>
  </conditionalFormatting>
  <conditionalFormatting sqref="A89:N89">
    <cfRule type="expression" dxfId="4" priority="43">
      <formula>AND($M89="Pendente",$D89&lt;&gt;"Finalizado")</formula>
    </cfRule>
  </conditionalFormatting>
  <conditionalFormatting sqref="A94:N94">
    <cfRule type="expression" dxfId="3" priority="44">
      <formula>OR($M94="Finalizado",$M94="Validado",$D94="Finalizado")</formula>
    </cfRule>
  </conditionalFormatting>
  <conditionalFormatting sqref="A94:N94">
    <cfRule type="expression" dxfId="4" priority="45">
      <formula>AND($M94="Pendente",$D94&lt;&gt;"Finalizado")</formula>
    </cfRule>
  </conditionalFormatting>
  <conditionalFormatting sqref="A99:N99">
    <cfRule type="expression" dxfId="3" priority="46">
      <formula>OR($M99="Finalizado",$M99="Validado",$D99="Finalizado")</formula>
    </cfRule>
  </conditionalFormatting>
  <conditionalFormatting sqref="A99:N99">
    <cfRule type="expression" dxfId="4" priority="47">
      <formula>AND($M99="Pendente",$D99&lt;&gt;"Finalizado")</formula>
    </cfRule>
  </conditionalFormatting>
  <conditionalFormatting sqref="A100:N100">
    <cfRule type="expression" dxfId="3" priority="48">
      <formula>OR($M100="Finalizado",$M100="Validado",$D100="Finalizado")</formula>
    </cfRule>
  </conditionalFormatting>
  <conditionalFormatting sqref="A100:N100">
    <cfRule type="expression" dxfId="4" priority="49">
      <formula>AND($M100="Pendente",$D100&lt;&gt;"Finalizado")</formula>
    </cfRule>
  </conditionalFormatting>
  <conditionalFormatting sqref="A101:N101">
    <cfRule type="expression" dxfId="3" priority="50">
      <formula>OR($M101="Finalizado",$M101="Validado",$D101="Finalizado")</formula>
    </cfRule>
  </conditionalFormatting>
  <conditionalFormatting sqref="A101:N101">
    <cfRule type="expression" dxfId="4" priority="51">
      <formula>AND($M101="Pendente",$D101&lt;&gt;"Finalizado")</formula>
    </cfRule>
  </conditionalFormatting>
  <conditionalFormatting sqref="A102:N102">
    <cfRule type="expression" dxfId="3" priority="52">
      <formula>OR($M102="Finalizado",$M102="Validado",$D102="Finalizado")</formula>
    </cfRule>
  </conditionalFormatting>
  <conditionalFormatting sqref="A102:N102">
    <cfRule type="expression" dxfId="4" priority="53">
      <formula>AND($M102="Pendente",$D102&lt;&gt;"Finalizado")</formula>
    </cfRule>
  </conditionalFormatting>
  <conditionalFormatting sqref="A103:N103">
    <cfRule type="expression" dxfId="3" priority="54">
      <formula>OR($M103="Finalizado",$M103="Validado",$D103="Finalizado")</formula>
    </cfRule>
  </conditionalFormatting>
  <conditionalFormatting sqref="A103:N103">
    <cfRule type="expression" dxfId="4" priority="55">
      <formula>AND($M103="Pendente",$D103&lt;&gt;"Finalizado")</formula>
    </cfRule>
  </conditionalFormatting>
  <conditionalFormatting sqref="A104:N104">
    <cfRule type="expression" dxfId="3" priority="56">
      <formula>OR($M104="Finalizado",$M104="Validado",$D104="Finalizado")</formula>
    </cfRule>
  </conditionalFormatting>
  <conditionalFormatting sqref="A104:N104">
    <cfRule type="expression" dxfId="4" priority="57">
      <formula>AND($M104="Pendente",$D104&lt;&gt;"Finalizado")</formula>
    </cfRule>
  </conditionalFormatting>
  <conditionalFormatting sqref="A105:N105">
    <cfRule type="expression" dxfId="3" priority="58">
      <formula>OR($M105="Finalizado",$M105="Validado",$D105="Finalizado")</formula>
    </cfRule>
  </conditionalFormatting>
  <conditionalFormatting sqref="A105:N105">
    <cfRule type="expression" dxfId="4" priority="59">
      <formula>AND($M105="Pendente",$D105&lt;&gt;"Finalizado")</formula>
    </cfRule>
  </conditionalFormatting>
  <conditionalFormatting sqref="A106:N106">
    <cfRule type="expression" dxfId="3" priority="60">
      <formula>OR($M106="Finalizado",$M106="Validado",$D106="Finalizado")</formula>
    </cfRule>
  </conditionalFormatting>
  <conditionalFormatting sqref="A106:N106">
    <cfRule type="expression" dxfId="4" priority="61">
      <formula>AND($M106="Pendente",$D106&lt;&gt;"Finalizado")</formula>
    </cfRule>
  </conditionalFormatting>
  <conditionalFormatting sqref="A107:N107">
    <cfRule type="expression" dxfId="3" priority="62">
      <formula>OR($M107="Finalizado",$M107="Validado",$D107="Finalizado")</formula>
    </cfRule>
  </conditionalFormatting>
  <conditionalFormatting sqref="A107:N107">
    <cfRule type="expression" dxfId="4" priority="63">
      <formula>AND($M107="Pendente",$D107&lt;&gt;"Finalizado")</formula>
    </cfRule>
  </conditionalFormatting>
  <conditionalFormatting sqref="A108:N108">
    <cfRule type="expression" dxfId="3" priority="64">
      <formula>OR($M108="Finalizado",$M108="Validado",$D108="Finalizado")</formula>
    </cfRule>
  </conditionalFormatting>
  <conditionalFormatting sqref="A108:N108">
    <cfRule type="expression" dxfId="4" priority="65">
      <formula>AND($M108="Pendente",$D108&lt;&gt;"Finalizado")</formula>
    </cfRule>
  </conditionalFormatting>
  <conditionalFormatting sqref="A109:N109">
    <cfRule type="expression" dxfId="3" priority="66">
      <formula>OR($M109="Finalizado",$M109="Validado",$D109="Finalizado")</formula>
    </cfRule>
  </conditionalFormatting>
  <conditionalFormatting sqref="A109:N109">
    <cfRule type="expression" dxfId="4" priority="67">
      <formula>AND($M109="Pendente",$D109&lt;&gt;"Finalizado")</formula>
    </cfRule>
  </conditionalFormatting>
  <conditionalFormatting sqref="A110:N110">
    <cfRule type="expression" dxfId="3" priority="68">
      <formula>OR($M110="Finalizado",$M110="Validado",$D110="Finalizado")</formula>
    </cfRule>
  </conditionalFormatting>
  <conditionalFormatting sqref="A110:N110">
    <cfRule type="expression" dxfId="4" priority="69">
      <formula>AND($M110="Pendente",$D110&lt;&gt;"Finalizado")</formula>
    </cfRule>
  </conditionalFormatting>
  <conditionalFormatting sqref="A111:N111">
    <cfRule type="expression" dxfId="3" priority="70">
      <formula>OR($M111="Finalizado",$M111="Validado",$D111="Finalizado")</formula>
    </cfRule>
  </conditionalFormatting>
  <conditionalFormatting sqref="A111:N111">
    <cfRule type="expression" dxfId="4" priority="71">
      <formula>AND($M111="Pendente",$D111&lt;&gt;"Finalizado")</formula>
    </cfRule>
  </conditionalFormatting>
  <conditionalFormatting sqref="A112:N112">
    <cfRule type="expression" dxfId="3" priority="72">
      <formula>OR($M112="Finalizado",$M112="Validado",$D112="Finalizado")</formula>
    </cfRule>
  </conditionalFormatting>
  <conditionalFormatting sqref="A112:N112">
    <cfRule type="expression" dxfId="4" priority="73">
      <formula>AND($M112="Pendente",$D112&lt;&gt;"Finalizado")</formula>
    </cfRule>
  </conditionalFormatting>
  <conditionalFormatting sqref="A113:N113">
    <cfRule type="expression" dxfId="3" priority="74">
      <formula>OR($M113="Finalizado",$M113="Validado",$D113="Finalizado")</formula>
    </cfRule>
  </conditionalFormatting>
  <conditionalFormatting sqref="A113:N113">
    <cfRule type="expression" dxfId="4" priority="75">
      <formula>AND($M113="Pendente",$D113&lt;&gt;"Finalizado")</formula>
    </cfRule>
  </conditionalFormatting>
  <conditionalFormatting sqref="A114:N114">
    <cfRule type="expression" dxfId="3" priority="76">
      <formula>OR($M114="Finalizado",$M114="Validado",$D114="Finalizado")</formula>
    </cfRule>
  </conditionalFormatting>
  <conditionalFormatting sqref="A114:N114">
    <cfRule type="expression" dxfId="4" priority="77">
      <formula>AND($M114="Pendente",$D114&lt;&gt;"Finalizado")</formula>
    </cfRule>
  </conditionalFormatting>
  <conditionalFormatting sqref="A115:N115">
    <cfRule type="expression" dxfId="3" priority="78">
      <formula>OR($M115="Finalizado",$M115="Validado",$D115="Finalizado")</formula>
    </cfRule>
  </conditionalFormatting>
  <conditionalFormatting sqref="A115:N115">
    <cfRule type="expression" dxfId="4" priority="79">
      <formula>AND($M115="Pendente",$D115&lt;&gt;"Finalizado")</formula>
    </cfRule>
  </conditionalFormatting>
  <conditionalFormatting sqref="A116:N116">
    <cfRule type="expression" dxfId="3" priority="80">
      <formula>OR($M116="Finalizado",$M116="Validado",$D116="Finalizado")</formula>
    </cfRule>
  </conditionalFormatting>
  <conditionalFormatting sqref="A116:N116">
    <cfRule type="expression" dxfId="4" priority="81">
      <formula>AND($M116="Pendente",$D116&lt;&gt;"Finalizado")</formula>
    </cfRule>
  </conditionalFormatting>
  <conditionalFormatting sqref="A121:N121">
    <cfRule type="expression" dxfId="3" priority="82">
      <formula>OR($M121="Finalizado",$M121="Validado",$D121="Finalizado")</formula>
    </cfRule>
  </conditionalFormatting>
  <conditionalFormatting sqref="A121:N121">
    <cfRule type="expression" dxfId="4" priority="83">
      <formula>AND($M121="Pendente",$D121&lt;&gt;"Finalizado")</formula>
    </cfRule>
  </conditionalFormatting>
  <conditionalFormatting sqref="A122:N122">
    <cfRule type="expression" dxfId="3" priority="84">
      <formula>OR($M122="Finalizado",$M122="Validado",$D122="Finalizado")</formula>
    </cfRule>
  </conditionalFormatting>
  <conditionalFormatting sqref="A122:N122">
    <cfRule type="expression" dxfId="4" priority="85">
      <formula>AND($M122="Pendente",$D122&lt;&gt;"Finalizado")</formula>
    </cfRule>
  </conditionalFormatting>
  <conditionalFormatting sqref="A123:N123">
    <cfRule type="expression" dxfId="3" priority="86">
      <formula>OR($M123="Finalizado",$M123="Validado",$D123="Finalizado")</formula>
    </cfRule>
  </conditionalFormatting>
  <conditionalFormatting sqref="A123:N123">
    <cfRule type="expression" dxfId="4" priority="87">
      <formula>AND($M123="Pendente",$D123&lt;&gt;"Finalizado")</formula>
    </cfRule>
  </conditionalFormatting>
  <conditionalFormatting sqref="A128:N128">
    <cfRule type="expression" dxfId="3" priority="88">
      <formula>OR($M128="Finalizado",$M128="Validado",LEFT($D128,10)="Finalizado")</formula>
    </cfRule>
  </conditionalFormatting>
  <conditionalFormatting sqref="A128:N128">
    <cfRule type="expression" dxfId="4" priority="89">
      <formula>AND($M128="Pendente",LEFT($D128,10)&lt;&gt;"Finalizado")</formula>
    </cfRule>
  </conditionalFormatting>
  <conditionalFormatting sqref="A129:N129">
    <cfRule type="expression" dxfId="3" priority="90">
      <formula>OR($M129="Finalizado",$M129="Validado",LEFT($D129,10)="Finalizado")</formula>
    </cfRule>
  </conditionalFormatting>
  <conditionalFormatting sqref="A129:N129">
    <cfRule type="expression" dxfId="4" priority="91">
      <formula>AND($M129="Pendente",LEFT($D129,10)&lt;&gt;"Finalizado")</formula>
    </cfRule>
  </conditionalFormatting>
  <conditionalFormatting sqref="A130:N130">
    <cfRule type="expression" dxfId="3" priority="92">
      <formula>OR($M130="Finalizado",$M130="Validado",LEFT($D130,10)="Finalizado")</formula>
    </cfRule>
  </conditionalFormatting>
  <conditionalFormatting sqref="A130:N130">
    <cfRule type="expression" dxfId="4" priority="93">
      <formula>AND($M130="Pendente",LEFT($D130,10)&lt;&gt;"Finalizado")</formula>
    </cfRule>
  </conditionalFormatting>
  <conditionalFormatting sqref="A131:N131">
    <cfRule type="expression" dxfId="3" priority="94">
      <formula>OR($M131="Finalizado",$M131="Validado",LEFT($D131,10)="Finalizado")</formula>
    </cfRule>
  </conditionalFormatting>
  <conditionalFormatting sqref="A131:N131">
    <cfRule type="expression" dxfId="4" priority="95">
      <formula>AND($M131="Pendente",LEFT($D131,10)&lt;&gt;"Finalizado")</formula>
    </cfRule>
  </conditionalFormatting>
  <conditionalFormatting sqref="A132:N132">
    <cfRule type="expression" dxfId="3" priority="96">
      <formula>OR($M132="Finalizado",$M132="Validado",LEFT($D132,10)="Finalizado")</formula>
    </cfRule>
  </conditionalFormatting>
  <conditionalFormatting sqref="A132:N132">
    <cfRule type="expression" dxfId="4" priority="97">
      <formula>AND($M132="Pendente",LEFT($D132,10)&lt;&gt;"Finalizado")</formula>
    </cfRule>
  </conditionalFormatting>
  <conditionalFormatting sqref="A133:N133">
    <cfRule type="expression" dxfId="3" priority="98">
      <formula>OR($M133="Finalizado",$M133="Validado",LEFT($D133,10)="Finalizado")</formula>
    </cfRule>
  </conditionalFormatting>
  <conditionalFormatting sqref="A133:N133">
    <cfRule type="expression" dxfId="4" priority="99">
      <formula>AND($M133="Pendente",LEFT($D133,10)&lt;&gt;"Finalizado")</formula>
    </cfRule>
  </conditionalFormatting>
  <conditionalFormatting sqref="A134:N134">
    <cfRule type="expression" dxfId="3" priority="100">
      <formula>OR($M134="Finalizado",$M134="Validado",LEFT($D134,10)="Finalizado")</formula>
    </cfRule>
  </conditionalFormatting>
  <conditionalFormatting sqref="A134:N134">
    <cfRule type="expression" dxfId="4" priority="101">
      <formula>AND($M134="Pendente",LEFT($D134,10)&lt;&gt;"Finalizado")</formula>
    </cfRule>
  </conditionalFormatting>
  <conditionalFormatting sqref="A135:N135">
    <cfRule type="expression" dxfId="3" priority="102">
      <formula>OR($M135="Finalizado",$M135="Validado",LEFT($D135,10)="Finalizado")</formula>
    </cfRule>
  </conditionalFormatting>
  <conditionalFormatting sqref="A135:N135">
    <cfRule type="expression" dxfId="4" priority="103">
      <formula>AND($M135="Pendente",LEFT($D135,10)&lt;&gt;"Finalizado")</formula>
    </cfRule>
  </conditionalFormatting>
  <conditionalFormatting sqref="A136:N136">
    <cfRule type="expression" dxfId="3" priority="104">
      <formula>OR($M136="Finalizado",$M136="Validado",LEFT($D136,10)="Finalizado")</formula>
    </cfRule>
  </conditionalFormatting>
  <conditionalFormatting sqref="A136:N136">
    <cfRule type="expression" dxfId="4" priority="105">
      <formula>AND($M136="Pendente",LEFT($D136,10)&lt;&gt;"Finalizado")</formula>
    </cfRule>
  </conditionalFormatting>
  <conditionalFormatting sqref="A137:N137">
    <cfRule type="expression" dxfId="3" priority="106">
      <formula>OR($M137="Finalizado",$M137="Validado",LEFT($D137,10)="Finalizado")</formula>
    </cfRule>
  </conditionalFormatting>
  <conditionalFormatting sqref="A137:N137">
    <cfRule type="expression" dxfId="4" priority="107">
      <formula>AND($M137="Pendente",LEFT($D137,10)&lt;&gt;"Finalizado")</formula>
    </cfRule>
  </conditionalFormatting>
  <conditionalFormatting sqref="A138:N138">
    <cfRule type="expression" dxfId="3" priority="108">
      <formula>OR($M138="Finalizado",$M138="Validado",LEFT($D138,10)="Finalizado")</formula>
    </cfRule>
  </conditionalFormatting>
  <conditionalFormatting sqref="A138:N138">
    <cfRule type="expression" dxfId="4" priority="109">
      <formula>AND($M138="Pendente",LEFT($D138,10)&lt;&gt;"Finalizado")</formula>
    </cfRule>
  </conditionalFormatting>
  <conditionalFormatting sqref="A143:N143">
    <cfRule type="expression" dxfId="3" priority="110">
      <formula>OR($M143="Finalizado",$M143="Validado",LEFT($D143,10)="Finalizado")</formula>
    </cfRule>
  </conditionalFormatting>
  <conditionalFormatting sqref="A143:N143">
    <cfRule type="expression" dxfId="4" priority="111">
      <formula>AND($M143="Pendente",LEFT($D143,10)&lt;&gt;"Finalizado")</formula>
    </cfRule>
  </conditionalFormatting>
  <conditionalFormatting sqref="A148:N148">
    <cfRule type="expression" dxfId="3" priority="112">
      <formula>OR($M148="Validado",$M148="Finalizado",LEFT($D148,10)="Finalizado")</formula>
    </cfRule>
  </conditionalFormatting>
  <conditionalFormatting sqref="A148:N148">
    <cfRule type="expression" dxfId="4" priority="113">
      <formula>AND($M148="Pendente",LEFT($D148,10)&lt;&gt;"Finalizado")</formula>
    </cfRule>
  </conditionalFormatting>
  <conditionalFormatting sqref="A149:N149">
    <cfRule type="expression" dxfId="3" priority="114">
      <formula>OR($M149="Validado",$M149="Finalizado",LEFT($D149,10)="Finalizado")</formula>
    </cfRule>
  </conditionalFormatting>
  <conditionalFormatting sqref="A149:N149">
    <cfRule type="expression" dxfId="4" priority="115">
      <formula>AND($M149="Pendente",LEFT($D149,10)&lt;&gt;"Finalizado")</formula>
    </cfRule>
  </conditionalFormatting>
  <conditionalFormatting sqref="A150:N150">
    <cfRule type="expression" dxfId="3" priority="116">
      <formula>OR($M150="Validado",$M150="Finalizado",LEFT($D150,10)="Finalizado")</formula>
    </cfRule>
  </conditionalFormatting>
  <conditionalFormatting sqref="A150:N150">
    <cfRule type="expression" dxfId="4" priority="117">
      <formula>AND($M150="Pendente",LEFT($D150,10)&lt;&gt;"Finalizado")</formula>
    </cfRule>
  </conditionalFormatting>
  <conditionalFormatting sqref="A151:N151">
    <cfRule type="expression" dxfId="3" priority="118">
      <formula>OR($M151="Validado",$M151="Finalizado",LEFT($D151,10)="Finalizado")</formula>
    </cfRule>
  </conditionalFormatting>
  <conditionalFormatting sqref="A151:N151">
    <cfRule type="expression" dxfId="4" priority="119">
      <formula>AND($M151="Pendente",LEFT($D151,10)&lt;&gt;"Finalizado")</formula>
    </cfRule>
  </conditionalFormatting>
  <conditionalFormatting sqref="A152:N152">
    <cfRule type="expression" dxfId="3" priority="120">
      <formula>OR($M152="Validado",$M152="Finalizado",LEFT($D152,10)="Finalizado")</formula>
    </cfRule>
  </conditionalFormatting>
  <conditionalFormatting sqref="A152:N152">
    <cfRule type="expression" dxfId="4" priority="121">
      <formula>AND($M152="Pendente",LEFT($D152,10)&lt;&gt;"Finalizado")</formula>
    </cfRule>
  </conditionalFormatting>
  <conditionalFormatting sqref="A153:N153">
    <cfRule type="expression" dxfId="3" priority="122">
      <formula>OR($M153="Validado",$M153="Finalizado",LEFT($D153,10)="Finalizado")</formula>
    </cfRule>
  </conditionalFormatting>
  <conditionalFormatting sqref="A153:N153">
    <cfRule type="expression" dxfId="4" priority="123">
      <formula>AND($M153="Pendente",LEFT($D153,10)&lt;&gt;"Finalizado")</formula>
    </cfRule>
  </conditionalFormatting>
  <conditionalFormatting sqref="A154:N154">
    <cfRule type="expression" dxfId="3" priority="124">
      <formula>OR($M154="Validado",$M154="Finalizado",LEFT($D154,10)="Finalizado")</formula>
    </cfRule>
  </conditionalFormatting>
  <conditionalFormatting sqref="A154:N154">
    <cfRule type="expression" dxfId="4" priority="125">
      <formula>AND($M154="Pendente",LEFT($D154,10)&lt;&gt;"Finalizado")</formula>
    </cfRule>
  </conditionalFormatting>
  <conditionalFormatting sqref="A155:N155">
    <cfRule type="expression" dxfId="3" priority="126">
      <formula>OR($M155="Validado",$M155="Finalizado",LEFT($D155,10)="Finalizado")</formula>
    </cfRule>
  </conditionalFormatting>
  <conditionalFormatting sqref="A155:N155">
    <cfRule type="expression" dxfId="4" priority="127">
      <formula>AND($M155="Pendente",LEFT($D155,10)&lt;&gt;"Finalizado")</formula>
    </cfRule>
  </conditionalFormatting>
  <conditionalFormatting sqref="A156:N156">
    <cfRule type="expression" dxfId="3" priority="128">
      <formula>OR($M156="Validado",$M156="Finalizado",LEFT($D156,10)="Finalizado")</formula>
    </cfRule>
  </conditionalFormatting>
  <conditionalFormatting sqref="A156:N156">
    <cfRule type="expression" dxfId="4" priority="129">
      <formula>AND($M156="Pendente",LEFT($D156,10)&lt;&gt;"Finalizado")</formula>
    </cfRule>
  </conditionalFormatting>
  <conditionalFormatting sqref="A157:N157">
    <cfRule type="expression" dxfId="3" priority="130">
      <formula>OR($M157="Validado",$M157="Finalizado",LEFT($D157,10)="Finalizado")</formula>
    </cfRule>
  </conditionalFormatting>
  <conditionalFormatting sqref="A157:N157">
    <cfRule type="expression" dxfId="4" priority="131">
      <formula>AND($M157="Pendente",LEFT($D157,10)&lt;&gt;"Finalizado")</formula>
    </cfRule>
  </conditionalFormatting>
  <conditionalFormatting sqref="A158:N158">
    <cfRule type="expression" dxfId="3" priority="132">
      <formula>OR($M158="Validado",$M158="Finalizado",LEFT($D158,10)="Finalizado")</formula>
    </cfRule>
  </conditionalFormatting>
  <conditionalFormatting sqref="A158:N158">
    <cfRule type="expression" dxfId="4" priority="133">
      <formula>AND($M158="Pendente",LEFT($D158,10)&lt;&gt;"Finalizado")</formula>
    </cfRule>
  </conditionalFormatting>
  <conditionalFormatting sqref="A159:N159">
    <cfRule type="expression" dxfId="3" priority="134">
      <formula>OR($M159="Validado",$M159="Finalizado",LEFT($D159,10)="Finalizado")</formula>
    </cfRule>
  </conditionalFormatting>
  <conditionalFormatting sqref="A159:N159">
    <cfRule type="expression" dxfId="4" priority="135">
      <formula>AND($M159="Pendente",LEFT($D159,10)&lt;&gt;"Finalizado")</formula>
    </cfRule>
  </conditionalFormatting>
  <conditionalFormatting sqref="A160:N160">
    <cfRule type="expression" dxfId="3" priority="136">
      <formula>OR($M160="Validado",$M160="Finalizado",LEFT($D160,10)="Finalizado")</formula>
    </cfRule>
  </conditionalFormatting>
  <conditionalFormatting sqref="A160:N160">
    <cfRule type="expression" dxfId="4" priority="137">
      <formula>AND($M160="Pendente",LEFT($D160,10)&lt;&gt;"Finalizado")</formula>
    </cfRule>
  </conditionalFormatting>
  <conditionalFormatting sqref="A161:N161">
    <cfRule type="expression" dxfId="3" priority="138">
      <formula>OR($M161="Validado",$M161="Finalizado",LEFT($D161,10)="Finalizado")</formula>
    </cfRule>
  </conditionalFormatting>
  <conditionalFormatting sqref="A161:N161">
    <cfRule type="expression" dxfId="4" priority="139">
      <formula>AND($M161="Pendente",LEFT($D161,10)&lt;&gt;"Finalizado")</formula>
    </cfRule>
  </conditionalFormatting>
  <conditionalFormatting sqref="A162:N162">
    <cfRule type="expression" dxfId="3" priority="140">
      <formula>OR($M162="Validado",$M162="Finalizado",LEFT($D162,10)="Finalizado")</formula>
    </cfRule>
  </conditionalFormatting>
  <conditionalFormatting sqref="A162:N162">
    <cfRule type="expression" dxfId="4" priority="141">
      <formula>AND($M162="Pendente",LEFT($D162,10)&lt;&gt;"Finalizado")</formula>
    </cfRule>
  </conditionalFormatting>
  <conditionalFormatting sqref="A163:N163">
    <cfRule type="expression" dxfId="3" priority="142">
      <formula>OR($M163="Validado",$M163="Finalizado",LEFT($D163,10)="Finalizado")</formula>
    </cfRule>
  </conditionalFormatting>
  <conditionalFormatting sqref="A163:N163">
    <cfRule type="expression" dxfId="4" priority="143">
      <formula>AND($M163="Pendente",LEFT($D163,10)&lt;&gt;"Finalizado")</formula>
    </cfRule>
  </conditionalFormatting>
  <conditionalFormatting sqref="A164:N164">
    <cfRule type="expression" dxfId="3" priority="144">
      <formula>OR($M164="Validado",$M164="Finalizado",LEFT($D164,10)="Finalizado")</formula>
    </cfRule>
  </conditionalFormatting>
  <conditionalFormatting sqref="A164:N164">
    <cfRule type="expression" dxfId="4" priority="145">
      <formula>AND($M164="Pendente",LEFT($D164,10)&lt;&gt;"Finalizado")</formula>
    </cfRule>
  </conditionalFormatting>
  <conditionalFormatting sqref="A165:N165">
    <cfRule type="expression" dxfId="3" priority="146">
      <formula>OR($M165="Validado",$M165="Finalizado",LEFT($D165,10)="Finalizado")</formula>
    </cfRule>
  </conditionalFormatting>
  <conditionalFormatting sqref="A165:N165">
    <cfRule type="expression" dxfId="4" priority="147">
      <formula>AND($M165="Pendente",LEFT($D165,10)&lt;&gt;"Finalizado")</formula>
    </cfRule>
  </conditionalFormatting>
  <conditionalFormatting sqref="A170:N170">
    <cfRule type="expression" dxfId="3" priority="148">
      <formula>OR($M170="Validado",$M170="Finalizado",LEFT($D170,10)="Finalizado")</formula>
    </cfRule>
  </conditionalFormatting>
  <conditionalFormatting sqref="A170:N170">
    <cfRule type="expression" dxfId="4" priority="149">
      <formula>AND($M170="Pendente",LEFT($D170,10)&lt;&gt;"Finalizado")</formula>
    </cfRule>
  </conditionalFormatting>
  <conditionalFormatting sqref="A171:N171">
    <cfRule type="expression" dxfId="3" priority="150">
      <formula>OR($M171="Validado",$M171="Finalizado",LEFT($D171,10)="Finalizado")</formula>
    </cfRule>
  </conditionalFormatting>
  <conditionalFormatting sqref="A171:N171">
    <cfRule type="expression" dxfId="4" priority="151">
      <formula>AND($M171="Pendente",LEFT($D171,10)&lt;&gt;"Finalizado")</formula>
    </cfRule>
  </conditionalFormatting>
  <conditionalFormatting sqref="A172:N172">
    <cfRule type="expression" dxfId="3" priority="152">
      <formula>OR($M172="Validado",$M172="Finalizado",LEFT($D172,10)="Finalizado")</formula>
    </cfRule>
  </conditionalFormatting>
  <conditionalFormatting sqref="A172:N172">
    <cfRule type="expression" dxfId="4" priority="153">
      <formula>AND($M172="Pendente",LEFT($D172,10)&lt;&gt;"Finalizado")</formula>
    </cfRule>
  </conditionalFormatting>
  <conditionalFormatting sqref="A173:N173">
    <cfRule type="expression" dxfId="3" priority="154">
      <formula>OR($M173="Validado",$M173="Finalizado",LEFT($D173,10)="Finalizado")</formula>
    </cfRule>
  </conditionalFormatting>
  <conditionalFormatting sqref="A173:N173">
    <cfRule type="expression" dxfId="4" priority="155">
      <formula>AND($M173="Pendente",LEFT($D173,10)&lt;&gt;"Finalizado")</formula>
    </cfRule>
  </conditionalFormatting>
  <conditionalFormatting sqref="A178:N178">
    <cfRule type="expression" dxfId="3" priority="156">
      <formula>OR($M178="Validado",$M178="Finalizado",LEFT($D178,10)="Finalizado")</formula>
    </cfRule>
  </conditionalFormatting>
  <conditionalFormatting sqref="A178:N178">
    <cfRule type="expression" dxfId="4" priority="157">
      <formula>AND($M178="Pendente",LEFT($D178,10)&lt;&gt;"Finalizado")</formula>
    </cfRule>
  </conditionalFormatting>
  <conditionalFormatting sqref="A179:N179">
    <cfRule type="expression" dxfId="3" priority="158">
      <formula>OR($M179="Validado",$M179="Finalizado",LEFT($D179,10)="Finalizado")</formula>
    </cfRule>
  </conditionalFormatting>
  <conditionalFormatting sqref="A179:N179">
    <cfRule type="expression" dxfId="4" priority="159">
      <formula>AND($M179="Pendente",LEFT($D179,10)&lt;&gt;"Finalizado")</formula>
    </cfRule>
  </conditionalFormatting>
  <conditionalFormatting sqref="A180:N180">
    <cfRule type="expression" dxfId="3" priority="160">
      <formula>OR($M180="Validado",$M180="Finalizado",LEFT($D180,10)="Finalizado")</formula>
    </cfRule>
  </conditionalFormatting>
  <conditionalFormatting sqref="A180:N180">
    <cfRule type="expression" dxfId="4" priority="161">
      <formula>AND($M180="Pendente",LEFT($D180,10)&lt;&gt;"Finalizado")</formula>
    </cfRule>
  </conditionalFormatting>
  <conditionalFormatting sqref="A181:N181">
    <cfRule type="expression" dxfId="3" priority="162">
      <formula>OR($M181="Validado",$M181="Finalizado",LEFT($D181,10)="Finalizado")</formula>
    </cfRule>
  </conditionalFormatting>
  <conditionalFormatting sqref="A181:N181">
    <cfRule type="expression" dxfId="4" priority="163">
      <formula>AND($M181="Pendente",LEFT($D181,10)&lt;&gt;"Finalizado")</formula>
    </cfRule>
  </conditionalFormatting>
  <conditionalFormatting sqref="A182:N182">
    <cfRule type="expression" dxfId="3" priority="164">
      <formula>OR($M182="Validado",$M182="Finalizado",LEFT($D182,10)="Finalizado")</formula>
    </cfRule>
  </conditionalFormatting>
  <conditionalFormatting sqref="A182:N182">
    <cfRule type="expression" dxfId="4" priority="165">
      <formula>AND($M182="Pendente",LEFT($D182,10)&lt;&gt;"Finalizado")</formula>
    </cfRule>
  </conditionalFormatting>
  <conditionalFormatting sqref="A183:N183">
    <cfRule type="expression" dxfId="3" priority="166">
      <formula>OR($M183="Validado",$M183="Finalizado",LEFT($D183,10)="Finalizado")</formula>
    </cfRule>
  </conditionalFormatting>
  <conditionalFormatting sqref="A183:N183">
    <cfRule type="expression" dxfId="4" priority="167">
      <formula>AND($M183="Pendente",LEFT($D183,10)&lt;&gt;"Finalizado")</formula>
    </cfRule>
  </conditionalFormatting>
  <conditionalFormatting sqref="A184:N184">
    <cfRule type="expression" dxfId="3" priority="168">
      <formula>OR($M184="Validado",$M184="Finalizado",LEFT($D184,10)="Finalizado")</formula>
    </cfRule>
  </conditionalFormatting>
  <conditionalFormatting sqref="A184:N184">
    <cfRule type="expression" dxfId="4" priority="169">
      <formula>AND($M184="Pendente",LEFT($D184,10)&lt;&gt;"Finalizado")</formula>
    </cfRule>
  </conditionalFormatting>
  <conditionalFormatting sqref="A185:N185">
    <cfRule type="expression" dxfId="3" priority="170">
      <formula>OR($M185="Validado",$M185="Finalizado",LEFT($D185,10)="Finalizado")</formula>
    </cfRule>
  </conditionalFormatting>
  <conditionalFormatting sqref="A185:N185">
    <cfRule type="expression" dxfId="4" priority="171">
      <formula>AND($M185="Pendente",LEFT($D185,10)&lt;&gt;"Finalizado")</formula>
    </cfRule>
  </conditionalFormatting>
  <conditionalFormatting sqref="A186:N186">
    <cfRule type="expression" dxfId="3" priority="172">
      <formula>OR($M186="Validado",$M186="Finalizado",LEFT($D186,10)="Finalizado")</formula>
    </cfRule>
  </conditionalFormatting>
  <conditionalFormatting sqref="A186:N186">
    <cfRule type="expression" dxfId="4" priority="173">
      <formula>AND($M186="Pendente",LEFT($D186,10)&lt;&gt;"Finalizado")</formula>
    </cfRule>
  </conditionalFormatting>
  <conditionalFormatting sqref="A187:N187">
    <cfRule type="expression" dxfId="3" priority="174">
      <formula>OR($M187="Validado",$M187="Finalizado",LEFT($D187,10)="Finalizado")</formula>
    </cfRule>
  </conditionalFormatting>
  <conditionalFormatting sqref="A187:N187">
    <cfRule type="expression" dxfId="4" priority="175">
      <formula>AND($M187="Pendente",LEFT($D187,10)&lt;&gt;"Finalizado")</formula>
    </cfRule>
  </conditionalFormatting>
  <conditionalFormatting sqref="A188:N188">
    <cfRule type="expression" dxfId="3" priority="176">
      <formula>OR($M188="Validado",$M188="Finalizado",LEFT($D188,10)="Finalizado")</formula>
    </cfRule>
  </conditionalFormatting>
  <conditionalFormatting sqref="A188:N188">
    <cfRule type="expression" dxfId="4" priority="177">
      <formula>AND($M188="Pendente",LEFT($D188,10)&lt;&gt;"Finalizado")</formula>
    </cfRule>
  </conditionalFormatting>
  <conditionalFormatting sqref="A189:N189">
    <cfRule type="expression" dxfId="3" priority="178">
      <formula>OR($M189="Validado",$M189="Finalizado",LEFT($D189,10)="Finalizado")</formula>
    </cfRule>
  </conditionalFormatting>
  <conditionalFormatting sqref="A189:N189">
    <cfRule type="expression" dxfId="4" priority="179">
      <formula>AND($M189="Pendente",LEFT($D189,10)&lt;&gt;"Finalizado")</formula>
    </cfRule>
  </conditionalFormatting>
  <conditionalFormatting sqref="A190:N190">
    <cfRule type="expression" dxfId="3" priority="180">
      <formula>OR($M190="Validado",$M190="Finalizado",LEFT($D190,10)="Finalizado")</formula>
    </cfRule>
  </conditionalFormatting>
  <conditionalFormatting sqref="A190:N190">
    <cfRule type="expression" dxfId="4" priority="181">
      <formula>AND($M190="Pendente",LEFT($D190,10)&lt;&gt;"Finalizado")</formula>
    </cfRule>
  </conditionalFormatting>
  <conditionalFormatting sqref="A191:N191">
    <cfRule type="expression" dxfId="3" priority="182">
      <formula>OR($M191="Validado",$M191="Finalizado",LEFT($D191,10)="Finalizado")</formula>
    </cfRule>
  </conditionalFormatting>
  <conditionalFormatting sqref="A191:N191">
    <cfRule type="expression" dxfId="4" priority="183">
      <formula>AND($M191="Pendente",LEFT($D191,10)&lt;&gt;"Finalizado")</formula>
    </cfRule>
  </conditionalFormatting>
  <conditionalFormatting sqref="A192:N192">
    <cfRule type="expression" dxfId="3" priority="184">
      <formula>OR($M192="Validado",$M192="Finalizado",LEFT($D192,10)="Finalizado")</formula>
    </cfRule>
  </conditionalFormatting>
  <conditionalFormatting sqref="A192:N192">
    <cfRule type="expression" dxfId="4" priority="185">
      <formula>AND($M192="Pendente",LEFT($D192,10)&lt;&gt;"Finalizado")</formula>
    </cfRule>
  </conditionalFormatting>
  <conditionalFormatting sqref="A193:N193">
    <cfRule type="expression" dxfId="3" priority="186">
      <formula>OR($M193="Validado",$M193="Finalizado",LEFT($D193,10)="Finalizado")</formula>
    </cfRule>
  </conditionalFormatting>
  <conditionalFormatting sqref="A193:N193">
    <cfRule type="expression" dxfId="4" priority="187">
      <formula>AND($M193="Pendente",LEFT($D193,10)&lt;&gt;"Finalizado")</formula>
    </cfRule>
  </conditionalFormatting>
  <conditionalFormatting sqref="A194:N194">
    <cfRule type="expression" dxfId="3" priority="188">
      <formula>OR($M194="Validado",$M194="Finalizado",LEFT($D194,10)="Finalizado")</formula>
    </cfRule>
  </conditionalFormatting>
  <conditionalFormatting sqref="A194:N194">
    <cfRule type="expression" dxfId="4" priority="189">
      <formula>AND($M194="Pendente",LEFT($D194,10)&lt;&gt;"Finalizado")</formula>
    </cfRule>
  </conditionalFormatting>
  <conditionalFormatting sqref="A195:N195">
    <cfRule type="expression" dxfId="3" priority="190">
      <formula>OR($M195="Validado",$M195="Finalizado",LEFT($D195,10)="Finalizado")</formula>
    </cfRule>
  </conditionalFormatting>
  <conditionalFormatting sqref="A195:N195">
    <cfRule type="expression" dxfId="4" priority="191">
      <formula>AND($M195="Pendente",LEFT($D195,10)&lt;&gt;"Finalizado")</formula>
    </cfRule>
  </conditionalFormatting>
  <conditionalFormatting sqref="A200:N200">
    <cfRule type="expression" dxfId="3" priority="192">
      <formula>OR($M200="Validado",$M200="Finalizado",LEFT($D200,10)="Finalizado")</formula>
    </cfRule>
  </conditionalFormatting>
  <conditionalFormatting sqref="A200:N200">
    <cfRule type="expression" dxfId="4" priority="193">
      <formula>AND($M200="Pendente",LEFT($D200,10)&lt;&gt;"Finalizado")</formula>
    </cfRule>
  </conditionalFormatting>
  <conditionalFormatting sqref="A201:N201">
    <cfRule type="expression" dxfId="3" priority="194">
      <formula>OR($M201="Validado",$M201="Finalizado",LEFT($D201,10)="Finalizado")</formula>
    </cfRule>
  </conditionalFormatting>
  <conditionalFormatting sqref="A201:N201">
    <cfRule type="expression" dxfId="4" priority="195">
      <formula>AND($M201="Pendente",LEFT($D201,10)&lt;&gt;"Finalizado")</formula>
    </cfRule>
  </conditionalFormatting>
  <conditionalFormatting sqref="A202:N202">
    <cfRule type="expression" dxfId="3" priority="196">
      <formula>OR($M202="Validado",$M202="Finalizado",LEFT($D202,10)="Finalizado")</formula>
    </cfRule>
  </conditionalFormatting>
  <conditionalFormatting sqref="A202:N202">
    <cfRule type="expression" dxfId="4" priority="197">
      <formula>AND($M202="Pendente",LEFT($D202,10)&lt;&gt;"Finalizado")</formula>
    </cfRule>
  </conditionalFormatting>
  <conditionalFormatting sqref="A203:N203">
    <cfRule type="expression" dxfId="3" priority="198">
      <formula>OR($M203="Validado",$M203="Finalizado",LEFT($D203,10)="Finalizado")</formula>
    </cfRule>
  </conditionalFormatting>
  <conditionalFormatting sqref="A203:N203">
    <cfRule type="expression" dxfId="4" priority="199">
      <formula>AND($M203="Pendente",LEFT($D203,10)&lt;&gt;"Finalizado")</formula>
    </cfRule>
  </conditionalFormatting>
  <conditionalFormatting sqref="A204:N204">
    <cfRule type="expression" dxfId="3" priority="200">
      <formula>OR($M204="Validado",$M204="Finalizado",LEFT($D204,10)="Finalizado")</formula>
    </cfRule>
  </conditionalFormatting>
  <conditionalFormatting sqref="A204:N204">
    <cfRule type="expression" dxfId="4" priority="201">
      <formula>AND($M204="Pendente",LEFT($D204,10)&lt;&gt;"Finalizado")</formula>
    </cfRule>
  </conditionalFormatting>
  <conditionalFormatting sqref="A205:N205">
    <cfRule type="expression" dxfId="3" priority="202">
      <formula>OR($M205="Validado",$M205="Finalizado",LEFT($D205,10)="Finalizado")</formula>
    </cfRule>
  </conditionalFormatting>
  <conditionalFormatting sqref="A205:N205">
    <cfRule type="expression" dxfId="4" priority="203">
      <formula>AND($M205="Pendente",LEFT($D205,10)&lt;&gt;"Finalizado")</formula>
    </cfRule>
  </conditionalFormatting>
  <conditionalFormatting sqref="A206:N206">
    <cfRule type="expression" dxfId="3" priority="204">
      <formula>OR($M206="Validado",$M206="Finalizado",LEFT($D206,10)="Finalizado")</formula>
    </cfRule>
  </conditionalFormatting>
  <conditionalFormatting sqref="A206:N206">
    <cfRule type="expression" dxfId="4" priority="205">
      <formula>AND($M206="Pendente",LEFT($D206,10)&lt;&gt;"Finalizado")</formula>
    </cfRule>
  </conditionalFormatting>
  <conditionalFormatting sqref="A207:N207">
    <cfRule type="expression" dxfId="3" priority="206">
      <formula>OR($M207="Validado",$M207="Finalizado",LEFT($D207,10)="Finalizado")</formula>
    </cfRule>
  </conditionalFormatting>
  <conditionalFormatting sqref="A207:N207">
    <cfRule type="expression" dxfId="4" priority="207">
      <formula>AND($M207="Pendente",LEFT($D207,10)&lt;&gt;"Finalizado")</formula>
    </cfRule>
  </conditionalFormatting>
  <conditionalFormatting sqref="A208:N208">
    <cfRule type="expression" dxfId="3" priority="208">
      <formula>OR($M208="Validado",$M208="Finalizado",LEFT($D208,10)="Finalizado")</formula>
    </cfRule>
  </conditionalFormatting>
  <conditionalFormatting sqref="A208:N208">
    <cfRule type="expression" dxfId="4" priority="209">
      <formula>AND($M208="Pendente",LEFT($D208,10)&lt;&gt;"Finalizado")</formula>
    </cfRule>
  </conditionalFormatting>
  <conditionalFormatting sqref="A209:N209">
    <cfRule type="expression" dxfId="3" priority="210">
      <formula>OR($M209="Validado",$M209="Finalizado",LEFT($D209,10)="Finalizado")</formula>
    </cfRule>
  </conditionalFormatting>
  <conditionalFormatting sqref="A209:N209">
    <cfRule type="expression" dxfId="4" priority="211">
      <formula>AND($M209="Pendente",LEFT($D209,10)&lt;&gt;"Finalizado")</formula>
    </cfRule>
  </conditionalFormatting>
  <conditionalFormatting sqref="A210:N210">
    <cfRule type="expression" dxfId="3" priority="212">
      <formula>OR($M210="Validado",$M210="Finalizado",LEFT($D210,10)="Finalizado")</formula>
    </cfRule>
  </conditionalFormatting>
  <conditionalFormatting sqref="A210:N210">
    <cfRule type="expression" dxfId="4" priority="213">
      <formula>AND($M210="Pendente",LEFT($D210,10)&lt;&gt;"Finalizado")</formula>
    </cfRule>
  </conditionalFormatting>
  <conditionalFormatting sqref="A211:N211">
    <cfRule type="expression" dxfId="3" priority="214">
      <formula>OR($M211="Validado",$M211="Finalizado",LEFT($D211,10)="Finalizado")</formula>
    </cfRule>
  </conditionalFormatting>
  <conditionalFormatting sqref="A211:N211">
    <cfRule type="expression" dxfId="4" priority="215">
      <formula>AND($M211="Pendente",LEFT($D211,10)&lt;&gt;"Finalizado")</formula>
    </cfRule>
  </conditionalFormatting>
  <conditionalFormatting sqref="A212:N212">
    <cfRule type="expression" dxfId="3" priority="216">
      <formula>OR($M212="Validado",$M212="Finalizado",LEFT($D212,10)="Finalizado")</formula>
    </cfRule>
  </conditionalFormatting>
  <conditionalFormatting sqref="A212:N212">
    <cfRule type="expression" dxfId="4" priority="217">
      <formula>AND($M212="Pendente",LEFT($D212,10)&lt;&gt;"Finalizado")</formula>
    </cfRule>
  </conditionalFormatting>
  <conditionalFormatting sqref="A213:N213">
    <cfRule type="expression" dxfId="3" priority="218">
      <formula>OR($M213="Validado",$M213="Finalizado",LEFT($D213,10)="Finalizado")</formula>
    </cfRule>
  </conditionalFormatting>
  <conditionalFormatting sqref="A213:N213">
    <cfRule type="expression" dxfId="4" priority="219">
      <formula>AND($M213="Pendente",LEFT($D213,10)&lt;&gt;"Finalizado")</formula>
    </cfRule>
  </conditionalFormatting>
  <conditionalFormatting sqref="A214:N214">
    <cfRule type="expression" dxfId="3" priority="220">
      <formula>OR($M214="Validado",$M214="Finalizado",LEFT($D214,10)="Finalizado")</formula>
    </cfRule>
  </conditionalFormatting>
  <conditionalFormatting sqref="A214:N214">
    <cfRule type="expression" dxfId="4" priority="221">
      <formula>AND($M214="Pendente",LEFT($D214,10)&lt;&gt;"Finalizado")</formula>
    </cfRule>
  </conditionalFormatting>
  <conditionalFormatting sqref="A219:N219">
    <cfRule type="expression" dxfId="3" priority="222">
      <formula>OR($M219="Validado",$M219="Finalizado",LEFT($D219,10)="Finalizado")</formula>
    </cfRule>
  </conditionalFormatting>
  <conditionalFormatting sqref="A219:N219">
    <cfRule type="expression" dxfId="4" priority="223">
      <formula>AND($M219="Pendente",LEFT($D219,10)&lt;&gt;"Finalizado")</formula>
    </cfRule>
  </conditionalFormatting>
  <conditionalFormatting sqref="A220:N220">
    <cfRule type="expression" dxfId="3" priority="224">
      <formula>OR($M220="Validado",$M220="Finalizado",LEFT($D220,10)="Finalizado")</formula>
    </cfRule>
  </conditionalFormatting>
  <conditionalFormatting sqref="A220:N220">
    <cfRule type="expression" dxfId="4" priority="225">
      <formula>AND($M220="Pendente",LEFT($D220,10)&lt;&gt;"Finalizado")</formula>
    </cfRule>
  </conditionalFormatting>
  <conditionalFormatting sqref="A221:N221">
    <cfRule type="expression" dxfId="3" priority="226">
      <formula>OR($M221="Validado",$M221="Finalizado",LEFT($D221,10)="Finalizado")</formula>
    </cfRule>
  </conditionalFormatting>
  <conditionalFormatting sqref="A221:N221">
    <cfRule type="expression" dxfId="4" priority="227">
      <formula>AND($M221="Pendente",LEFT($D221,10)&lt;&gt;"Finalizado")</formula>
    </cfRule>
  </conditionalFormatting>
  <conditionalFormatting sqref="A226:N226">
    <cfRule type="expression" dxfId="3" priority="228">
      <formula>OR($M226="Validado",$M226="Finalizado",LEFT($D226,10)="Finalizado")</formula>
    </cfRule>
  </conditionalFormatting>
  <conditionalFormatting sqref="A226:N226">
    <cfRule type="expression" dxfId="4" priority="229">
      <formula>AND($M226="Pendente",LEFT($D226,10)&lt;&gt;"Finalizado")</formula>
    </cfRule>
  </conditionalFormatting>
  <conditionalFormatting sqref="A227:N227">
    <cfRule type="expression" dxfId="3" priority="230">
      <formula>OR($M227="Validado",$M227="Finalizado",LEFT($D227,10)="Finalizado")</formula>
    </cfRule>
  </conditionalFormatting>
  <conditionalFormatting sqref="A227:N227">
    <cfRule type="expression" dxfId="4" priority="231">
      <formula>AND($M227="Pendente",LEFT($D227,10)&lt;&gt;"Finalizado")</formula>
    </cfRule>
  </conditionalFormatting>
  <conditionalFormatting sqref="A228:N228">
    <cfRule type="expression" dxfId="3" priority="232">
      <formula>OR($M228="Validado",$M228="Finalizado",LEFT($D228,10)="Finalizado")</formula>
    </cfRule>
  </conditionalFormatting>
  <conditionalFormatting sqref="A228:N228">
    <cfRule type="expression" dxfId="4" priority="233">
      <formula>AND($M228="Pendente",LEFT($D228,10)&lt;&gt;"Finalizado")</formula>
    </cfRule>
  </conditionalFormatting>
  <conditionalFormatting sqref="A229:N229">
    <cfRule type="expression" dxfId="3" priority="234">
      <formula>OR($M229="Validado",$M229="Finalizado",LEFT($D229,10)="Finalizado")</formula>
    </cfRule>
  </conditionalFormatting>
  <conditionalFormatting sqref="A229:N229">
    <cfRule type="expression" dxfId="4" priority="235">
      <formula>AND($M229="Pendente",LEFT($D229,10)&lt;&gt;"Finalizado")</formula>
    </cfRule>
  </conditionalFormatting>
  <conditionalFormatting sqref="A230:N230">
    <cfRule type="expression" dxfId="3" priority="236">
      <formula>OR($M230="Validado",$M230="Finalizado",LEFT($D230,10)="Finalizado")</formula>
    </cfRule>
  </conditionalFormatting>
  <conditionalFormatting sqref="A230:N230">
    <cfRule type="expression" dxfId="4" priority="237">
      <formula>AND($M230="Pendente",LEFT($D230,10)&lt;&gt;"Finalizado")</formula>
    </cfRule>
  </conditionalFormatting>
  <conditionalFormatting sqref="A231:N231">
    <cfRule type="expression" dxfId="3" priority="238">
      <formula>OR($M231="Validado",$M231="Finalizado",LEFT($D231,10)="Finalizado")</formula>
    </cfRule>
  </conditionalFormatting>
  <conditionalFormatting sqref="A231:N231">
    <cfRule type="expression" dxfId="4" priority="239">
      <formula>AND($M231="Pendente",LEFT($D231,10)&lt;&gt;"Finalizado")</formula>
    </cfRule>
  </conditionalFormatting>
  <conditionalFormatting sqref="A232:N232">
    <cfRule type="expression" dxfId="3" priority="240">
      <formula>OR($M232="Validado",$M232="Finalizado",LEFT($D232,10)="Finalizado")</formula>
    </cfRule>
  </conditionalFormatting>
  <conditionalFormatting sqref="A232:N232">
    <cfRule type="expression" dxfId="4" priority="241">
      <formula>AND($M232="Pendente",LEFT($D232,10)&lt;&gt;"Finalizado")</formula>
    </cfRule>
  </conditionalFormatting>
  <conditionalFormatting sqref="A233:N233">
    <cfRule type="expression" dxfId="3" priority="242">
      <formula>OR($M233="Validado",$M233="Finalizado",LEFT($D233,10)="Finalizado")</formula>
    </cfRule>
  </conditionalFormatting>
  <conditionalFormatting sqref="A233:N233">
    <cfRule type="expression" dxfId="4" priority="243">
      <formula>AND($M233="Pendente",LEFT($D233,10)&lt;&gt;"Finalizado")</formula>
    </cfRule>
  </conditionalFormatting>
  <conditionalFormatting sqref="A234:N234">
    <cfRule type="expression" dxfId="3" priority="244">
      <formula>OR($M234="Validado",$M234="Finalizado",LEFT($D234,10)="Finalizado")</formula>
    </cfRule>
  </conditionalFormatting>
  <conditionalFormatting sqref="A234:N234">
    <cfRule type="expression" dxfId="4" priority="245">
      <formula>AND($M234="Pendente",LEFT($D234,10)&lt;&gt;"Finalizado")</formula>
    </cfRule>
  </conditionalFormatting>
  <conditionalFormatting sqref="A235:N235">
    <cfRule type="expression" dxfId="3" priority="246">
      <formula>OR($M235="Validado",$M235="Finalizado",LEFT($D235,10)="Finalizado")</formula>
    </cfRule>
  </conditionalFormatting>
  <conditionalFormatting sqref="A235:N235">
    <cfRule type="expression" dxfId="4" priority="247">
      <formula>AND($M235="Pendente",LEFT($D235,10)&lt;&gt;"Finalizado")</formula>
    </cfRule>
  </conditionalFormatting>
  <conditionalFormatting sqref="A236:N236">
    <cfRule type="expression" dxfId="3" priority="248">
      <formula>OR($M236="Validado",$M236="Finalizado",LEFT($D236,10)="Finalizado")</formula>
    </cfRule>
  </conditionalFormatting>
  <conditionalFormatting sqref="A236:N236">
    <cfRule type="expression" dxfId="4" priority="249">
      <formula>AND($M236="Pendente",LEFT($D236,10)&lt;&gt;"Finalizado")</formula>
    </cfRule>
  </conditionalFormatting>
  <conditionalFormatting sqref="A237:N237">
    <cfRule type="expression" dxfId="3" priority="250">
      <formula>OR($M237="Validado",$M237="Finalizado",LEFT($D237,10)="Finalizado")</formula>
    </cfRule>
  </conditionalFormatting>
  <conditionalFormatting sqref="A237:N237">
    <cfRule type="expression" dxfId="4" priority="251">
      <formula>AND($M237="Pendente",LEFT($D237,10)&lt;&gt;"Finalizado")</formula>
    </cfRule>
  </conditionalFormatting>
  <conditionalFormatting sqref="A238:N238">
    <cfRule type="expression" dxfId="3" priority="252">
      <formula>OR($M238="Validado",$M238="Finalizado",LEFT($D238,10)="Finalizado")</formula>
    </cfRule>
  </conditionalFormatting>
  <conditionalFormatting sqref="A238:N238">
    <cfRule type="expression" dxfId="4" priority="253">
      <formula>AND($M238="Pendente",LEFT($D238,10)&lt;&gt;"Finalizado")</formula>
    </cfRule>
  </conditionalFormatting>
  <conditionalFormatting sqref="A239:N239">
    <cfRule type="expression" dxfId="3" priority="254">
      <formula>OR($M239="Validado",$M239="Finalizado",LEFT($D239,10)="Finalizado")</formula>
    </cfRule>
  </conditionalFormatting>
  <conditionalFormatting sqref="A239:N239">
    <cfRule type="expression" dxfId="4" priority="255">
      <formula>AND($M239="Pendente",LEFT($D239,10)&lt;&gt;"Finalizado")</formula>
    </cfRule>
  </conditionalFormatting>
  <conditionalFormatting sqref="A240:N240">
    <cfRule type="expression" dxfId="3" priority="256">
      <formula>OR($M240="Validado",$M240="Finalizado",LEFT($D240,10)="Finalizado")</formula>
    </cfRule>
  </conditionalFormatting>
  <conditionalFormatting sqref="A240:N240">
    <cfRule type="expression" dxfId="4" priority="257">
      <formula>AND($M240="Pendente",LEFT($D240,10)&lt;&gt;"Finalizado")</formula>
    </cfRule>
  </conditionalFormatting>
  <conditionalFormatting sqref="A241:N241">
    <cfRule type="expression" dxfId="3" priority="258">
      <formula>OR($M241="Validado",$M241="Finalizado",LEFT($D241,10)="Finalizado")</formula>
    </cfRule>
  </conditionalFormatting>
  <conditionalFormatting sqref="A241:N241">
    <cfRule type="expression" dxfId="4" priority="259">
      <formula>AND($M241="Pendente",LEFT($D241,10)&lt;&gt;"Finalizado")</formula>
    </cfRule>
  </conditionalFormatting>
  <conditionalFormatting sqref="A242:N242">
    <cfRule type="expression" dxfId="3" priority="260">
      <formula>OR($M242="Validado",$M242="Finalizado",LEFT($D242,10)="Finalizado")</formula>
    </cfRule>
  </conditionalFormatting>
  <conditionalFormatting sqref="A242:N242">
    <cfRule type="expression" dxfId="4" priority="261">
      <formula>AND($M242="Pendente",LEFT($D242,10)&lt;&gt;"Finalizado")</formula>
    </cfRule>
  </conditionalFormatting>
  <conditionalFormatting sqref="A243:N243">
    <cfRule type="expression" dxfId="3" priority="262">
      <formula>OR($M243="Validado",$M243="Finalizado",LEFT($D243,10)="Finalizado")</formula>
    </cfRule>
  </conditionalFormatting>
  <conditionalFormatting sqref="A243:N243">
    <cfRule type="expression" dxfId="4" priority="263">
      <formula>AND($M243="Pendente",LEFT($D243,10)&lt;&gt;"Finalizado")</formula>
    </cfRule>
  </conditionalFormatting>
  <conditionalFormatting sqref="A248:N248">
    <cfRule type="expression" dxfId="3" priority="264">
      <formula>OR($M248="Validado",$M248="Finalizado",LEFT($D248,10)="Finalizado")</formula>
    </cfRule>
  </conditionalFormatting>
  <conditionalFormatting sqref="A248:N248">
    <cfRule type="expression" dxfId="4" priority="265">
      <formula>AND($M248="Pendente",LEFT($D248,10)&lt;&gt;"Finalizado")</formula>
    </cfRule>
  </conditionalFormatting>
  <conditionalFormatting sqref="A249:N249">
    <cfRule type="expression" dxfId="3" priority="266">
      <formula>OR($M249="Validado",$M249="Finalizado",LEFT($D249,10)="Finalizado")</formula>
    </cfRule>
  </conditionalFormatting>
  <conditionalFormatting sqref="A249:N249">
    <cfRule type="expression" dxfId="4" priority="267">
      <formula>AND($M249="Pendente",LEFT($D249,10)&lt;&gt;"Finalizado")</formula>
    </cfRule>
  </conditionalFormatting>
  <conditionalFormatting sqref="A250:N250">
    <cfRule type="expression" dxfId="3" priority="268">
      <formula>OR($M250="Validado",$M250="Finalizado",LEFT($D250,10)="Finalizado")</formula>
    </cfRule>
  </conditionalFormatting>
  <conditionalFormatting sqref="A250:N250">
    <cfRule type="expression" dxfId="4" priority="269">
      <formula>AND($M250="Pendente",LEFT($D250,10)&lt;&gt;"Finalizado")</formula>
    </cfRule>
  </conditionalFormatting>
  <conditionalFormatting sqref="A251:N251">
    <cfRule type="expression" dxfId="3" priority="270">
      <formula>OR($M251="Validado",$M251="Finalizado",LEFT($D251,10)="Finalizado")</formula>
    </cfRule>
  </conditionalFormatting>
  <conditionalFormatting sqref="A251:N251">
    <cfRule type="expression" dxfId="4" priority="271">
      <formula>AND($M251="Pendente",LEFT($D251,10)&lt;&gt;"Finalizado")</formula>
    </cfRule>
  </conditionalFormatting>
  <conditionalFormatting sqref="A252:N252">
    <cfRule type="expression" dxfId="3" priority="272">
      <formula>OR($M252="Validado",$M252="Finalizado",LEFT($D252,10)="Finalizado")</formula>
    </cfRule>
  </conditionalFormatting>
  <conditionalFormatting sqref="A252:N252">
    <cfRule type="expression" dxfId="4" priority="273">
      <formula>AND($M252="Pendente",LEFT($D252,10)&lt;&gt;"Finalizado")</formula>
    </cfRule>
  </conditionalFormatting>
  <conditionalFormatting sqref="A253:N253">
    <cfRule type="expression" dxfId="3" priority="274">
      <formula>OR($M253="Validado",$M253="Finalizado",LEFT($D253,10)="Finalizado")</formula>
    </cfRule>
  </conditionalFormatting>
  <conditionalFormatting sqref="A253:N253">
    <cfRule type="expression" dxfId="4" priority="275">
      <formula>AND($M253="Pendente",LEFT($D253,10)&lt;&gt;"Finalizado")</formula>
    </cfRule>
  </conditionalFormatting>
  <conditionalFormatting sqref="A254:N254">
    <cfRule type="expression" dxfId="3" priority="276">
      <formula>OR($M254="Validado",$M254="Finalizado",LEFT($D254,10)="Finalizado")</formula>
    </cfRule>
  </conditionalFormatting>
  <conditionalFormatting sqref="A254:N254">
    <cfRule type="expression" dxfId="4" priority="277">
      <formula>AND($M254="Pendente",LEFT($D254,10)&lt;&gt;"Finalizado")</formula>
    </cfRule>
  </conditionalFormatting>
  <conditionalFormatting sqref="A255:N255">
    <cfRule type="expression" dxfId="3" priority="278">
      <formula>OR($M255="Validado",$M255="Finalizado",LEFT($D255,10)="Finalizado")</formula>
    </cfRule>
  </conditionalFormatting>
  <conditionalFormatting sqref="A255:N255">
    <cfRule type="expression" dxfId="4" priority="279">
      <formula>AND($M255="Pendente",LEFT($D255,10)&lt;&gt;"Finalizado")</formula>
    </cfRule>
  </conditionalFormatting>
  <conditionalFormatting sqref="A256:N256">
    <cfRule type="expression" dxfId="3" priority="280">
      <formula>OR($M256="Validado",$M256="Finalizado",LEFT($D256,10)="Finalizado")</formula>
    </cfRule>
  </conditionalFormatting>
  <conditionalFormatting sqref="A256:N256">
    <cfRule type="expression" dxfId="4" priority="281">
      <formula>AND($M256="Pendente",LEFT($D256,10)&lt;&gt;"Finalizado")</formula>
    </cfRule>
  </conditionalFormatting>
  <conditionalFormatting sqref="A257:N257">
    <cfRule type="expression" dxfId="3" priority="282">
      <formula>OR($M257="Validado",$M257="Finalizado",LEFT($D257,10)="Finalizado")</formula>
    </cfRule>
  </conditionalFormatting>
  <conditionalFormatting sqref="A257:N257">
    <cfRule type="expression" dxfId="4" priority="283">
      <formula>AND($M257="Pendente",LEFT($D257,10)&lt;&gt;"Finalizado")</formula>
    </cfRule>
  </conditionalFormatting>
  <conditionalFormatting sqref="A258:N258">
    <cfRule type="expression" dxfId="3" priority="284">
      <formula>OR($M258="Validado",$M258="Finalizado",LEFT($D258,10)="Finalizado")</formula>
    </cfRule>
  </conditionalFormatting>
  <conditionalFormatting sqref="A258:N258">
    <cfRule type="expression" dxfId="4" priority="285">
      <formula>AND($M258="Pendente",LEFT($D258,10)&lt;&gt;"Finalizado")</formula>
    </cfRule>
  </conditionalFormatting>
  <conditionalFormatting sqref="A259:N259">
    <cfRule type="expression" dxfId="3" priority="286">
      <formula>OR($M259="Validado",$M259="Finalizado",LEFT($D259,10)="Finalizado")</formula>
    </cfRule>
  </conditionalFormatting>
  <conditionalFormatting sqref="A259:N259">
    <cfRule type="expression" dxfId="4" priority="287">
      <formula>AND($M259="Pendente",LEFT($D259,10)&lt;&gt;"Finalizado")</formula>
    </cfRule>
  </conditionalFormatting>
  <conditionalFormatting sqref="A260:N260">
    <cfRule type="expression" dxfId="3" priority="288">
      <formula>OR($M260="Validado",$M260="Finalizado",LEFT($D260,10)="Finalizado")</formula>
    </cfRule>
  </conditionalFormatting>
  <conditionalFormatting sqref="A260:N260">
    <cfRule type="expression" dxfId="4" priority="289">
      <formula>AND($M260="Pendente",LEFT($D260,10)&lt;&gt;"Finalizado")</formula>
    </cfRule>
  </conditionalFormatting>
  <conditionalFormatting sqref="A261:N261">
    <cfRule type="expression" dxfId="3" priority="290">
      <formula>OR($M261="Validado",$M261="Finalizado",LEFT($D261,10)="Finalizado")</formula>
    </cfRule>
  </conditionalFormatting>
  <conditionalFormatting sqref="A261:N261">
    <cfRule type="expression" dxfId="4" priority="291">
      <formula>AND($M261="Pendente",LEFT($D261,10)&lt;&gt;"Finalizado")</formula>
    </cfRule>
  </conditionalFormatting>
  <conditionalFormatting sqref="A266:N266">
    <cfRule type="expression" dxfId="3" priority="292">
      <formula>OR($M266="Validado",$M266="Finalizado",LEFT($D266,10)="Finalizado")</formula>
    </cfRule>
  </conditionalFormatting>
  <conditionalFormatting sqref="A266:N266">
    <cfRule type="expression" dxfId="4" priority="293">
      <formula>AND($M266="Pendente",LEFT($D266,10)&lt;&gt;"Finalizado")</formula>
    </cfRule>
  </conditionalFormatting>
  <conditionalFormatting sqref="A267:N267">
    <cfRule type="expression" dxfId="3" priority="294">
      <formula>OR($M267="Validado",$M267="Finalizado",LEFT($D267,10)="Finalizado")</formula>
    </cfRule>
  </conditionalFormatting>
  <conditionalFormatting sqref="A267:N267">
    <cfRule type="expression" dxfId="4" priority="295">
      <formula>AND($M267="Pendente",LEFT($D267,10)&lt;&gt;"Finalizado")</formula>
    </cfRule>
  </conditionalFormatting>
  <conditionalFormatting sqref="A268:N268">
    <cfRule type="expression" dxfId="3" priority="296">
      <formula>OR($M268="Validado",$M268="Finalizado",LEFT($D268,10)="Finalizado")</formula>
    </cfRule>
  </conditionalFormatting>
  <conditionalFormatting sqref="A268:N268">
    <cfRule type="expression" dxfId="4" priority="297">
      <formula>AND($M268="Pendente",LEFT($D268,10)&lt;&gt;"Finalizado")</formula>
    </cfRule>
  </conditionalFormatting>
  <conditionalFormatting sqref="A273:N297">
    <cfRule type="expression" dxfId="5" priority="298">
      <formula>OR($M273="Validado",$M273="Finalizado")</formula>
    </cfRule>
  </conditionalFormatting>
  <conditionalFormatting sqref="A273:N297">
    <cfRule type="expression" dxfId="6" priority="299">
      <formula>AND($M273="Pendente",NOT(ISNUMBER(SEARCH("Falta Justificada",$D273))),NOT(ISNUMBER(SEARCH("Cancelado",$D273))),NOT(ISNUMBER(SEARCH("Desmarcado",$D273))))</formula>
    </cfRule>
  </conditionalFormatting>
  <conditionalFormatting sqref="A302:N302">
    <cfRule type="expression" dxfId="5" priority="300">
      <formula>OR($M302="Validado",$M302="Finalizado")</formula>
    </cfRule>
  </conditionalFormatting>
  <conditionalFormatting sqref="A302:N302">
    <cfRule type="expression" dxfId="6" priority="301">
      <formula>AND($M302="Pendente",NOT(ISNUMBER(SEARCH("Falta Justificada",$D302))),NOT(ISNUMBER(SEARCH("Cancelado",$D302))),NOT(ISNUMBER(SEARCH("Desmarcado",$D302))))</formula>
    </cfRule>
  </conditionalFormatting>
  <conditionalFormatting sqref="A307:N323">
    <cfRule type="expression" dxfId="5" priority="302">
      <formula>OR($M307="Validado",$M307="Finalizado")</formula>
    </cfRule>
  </conditionalFormatting>
  <conditionalFormatting sqref="A307:N323">
    <cfRule type="expression" dxfId="6" priority="303">
      <formula>AND($M307="Pendente",NOT(ISNUMBER(SEARCH("Falta Justificada",$D307))),NOT(ISNUMBER(SEARCH("Cancelado",$D307))),NOT(ISNUMBER(SEARCH("Desmarcado",$D307))))</formula>
    </cfRule>
  </conditionalFormatting>
  <dataValidations>
    <dataValidation type="list" allowBlank="1" sqref="M6 M10:M23 M28 M32:M44 M49:M71 M76:M89 M94 M99:M116 M121:M123 M128:M138 M143 M148:M165 M170:M173 M178:M195 M200:M214 M219:M221 M226:M243 M248:M261 M266:M268 M273:M297 M302 M307:M323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4.0"/>
    <col customWidth="1" min="3" max="3" width="7.63"/>
    <col customWidth="1" min="4" max="4" width="12.13"/>
    <col customWidth="1" min="5" max="5" width="14.13"/>
    <col customWidth="1" min="6" max="6" width="20.0"/>
    <col customWidth="1" min="7" max="7" width="14.38"/>
    <col customWidth="1" min="8" max="8" width="10.0"/>
    <col customWidth="1" min="9" max="9" width="9.13"/>
    <col customWidth="1" min="10" max="10" width="9.75"/>
    <col customWidth="1" min="11" max="11" width="41.38"/>
    <col customWidth="1" min="12" max="12" width="22.0"/>
    <col customWidth="1" min="13" max="13" width="18.0"/>
    <col customWidth="1" min="14" max="14" width="32.0"/>
  </cols>
  <sheetData>
    <row r="1">
      <c r="A1" s="1" t="s">
        <v>33</v>
      </c>
    </row>
    <row r="3">
      <c r="A3" s="2" t="s">
        <v>2</v>
      </c>
    </row>
    <row r="4">
      <c r="A4" s="3" t="s">
        <v>41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69</v>
      </c>
      <c r="C6" s="5" t="s">
        <v>71</v>
      </c>
      <c r="D6" s="5" t="s">
        <v>63</v>
      </c>
      <c r="E6" s="5" t="s">
        <v>73</v>
      </c>
      <c r="F6" s="5" t="s">
        <v>24</v>
      </c>
      <c r="G6" s="5" t="s">
        <v>75</v>
      </c>
      <c r="H6" s="5" t="s">
        <v>66</v>
      </c>
      <c r="I6" s="5">
        <v>5.268600005E11</v>
      </c>
      <c r="J6" s="5" t="s">
        <v>79</v>
      </c>
      <c r="K6" s="5" t="s">
        <v>28</v>
      </c>
      <c r="L6" s="5" t="s">
        <v>29</v>
      </c>
      <c r="M6" s="5" t="s">
        <v>30</v>
      </c>
      <c r="N6" s="5"/>
    </row>
    <row r="7">
      <c r="A7" s="5" t="s">
        <v>19</v>
      </c>
      <c r="B7" s="5" t="s">
        <v>96</v>
      </c>
      <c r="C7" s="5" t="s">
        <v>71</v>
      </c>
      <c r="D7" s="5" t="s">
        <v>93</v>
      </c>
      <c r="E7" s="5" t="s">
        <v>73</v>
      </c>
      <c r="F7" s="5" t="s">
        <v>24</v>
      </c>
      <c r="G7" s="5" t="s">
        <v>75</v>
      </c>
      <c r="H7" s="5" t="s">
        <v>101</v>
      </c>
      <c r="I7" s="5">
        <v>2.157300282E11</v>
      </c>
      <c r="J7" s="5" t="s">
        <v>106</v>
      </c>
      <c r="K7" s="5" t="s">
        <v>40</v>
      </c>
      <c r="L7" s="5" t="s">
        <v>29</v>
      </c>
      <c r="M7" s="5" t="s">
        <v>30</v>
      </c>
      <c r="N7" s="5"/>
    </row>
    <row r="8">
      <c r="A8" s="5" t="s">
        <v>19</v>
      </c>
      <c r="B8" s="5" t="s">
        <v>122</v>
      </c>
      <c r="C8" s="5" t="s">
        <v>124</v>
      </c>
      <c r="D8" s="5" t="s">
        <v>125</v>
      </c>
      <c r="E8" s="5" t="s">
        <v>37</v>
      </c>
      <c r="F8" s="5" t="s">
        <v>24</v>
      </c>
      <c r="G8" s="5" t="s">
        <v>75</v>
      </c>
      <c r="H8" s="5" t="s">
        <v>130</v>
      </c>
      <c r="I8" s="5" t="s">
        <v>132</v>
      </c>
      <c r="J8" s="5" t="s">
        <v>134</v>
      </c>
      <c r="K8" s="5" t="s">
        <v>28</v>
      </c>
      <c r="L8" s="5" t="s">
        <v>29</v>
      </c>
      <c r="M8" s="5" t="s">
        <v>30</v>
      </c>
      <c r="N8" s="5"/>
    </row>
    <row r="9">
      <c r="A9" s="5" t="s">
        <v>19</v>
      </c>
      <c r="B9" s="5" t="s">
        <v>139</v>
      </c>
      <c r="C9" s="5" t="s">
        <v>145</v>
      </c>
      <c r="D9" s="5" t="s">
        <v>22</v>
      </c>
      <c r="E9" s="5" t="s">
        <v>37</v>
      </c>
      <c r="F9" s="5" t="s">
        <v>24</v>
      </c>
      <c r="G9" s="5" t="s">
        <v>75</v>
      </c>
      <c r="H9" s="5" t="s">
        <v>26</v>
      </c>
      <c r="I9" s="5">
        <v>2.920800087E11</v>
      </c>
      <c r="J9" s="5" t="s">
        <v>149</v>
      </c>
      <c r="K9" s="5" t="s">
        <v>28</v>
      </c>
      <c r="L9" s="5" t="s">
        <v>29</v>
      </c>
      <c r="M9" s="5" t="s">
        <v>30</v>
      </c>
      <c r="N9" s="5"/>
    </row>
    <row r="10">
      <c r="A10" s="5" t="s">
        <v>19</v>
      </c>
      <c r="B10" s="5" t="s">
        <v>151</v>
      </c>
      <c r="C10" s="5" t="s">
        <v>142</v>
      </c>
      <c r="D10" s="5" t="s">
        <v>153</v>
      </c>
      <c r="E10" s="5" t="s">
        <v>53</v>
      </c>
      <c r="F10" s="5" t="s">
        <v>78</v>
      </c>
      <c r="G10" s="5" t="s">
        <v>75</v>
      </c>
      <c r="H10" s="5" t="s">
        <v>156</v>
      </c>
      <c r="I10" s="5" t="s">
        <v>157</v>
      </c>
      <c r="J10" s="5"/>
      <c r="K10" s="5" t="s">
        <v>28</v>
      </c>
      <c r="L10" s="5" t="s">
        <v>29</v>
      </c>
      <c r="M10" s="5" t="s">
        <v>30</v>
      </c>
      <c r="N10" s="5"/>
    </row>
    <row r="11">
      <c r="A11" s="5" t="s">
        <v>19</v>
      </c>
      <c r="B11" s="5" t="s">
        <v>161</v>
      </c>
      <c r="C11" s="5" t="s">
        <v>71</v>
      </c>
      <c r="D11" s="5" t="s">
        <v>64</v>
      </c>
      <c r="E11" s="5" t="s">
        <v>53</v>
      </c>
      <c r="F11" s="5" t="s">
        <v>24</v>
      </c>
      <c r="G11" s="5" t="s">
        <v>75</v>
      </c>
      <c r="H11" s="5" t="s">
        <v>70</v>
      </c>
      <c r="I11" s="5">
        <v>2.147701243E11</v>
      </c>
      <c r="J11" s="5" t="s">
        <v>167</v>
      </c>
      <c r="K11" s="5" t="s">
        <v>40</v>
      </c>
      <c r="L11" s="5" t="s">
        <v>29</v>
      </c>
      <c r="M11" s="5" t="s">
        <v>30</v>
      </c>
      <c r="N11" s="5"/>
    </row>
    <row r="13">
      <c r="A13" s="2" t="s">
        <v>170</v>
      </c>
    </row>
    <row r="14">
      <c r="A14" s="3" t="s">
        <v>174</v>
      </c>
    </row>
    <row r="15">
      <c r="A15" s="4" t="s">
        <v>4</v>
      </c>
      <c r="B15" s="4" t="s">
        <v>6</v>
      </c>
      <c r="C15" s="4" t="s">
        <v>7</v>
      </c>
      <c r="D15" s="4" t="s">
        <v>8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4" t="s">
        <v>14</v>
      </c>
      <c r="K15" s="4" t="s">
        <v>15</v>
      </c>
      <c r="L15" s="4" t="s">
        <v>16</v>
      </c>
      <c r="M15" s="4" t="s">
        <v>17</v>
      </c>
      <c r="N15" s="4" t="s">
        <v>18</v>
      </c>
    </row>
    <row r="16">
      <c r="A16" s="5" t="s">
        <v>183</v>
      </c>
      <c r="B16" s="5" t="s">
        <v>185</v>
      </c>
      <c r="C16" s="5" t="s">
        <v>111</v>
      </c>
      <c r="D16" s="5" t="s">
        <v>187</v>
      </c>
      <c r="E16" s="5" t="s">
        <v>77</v>
      </c>
      <c r="F16" s="5" t="s">
        <v>24</v>
      </c>
      <c r="G16" s="5" t="s">
        <v>75</v>
      </c>
      <c r="H16" s="5" t="s">
        <v>55</v>
      </c>
      <c r="I16" s="5" t="s">
        <v>188</v>
      </c>
      <c r="J16" s="5" t="s">
        <v>189</v>
      </c>
      <c r="K16" s="5" t="s">
        <v>28</v>
      </c>
      <c r="L16" s="5" t="s">
        <v>29</v>
      </c>
      <c r="M16" s="5" t="s">
        <v>30</v>
      </c>
      <c r="N16" s="5"/>
    </row>
    <row r="17">
      <c r="A17" s="5" t="s">
        <v>183</v>
      </c>
      <c r="B17" s="5" t="s">
        <v>193</v>
      </c>
      <c r="C17" s="5" t="s">
        <v>21</v>
      </c>
      <c r="D17" s="5" t="s">
        <v>194</v>
      </c>
      <c r="E17" s="5" t="s">
        <v>196</v>
      </c>
      <c r="F17" s="5" t="s">
        <v>138</v>
      </c>
      <c r="G17" s="5" t="s">
        <v>198</v>
      </c>
      <c r="H17" s="5" t="s">
        <v>199</v>
      </c>
      <c r="I17" s="5" t="s">
        <v>201</v>
      </c>
      <c r="J17" s="5" t="s">
        <v>203</v>
      </c>
      <c r="K17" s="5" t="s">
        <v>57</v>
      </c>
      <c r="L17" s="5" t="s">
        <v>58</v>
      </c>
      <c r="M17" s="5" t="s">
        <v>59</v>
      </c>
      <c r="N17" s="5"/>
    </row>
    <row r="18">
      <c r="A18" s="5" t="s">
        <v>183</v>
      </c>
      <c r="B18" s="5" t="s">
        <v>208</v>
      </c>
      <c r="C18" s="5" t="s">
        <v>62</v>
      </c>
      <c r="D18" s="5" t="s">
        <v>22</v>
      </c>
      <c r="E18" s="5" t="s">
        <v>211</v>
      </c>
      <c r="F18" s="5" t="s">
        <v>24</v>
      </c>
      <c r="G18" s="5" t="s">
        <v>75</v>
      </c>
      <c r="H18" s="5" t="s">
        <v>26</v>
      </c>
      <c r="I18" s="5">
        <v>2.767400093E11</v>
      </c>
      <c r="J18" s="5" t="s">
        <v>217</v>
      </c>
      <c r="K18" s="5" t="s">
        <v>28</v>
      </c>
      <c r="L18" s="5" t="s">
        <v>29</v>
      </c>
      <c r="M18" s="5" t="s">
        <v>30</v>
      </c>
      <c r="N18" s="5"/>
    </row>
    <row r="19">
      <c r="A19" s="5" t="s">
        <v>183</v>
      </c>
      <c r="B19" s="5" t="s">
        <v>221</v>
      </c>
      <c r="C19" s="5" t="s">
        <v>71</v>
      </c>
      <c r="D19" s="5" t="s">
        <v>194</v>
      </c>
      <c r="E19" s="5" t="s">
        <v>224</v>
      </c>
      <c r="F19" s="5" t="s">
        <v>138</v>
      </c>
      <c r="G19" s="5" t="s">
        <v>198</v>
      </c>
      <c r="H19" s="5" t="s">
        <v>199</v>
      </c>
      <c r="I19" s="5">
        <v>2.77560002803E11</v>
      </c>
      <c r="J19" s="5" t="s">
        <v>228</v>
      </c>
      <c r="K19" s="5" t="s">
        <v>57</v>
      </c>
      <c r="L19" s="5" t="s">
        <v>58</v>
      </c>
      <c r="M19" s="5" t="s">
        <v>30</v>
      </c>
      <c r="N19" s="5"/>
    </row>
    <row r="20">
      <c r="A20" s="5" t="s">
        <v>183</v>
      </c>
      <c r="B20" s="5" t="s">
        <v>230</v>
      </c>
      <c r="C20" s="5" t="s">
        <v>35</v>
      </c>
      <c r="D20" s="5" t="s">
        <v>63</v>
      </c>
      <c r="E20" s="5" t="s">
        <v>37</v>
      </c>
      <c r="F20" s="5" t="s">
        <v>24</v>
      </c>
      <c r="G20" s="5" t="s">
        <v>75</v>
      </c>
      <c r="H20" s="5" t="s">
        <v>66</v>
      </c>
      <c r="I20" s="5">
        <v>2.028703031E11</v>
      </c>
      <c r="J20" s="5" t="s">
        <v>231</v>
      </c>
      <c r="K20" s="5" t="s">
        <v>28</v>
      </c>
      <c r="L20" s="5" t="s">
        <v>29</v>
      </c>
      <c r="M20" s="5" t="s">
        <v>30</v>
      </c>
      <c r="N20" s="5"/>
    </row>
    <row r="21" ht="15.75" customHeight="1">
      <c r="A21" s="5" t="s">
        <v>183</v>
      </c>
      <c r="B21" s="5" t="s">
        <v>234</v>
      </c>
      <c r="C21" s="5" t="s">
        <v>235</v>
      </c>
      <c r="D21" s="5" t="s">
        <v>153</v>
      </c>
      <c r="E21" s="5" t="s">
        <v>73</v>
      </c>
      <c r="F21" s="5" t="s">
        <v>24</v>
      </c>
      <c r="G21" s="5" t="s">
        <v>75</v>
      </c>
      <c r="H21" s="5" t="s">
        <v>156</v>
      </c>
      <c r="I21" s="5">
        <v>2.51440062201E11</v>
      </c>
      <c r="J21" s="5" t="s">
        <v>250</v>
      </c>
      <c r="K21" s="5" t="s">
        <v>28</v>
      </c>
      <c r="L21" s="5" t="s">
        <v>29</v>
      </c>
      <c r="M21" s="5" t="s">
        <v>30</v>
      </c>
      <c r="N21" s="5"/>
    </row>
    <row r="22" ht="15.75" customHeight="1">
      <c r="A22" s="5" t="s">
        <v>183</v>
      </c>
      <c r="B22" s="5" t="s">
        <v>251</v>
      </c>
      <c r="C22" s="5" t="s">
        <v>145</v>
      </c>
      <c r="D22" s="5" t="s">
        <v>253</v>
      </c>
      <c r="E22" s="5" t="s">
        <v>196</v>
      </c>
      <c r="F22" s="5" t="s">
        <v>255</v>
      </c>
      <c r="G22" s="5" t="s">
        <v>198</v>
      </c>
      <c r="H22" s="5" t="s">
        <v>256</v>
      </c>
      <c r="I22" s="5">
        <v>2.88190079701E11</v>
      </c>
      <c r="J22" s="5" t="s">
        <v>258</v>
      </c>
      <c r="K22" s="5" t="s">
        <v>40</v>
      </c>
      <c r="L22" s="5" t="s">
        <v>29</v>
      </c>
      <c r="M22" s="5" t="s">
        <v>30</v>
      </c>
      <c r="N22" s="5"/>
    </row>
    <row r="23" ht="15.75" customHeight="1">
      <c r="A23" s="5" t="s">
        <v>183</v>
      </c>
      <c r="B23" s="5" t="s">
        <v>261</v>
      </c>
      <c r="C23" s="5" t="s">
        <v>262</v>
      </c>
      <c r="D23" s="5" t="s">
        <v>263</v>
      </c>
      <c r="E23" s="5" t="s">
        <v>211</v>
      </c>
      <c r="F23" s="5" t="s">
        <v>78</v>
      </c>
      <c r="G23" s="5" t="s">
        <v>75</v>
      </c>
      <c r="H23" s="5" t="s">
        <v>66</v>
      </c>
      <c r="I23" s="5" t="s">
        <v>265</v>
      </c>
      <c r="J23" s="5" t="s">
        <v>267</v>
      </c>
      <c r="K23" s="5" t="s">
        <v>57</v>
      </c>
      <c r="L23" s="5" t="s">
        <v>58</v>
      </c>
      <c r="M23" s="5" t="s">
        <v>59</v>
      </c>
      <c r="N23" s="5"/>
    </row>
    <row r="24" ht="15.75" customHeight="1">
      <c r="A24" s="5" t="s">
        <v>183</v>
      </c>
      <c r="B24" s="5" t="s">
        <v>269</v>
      </c>
      <c r="C24" s="5" t="s">
        <v>235</v>
      </c>
      <c r="D24" s="5" t="s">
        <v>270</v>
      </c>
      <c r="E24" s="5" t="s">
        <v>196</v>
      </c>
      <c r="F24" s="5" t="s">
        <v>138</v>
      </c>
      <c r="G24" s="5" t="s">
        <v>198</v>
      </c>
      <c r="H24" s="5" t="s">
        <v>272</v>
      </c>
      <c r="I24" s="5" t="s">
        <v>274</v>
      </c>
      <c r="J24" s="5" t="s">
        <v>275</v>
      </c>
      <c r="K24" s="5" t="s">
        <v>40</v>
      </c>
      <c r="L24" s="5" t="s">
        <v>29</v>
      </c>
      <c r="M24" s="5" t="s">
        <v>30</v>
      </c>
      <c r="N24" s="5"/>
    </row>
    <row r="25" ht="15.75" customHeight="1">
      <c r="A25" s="5" t="s">
        <v>183</v>
      </c>
      <c r="B25" s="5" t="s">
        <v>161</v>
      </c>
      <c r="C25" s="5" t="s">
        <v>235</v>
      </c>
      <c r="D25" s="5" t="s">
        <v>93</v>
      </c>
      <c r="E25" s="5" t="s">
        <v>73</v>
      </c>
      <c r="F25" s="5" t="s">
        <v>24</v>
      </c>
      <c r="G25" s="5" t="s">
        <v>75</v>
      </c>
      <c r="H25" s="5" t="s">
        <v>101</v>
      </c>
      <c r="I25" s="5">
        <v>2.147701243E11</v>
      </c>
      <c r="J25" s="5" t="s">
        <v>167</v>
      </c>
      <c r="K25" s="5" t="s">
        <v>40</v>
      </c>
      <c r="L25" s="5" t="s">
        <v>29</v>
      </c>
      <c r="M25" s="5" t="s">
        <v>30</v>
      </c>
      <c r="N25" s="5"/>
    </row>
    <row r="26" ht="15.75" customHeight="1"/>
    <row r="27" ht="15.75" customHeight="1">
      <c r="A27" s="2" t="s">
        <v>286</v>
      </c>
    </row>
    <row r="28" ht="15.75" customHeight="1">
      <c r="A28" s="3" t="s">
        <v>289</v>
      </c>
    </row>
    <row r="29" ht="15.75" customHeight="1">
      <c r="A29" s="4" t="s">
        <v>4</v>
      </c>
      <c r="B29" s="4" t="s">
        <v>6</v>
      </c>
      <c r="C29" s="4" t="s">
        <v>7</v>
      </c>
      <c r="D29" s="4" t="s">
        <v>8</v>
      </c>
      <c r="E29" s="4" t="s">
        <v>9</v>
      </c>
      <c r="F29" s="4" t="s">
        <v>10</v>
      </c>
      <c r="G29" s="4" t="s">
        <v>11</v>
      </c>
      <c r="H29" s="4" t="s">
        <v>12</v>
      </c>
      <c r="I29" s="4" t="s">
        <v>13</v>
      </c>
      <c r="J29" s="4" t="s">
        <v>14</v>
      </c>
      <c r="K29" s="4" t="s">
        <v>15</v>
      </c>
      <c r="L29" s="4" t="s">
        <v>16</v>
      </c>
      <c r="M29" s="4" t="s">
        <v>17</v>
      </c>
      <c r="N29" s="4" t="s">
        <v>18</v>
      </c>
    </row>
    <row r="30" ht="15.75" customHeight="1">
      <c r="A30" s="5" t="s">
        <v>297</v>
      </c>
      <c r="B30" s="5" t="s">
        <v>69</v>
      </c>
      <c r="C30" s="5" t="s">
        <v>71</v>
      </c>
      <c r="D30" s="5" t="s">
        <v>299</v>
      </c>
      <c r="E30" s="5" t="s">
        <v>73</v>
      </c>
      <c r="F30" s="5" t="s">
        <v>24</v>
      </c>
      <c r="G30" s="5" t="s">
        <v>75</v>
      </c>
      <c r="H30" s="5" t="s">
        <v>156</v>
      </c>
      <c r="I30" s="5">
        <v>5.268600005E11</v>
      </c>
      <c r="J30" s="5" t="s">
        <v>79</v>
      </c>
      <c r="K30" s="5" t="s">
        <v>302</v>
      </c>
      <c r="L30" s="5" t="s">
        <v>304</v>
      </c>
      <c r="M30" s="5" t="s">
        <v>30</v>
      </c>
      <c r="N30" s="5"/>
    </row>
    <row r="31" ht="15.75" customHeight="1">
      <c r="A31" s="5" t="s">
        <v>297</v>
      </c>
      <c r="B31" s="5" t="s">
        <v>185</v>
      </c>
      <c r="C31" s="5" t="s">
        <v>111</v>
      </c>
      <c r="D31" s="5" t="s">
        <v>22</v>
      </c>
      <c r="E31" s="5" t="s">
        <v>77</v>
      </c>
      <c r="F31" s="5" t="s">
        <v>24</v>
      </c>
      <c r="G31" s="5" t="s">
        <v>75</v>
      </c>
      <c r="H31" s="5" t="s">
        <v>26</v>
      </c>
      <c r="I31" s="5" t="s">
        <v>188</v>
      </c>
      <c r="J31" s="5" t="s">
        <v>189</v>
      </c>
      <c r="K31" s="5" t="s">
        <v>28</v>
      </c>
      <c r="L31" s="5" t="s">
        <v>29</v>
      </c>
      <c r="M31" s="5" t="s">
        <v>30</v>
      </c>
      <c r="N31" s="5"/>
    </row>
    <row r="32" ht="15.75" customHeight="1">
      <c r="A32" s="5" t="s">
        <v>297</v>
      </c>
      <c r="B32" s="5" t="s">
        <v>317</v>
      </c>
      <c r="C32" s="5" t="s">
        <v>43</v>
      </c>
      <c r="D32" s="5" t="s">
        <v>99</v>
      </c>
      <c r="E32" s="5" t="s">
        <v>37</v>
      </c>
      <c r="F32" s="5" t="s">
        <v>24</v>
      </c>
      <c r="G32" s="5" t="s">
        <v>75</v>
      </c>
      <c r="H32" s="5" t="s">
        <v>105</v>
      </c>
      <c r="I32" s="5">
        <v>5.004400261E11</v>
      </c>
      <c r="J32" s="5" t="s">
        <v>321</v>
      </c>
      <c r="K32" s="5" t="s">
        <v>107</v>
      </c>
      <c r="L32" s="5" t="s">
        <v>29</v>
      </c>
      <c r="M32" s="5" t="s">
        <v>30</v>
      </c>
      <c r="N32" s="5"/>
    </row>
    <row r="33" ht="15.75" customHeight="1">
      <c r="A33" s="5" t="s">
        <v>297</v>
      </c>
      <c r="B33" s="5" t="s">
        <v>322</v>
      </c>
      <c r="C33" s="5" t="s">
        <v>133</v>
      </c>
      <c r="D33" s="5" t="s">
        <v>194</v>
      </c>
      <c r="E33" s="5" t="s">
        <v>325</v>
      </c>
      <c r="F33" s="5" t="s">
        <v>138</v>
      </c>
      <c r="G33" s="5" t="s">
        <v>198</v>
      </c>
      <c r="H33" s="5" t="s">
        <v>199</v>
      </c>
      <c r="I33" s="5">
        <v>2.442300568E11</v>
      </c>
      <c r="J33" s="5" t="s">
        <v>327</v>
      </c>
      <c r="K33" s="5" t="s">
        <v>57</v>
      </c>
      <c r="L33" s="5" t="s">
        <v>58</v>
      </c>
      <c r="M33" s="5" t="s">
        <v>30</v>
      </c>
      <c r="N33" s="5"/>
    </row>
    <row r="34" ht="15.75" customHeight="1">
      <c r="A34" s="5" t="s">
        <v>297</v>
      </c>
      <c r="B34" s="5" t="s">
        <v>329</v>
      </c>
      <c r="C34" s="5" t="s">
        <v>235</v>
      </c>
      <c r="D34" s="5" t="s">
        <v>331</v>
      </c>
      <c r="E34" s="5" t="s">
        <v>65</v>
      </c>
      <c r="F34" s="5" t="s">
        <v>24</v>
      </c>
      <c r="G34" s="5" t="s">
        <v>75</v>
      </c>
      <c r="H34" s="5" t="s">
        <v>130</v>
      </c>
      <c r="I34" s="5">
        <v>2.584000007E11</v>
      </c>
      <c r="J34" s="5" t="s">
        <v>334</v>
      </c>
      <c r="K34" s="5" t="s">
        <v>302</v>
      </c>
      <c r="L34" s="5" t="s">
        <v>304</v>
      </c>
      <c r="M34" s="5" t="s">
        <v>30</v>
      </c>
      <c r="N34" s="5"/>
    </row>
    <row r="35" ht="15.75" customHeight="1">
      <c r="A35" s="5" t="s">
        <v>297</v>
      </c>
      <c r="B35" s="5" t="s">
        <v>339</v>
      </c>
      <c r="C35" s="5" t="s">
        <v>142</v>
      </c>
      <c r="D35" s="5" t="s">
        <v>340</v>
      </c>
      <c r="E35" s="5" t="s">
        <v>343</v>
      </c>
      <c r="F35" s="5" t="s">
        <v>138</v>
      </c>
      <c r="G35" s="5" t="s">
        <v>198</v>
      </c>
      <c r="H35" s="5" t="s">
        <v>256</v>
      </c>
      <c r="I35" s="5" t="s">
        <v>345</v>
      </c>
      <c r="J35" s="5" t="s">
        <v>346</v>
      </c>
      <c r="K35" s="5" t="s">
        <v>348</v>
      </c>
      <c r="L35" s="5" t="s">
        <v>304</v>
      </c>
      <c r="M35" s="5" t="s">
        <v>59</v>
      </c>
      <c r="N35" s="5"/>
    </row>
    <row r="36" ht="15.75" customHeight="1">
      <c r="A36" s="5" t="s">
        <v>297</v>
      </c>
      <c r="B36" s="5" t="s">
        <v>351</v>
      </c>
      <c r="C36" s="5" t="s">
        <v>235</v>
      </c>
      <c r="D36" s="5" t="s">
        <v>353</v>
      </c>
      <c r="E36" s="5" t="s">
        <v>37</v>
      </c>
      <c r="F36" s="5" t="s">
        <v>85</v>
      </c>
      <c r="G36" s="5" t="s">
        <v>357</v>
      </c>
      <c r="H36" s="5" t="s">
        <v>88</v>
      </c>
      <c r="I36" s="5">
        <v>5.39010003101E11</v>
      </c>
      <c r="J36" s="5"/>
      <c r="K36" s="5" t="s">
        <v>360</v>
      </c>
      <c r="L36" s="5" t="s">
        <v>304</v>
      </c>
      <c r="M36" s="5" t="s">
        <v>59</v>
      </c>
      <c r="N36" s="5"/>
    </row>
    <row r="37" ht="15.75" customHeight="1">
      <c r="A37" s="5" t="s">
        <v>297</v>
      </c>
      <c r="B37" s="5" t="s">
        <v>351</v>
      </c>
      <c r="C37" s="5" t="s">
        <v>235</v>
      </c>
      <c r="D37" s="5" t="s">
        <v>361</v>
      </c>
      <c r="E37" s="5" t="s">
        <v>37</v>
      </c>
      <c r="F37" s="5" t="s">
        <v>78</v>
      </c>
      <c r="G37" s="5" t="s">
        <v>75</v>
      </c>
      <c r="H37" s="5" t="s">
        <v>105</v>
      </c>
      <c r="I37" s="5">
        <v>5.39010003101E11</v>
      </c>
      <c r="J37" s="5" t="s">
        <v>362</v>
      </c>
      <c r="K37" s="5" t="s">
        <v>363</v>
      </c>
      <c r="L37" s="5" t="s">
        <v>304</v>
      </c>
      <c r="M37" s="5" t="s">
        <v>30</v>
      </c>
      <c r="N37" s="5"/>
    </row>
    <row r="38" ht="15.75" customHeight="1">
      <c r="A38" s="5" t="s">
        <v>297</v>
      </c>
      <c r="B38" s="5" t="s">
        <v>151</v>
      </c>
      <c r="C38" s="5" t="s">
        <v>142</v>
      </c>
      <c r="D38" s="5" t="s">
        <v>365</v>
      </c>
      <c r="E38" s="5" t="s">
        <v>53</v>
      </c>
      <c r="F38" s="5" t="s">
        <v>78</v>
      </c>
      <c r="G38" s="5" t="s">
        <v>75</v>
      </c>
      <c r="H38" s="5" t="s">
        <v>49</v>
      </c>
      <c r="I38" s="5" t="s">
        <v>157</v>
      </c>
      <c r="J38" s="5"/>
      <c r="K38" s="5" t="s">
        <v>302</v>
      </c>
      <c r="L38" s="5" t="s">
        <v>304</v>
      </c>
      <c r="M38" s="5" t="s">
        <v>30</v>
      </c>
      <c r="N38" s="5"/>
    </row>
    <row r="39" ht="15.75" customHeight="1">
      <c r="A39" s="5" t="s">
        <v>297</v>
      </c>
      <c r="B39" s="5" t="s">
        <v>230</v>
      </c>
      <c r="C39" s="5" t="s">
        <v>111</v>
      </c>
      <c r="D39" s="5" t="s">
        <v>299</v>
      </c>
      <c r="E39" s="5" t="s">
        <v>37</v>
      </c>
      <c r="F39" s="5" t="s">
        <v>24</v>
      </c>
      <c r="G39" s="5" t="s">
        <v>75</v>
      </c>
      <c r="H39" s="5" t="s">
        <v>156</v>
      </c>
      <c r="I39" s="5">
        <v>2.028703031E11</v>
      </c>
      <c r="J39" s="5" t="s">
        <v>231</v>
      </c>
      <c r="K39" s="5" t="s">
        <v>302</v>
      </c>
      <c r="L39" s="5" t="s">
        <v>304</v>
      </c>
      <c r="M39" s="5" t="s">
        <v>373</v>
      </c>
      <c r="N39" s="5"/>
    </row>
    <row r="40" ht="15.75" customHeight="1">
      <c r="A40" s="5" t="s">
        <v>297</v>
      </c>
      <c r="B40" s="5" t="s">
        <v>375</v>
      </c>
      <c r="C40" s="5" t="s">
        <v>35</v>
      </c>
      <c r="D40" s="5" t="s">
        <v>365</v>
      </c>
      <c r="E40" s="5" t="s">
        <v>311</v>
      </c>
      <c r="F40" s="5" t="s">
        <v>24</v>
      </c>
      <c r="G40" s="5" t="s">
        <v>75</v>
      </c>
      <c r="H40" s="5" t="s">
        <v>49</v>
      </c>
      <c r="I40" s="5">
        <v>1.08610089601E11</v>
      </c>
      <c r="J40" s="5" t="s">
        <v>377</v>
      </c>
      <c r="K40" s="5" t="s">
        <v>302</v>
      </c>
      <c r="L40" s="5" t="s">
        <v>304</v>
      </c>
      <c r="M40" s="5" t="s">
        <v>30</v>
      </c>
      <c r="N40" s="5"/>
    </row>
    <row r="41" ht="15.75" customHeight="1">
      <c r="A41" s="5" t="s">
        <v>297</v>
      </c>
      <c r="B41" s="5" t="s">
        <v>381</v>
      </c>
      <c r="C41" s="5" t="s">
        <v>235</v>
      </c>
      <c r="D41" s="5" t="s">
        <v>382</v>
      </c>
      <c r="E41" s="5" t="s">
        <v>224</v>
      </c>
      <c r="F41" s="5" t="s">
        <v>255</v>
      </c>
      <c r="G41" s="5" t="s">
        <v>198</v>
      </c>
      <c r="H41" s="5" t="s">
        <v>313</v>
      </c>
      <c r="I41" s="5">
        <v>2.746100071E11</v>
      </c>
      <c r="J41" s="5" t="s">
        <v>386</v>
      </c>
      <c r="K41" s="5" t="s">
        <v>363</v>
      </c>
      <c r="L41" s="5" t="s">
        <v>304</v>
      </c>
      <c r="M41" s="5" t="s">
        <v>30</v>
      </c>
      <c r="N41" s="5"/>
    </row>
    <row r="42" ht="15.75" customHeight="1">
      <c r="A42" s="5" t="s">
        <v>297</v>
      </c>
      <c r="B42" s="5" t="s">
        <v>234</v>
      </c>
      <c r="C42" s="5" t="s">
        <v>235</v>
      </c>
      <c r="D42" s="5" t="s">
        <v>365</v>
      </c>
      <c r="E42" s="5" t="s">
        <v>73</v>
      </c>
      <c r="F42" s="5" t="s">
        <v>24</v>
      </c>
      <c r="G42" s="5" t="s">
        <v>75</v>
      </c>
      <c r="H42" s="5" t="s">
        <v>49</v>
      </c>
      <c r="I42" s="5">
        <v>2.51440062201E11</v>
      </c>
      <c r="J42" s="5" t="s">
        <v>250</v>
      </c>
      <c r="K42" s="5" t="s">
        <v>302</v>
      </c>
      <c r="L42" s="5" t="s">
        <v>304</v>
      </c>
      <c r="M42" s="5" t="s">
        <v>30</v>
      </c>
      <c r="N42" s="5"/>
    </row>
    <row r="43" ht="15.75" customHeight="1">
      <c r="A43" s="5" t="s">
        <v>297</v>
      </c>
      <c r="B43" s="5" t="s">
        <v>393</v>
      </c>
      <c r="C43" s="5" t="s">
        <v>112</v>
      </c>
      <c r="D43" s="5" t="s">
        <v>394</v>
      </c>
      <c r="E43" s="5" t="s">
        <v>224</v>
      </c>
      <c r="F43" s="5" t="s">
        <v>255</v>
      </c>
      <c r="G43" s="5" t="s">
        <v>198</v>
      </c>
      <c r="H43" s="5" t="s">
        <v>396</v>
      </c>
      <c r="I43" s="5">
        <v>2.767400263E11</v>
      </c>
      <c r="J43" s="5" t="s">
        <v>397</v>
      </c>
      <c r="K43" s="5" t="s">
        <v>363</v>
      </c>
      <c r="L43" s="5" t="s">
        <v>304</v>
      </c>
      <c r="M43" s="5" t="s">
        <v>59</v>
      </c>
      <c r="N43" s="5"/>
    </row>
    <row r="44" ht="15.75" customHeight="1">
      <c r="A44" s="5" t="s">
        <v>297</v>
      </c>
      <c r="B44" s="5" t="s">
        <v>400</v>
      </c>
      <c r="C44" s="5" t="s">
        <v>112</v>
      </c>
      <c r="D44" s="5" t="s">
        <v>401</v>
      </c>
      <c r="E44" s="5" t="s">
        <v>311</v>
      </c>
      <c r="F44" s="5" t="s">
        <v>24</v>
      </c>
      <c r="G44" s="5" t="s">
        <v>75</v>
      </c>
      <c r="H44" s="5" t="s">
        <v>101</v>
      </c>
      <c r="I44" s="5">
        <v>1.043800359E11</v>
      </c>
      <c r="J44" s="5" t="s">
        <v>403</v>
      </c>
      <c r="K44" s="5" t="s">
        <v>348</v>
      </c>
      <c r="L44" s="5" t="s">
        <v>304</v>
      </c>
      <c r="M44" s="5" t="s">
        <v>30</v>
      </c>
      <c r="N44" s="5"/>
    </row>
    <row r="45" ht="15.75" customHeight="1">
      <c r="A45" s="5" t="s">
        <v>297</v>
      </c>
      <c r="B45" s="5" t="s">
        <v>407</v>
      </c>
      <c r="C45" s="5" t="s">
        <v>71</v>
      </c>
      <c r="D45" s="5" t="s">
        <v>340</v>
      </c>
      <c r="E45" s="5" t="s">
        <v>343</v>
      </c>
      <c r="F45" s="5" t="s">
        <v>138</v>
      </c>
      <c r="G45" s="5" t="s">
        <v>198</v>
      </c>
      <c r="H45" s="5" t="s">
        <v>256</v>
      </c>
      <c r="I45" s="5" t="s">
        <v>412</v>
      </c>
      <c r="J45" s="5" t="s">
        <v>413</v>
      </c>
      <c r="K45" s="5" t="s">
        <v>348</v>
      </c>
      <c r="L45" s="5" t="s">
        <v>304</v>
      </c>
      <c r="M45" s="5" t="s">
        <v>30</v>
      </c>
      <c r="N45" s="5"/>
    </row>
    <row r="46" ht="15.75" customHeight="1"/>
    <row r="47" ht="15.75" customHeight="1">
      <c r="A47" s="6" t="s">
        <v>414</v>
      </c>
    </row>
    <row r="48" ht="15.75" customHeight="1">
      <c r="A48" s="6" t="s">
        <v>419</v>
      </c>
    </row>
    <row r="49" ht="15.75" customHeight="1">
      <c r="A49" s="6" t="s">
        <v>4</v>
      </c>
      <c r="B49" s="6" t="s">
        <v>6</v>
      </c>
      <c r="C49" s="6" t="s">
        <v>7</v>
      </c>
      <c r="D49" s="6" t="s">
        <v>8</v>
      </c>
      <c r="E49" s="6" t="s">
        <v>9</v>
      </c>
      <c r="F49" s="6" t="s">
        <v>10</v>
      </c>
      <c r="G49" s="6" t="s">
        <v>11</v>
      </c>
      <c r="H49" s="6" t="s">
        <v>12</v>
      </c>
      <c r="I49" s="6" t="s">
        <v>13</v>
      </c>
      <c r="J49" s="6" t="s">
        <v>14</v>
      </c>
      <c r="K49" s="6" t="s">
        <v>15</v>
      </c>
      <c r="L49" s="6" t="s">
        <v>16</v>
      </c>
      <c r="M49" s="6" t="s">
        <v>17</v>
      </c>
      <c r="N49" s="6" t="s">
        <v>18</v>
      </c>
    </row>
    <row r="50" ht="15.75" customHeight="1">
      <c r="A50" s="7" t="s">
        <v>424</v>
      </c>
      <c r="B50" s="7" t="s">
        <v>208</v>
      </c>
      <c r="C50" s="7" t="s">
        <v>428</v>
      </c>
      <c r="D50" s="7" t="s">
        <v>429</v>
      </c>
      <c r="E50" s="7" t="s">
        <v>430</v>
      </c>
      <c r="F50" s="7" t="s">
        <v>24</v>
      </c>
      <c r="G50" s="7" t="s">
        <v>431</v>
      </c>
      <c r="H50" s="7" t="s">
        <v>66</v>
      </c>
      <c r="I50" s="7" t="s">
        <v>432</v>
      </c>
      <c r="J50" s="7" t="s">
        <v>217</v>
      </c>
      <c r="K50" s="7"/>
      <c r="L50" s="7"/>
      <c r="M50" s="7" t="s">
        <v>373</v>
      </c>
      <c r="N50" s="7"/>
    </row>
    <row r="51" ht="15.75" customHeight="1">
      <c r="A51" s="7" t="s">
        <v>424</v>
      </c>
      <c r="B51" s="7" t="s">
        <v>434</v>
      </c>
      <c r="C51" s="7" t="s">
        <v>435</v>
      </c>
      <c r="D51" s="7" t="s">
        <v>429</v>
      </c>
      <c r="E51" s="7" t="s">
        <v>438</v>
      </c>
      <c r="F51" s="7" t="s">
        <v>113</v>
      </c>
      <c r="G51" s="7" t="s">
        <v>439</v>
      </c>
      <c r="H51" s="7" t="s">
        <v>26</v>
      </c>
      <c r="I51" s="7" t="s">
        <v>440</v>
      </c>
      <c r="J51" s="7" t="s">
        <v>441</v>
      </c>
      <c r="K51" s="7"/>
      <c r="L51" s="7"/>
      <c r="M51" s="7" t="s">
        <v>373</v>
      </c>
      <c r="N51" s="7"/>
    </row>
    <row r="52" ht="15.75" customHeight="1">
      <c r="A52" s="8" t="s">
        <v>424</v>
      </c>
      <c r="B52" s="8" t="s">
        <v>444</v>
      </c>
      <c r="C52" s="8" t="s">
        <v>445</v>
      </c>
      <c r="D52" s="8" t="s">
        <v>429</v>
      </c>
      <c r="E52" s="8" t="s">
        <v>325</v>
      </c>
      <c r="F52" s="8" t="s">
        <v>138</v>
      </c>
      <c r="G52" s="8" t="s">
        <v>449</v>
      </c>
      <c r="H52" s="8" t="s">
        <v>453</v>
      </c>
      <c r="I52" s="8" t="s">
        <v>454</v>
      </c>
      <c r="J52" s="8" t="s">
        <v>455</v>
      </c>
      <c r="K52" s="8"/>
      <c r="L52" s="8"/>
      <c r="M52" s="8" t="s">
        <v>59</v>
      </c>
      <c r="N52" s="8"/>
    </row>
    <row r="53" ht="15.75" customHeight="1">
      <c r="A53" s="8" t="s">
        <v>424</v>
      </c>
      <c r="B53" s="8" t="s">
        <v>456</v>
      </c>
      <c r="C53" s="8" t="s">
        <v>457</v>
      </c>
      <c r="D53" s="8" t="s">
        <v>429</v>
      </c>
      <c r="E53" s="8" t="s">
        <v>459</v>
      </c>
      <c r="F53" s="8" t="s">
        <v>24</v>
      </c>
      <c r="G53" s="8" t="s">
        <v>431</v>
      </c>
      <c r="H53" s="8" t="s">
        <v>55</v>
      </c>
      <c r="I53" s="8" t="s">
        <v>132</v>
      </c>
      <c r="J53" s="8" t="s">
        <v>134</v>
      </c>
      <c r="K53" s="8"/>
      <c r="L53" s="8"/>
      <c r="M53" s="8" t="s">
        <v>59</v>
      </c>
      <c r="N53" s="8"/>
    </row>
    <row r="54" ht="15.75" customHeight="1">
      <c r="A54" s="8" t="s">
        <v>424</v>
      </c>
      <c r="B54" s="8" t="s">
        <v>462</v>
      </c>
      <c r="C54" s="8" t="s">
        <v>435</v>
      </c>
      <c r="D54" s="8" t="s">
        <v>429</v>
      </c>
      <c r="E54" s="8" t="s">
        <v>459</v>
      </c>
      <c r="F54" s="8" t="s">
        <v>24</v>
      </c>
      <c r="G54" s="8" t="s">
        <v>431</v>
      </c>
      <c r="H54" s="8" t="s">
        <v>66</v>
      </c>
      <c r="I54" s="8" t="s">
        <v>465</v>
      </c>
      <c r="J54" s="8" t="s">
        <v>149</v>
      </c>
      <c r="K54" s="8"/>
      <c r="L54" s="8"/>
      <c r="M54" s="8" t="s">
        <v>59</v>
      </c>
      <c r="N54" s="8"/>
    </row>
    <row r="55" ht="15.75" customHeight="1">
      <c r="A55" s="8" t="s">
        <v>424</v>
      </c>
      <c r="B55" s="8" t="s">
        <v>221</v>
      </c>
      <c r="C55" s="8" t="s">
        <v>469</v>
      </c>
      <c r="D55" s="8" t="s">
        <v>429</v>
      </c>
      <c r="E55" s="8" t="s">
        <v>224</v>
      </c>
      <c r="F55" s="8" t="s">
        <v>138</v>
      </c>
      <c r="G55" s="8" t="s">
        <v>470</v>
      </c>
      <c r="H55" s="8" t="s">
        <v>272</v>
      </c>
      <c r="I55" s="8" t="s">
        <v>472</v>
      </c>
      <c r="J55" s="8" t="s">
        <v>228</v>
      </c>
      <c r="K55" s="8"/>
      <c r="L55" s="8"/>
      <c r="M55" s="8" t="s">
        <v>59</v>
      </c>
      <c r="N55" s="8"/>
    </row>
    <row r="56" ht="15.75" customHeight="1">
      <c r="A56" s="8" t="s">
        <v>424</v>
      </c>
      <c r="B56" s="8" t="s">
        <v>475</v>
      </c>
      <c r="C56" s="8" t="s">
        <v>476</v>
      </c>
      <c r="D56" s="8" t="s">
        <v>429</v>
      </c>
      <c r="E56" s="8" t="s">
        <v>240</v>
      </c>
      <c r="F56" s="8" t="s">
        <v>257</v>
      </c>
      <c r="G56" s="8" t="s">
        <v>478</v>
      </c>
      <c r="H56" s="8" t="s">
        <v>453</v>
      </c>
      <c r="I56" s="8" t="s">
        <v>479</v>
      </c>
      <c r="J56" s="8"/>
      <c r="K56" s="8"/>
      <c r="L56" s="8"/>
      <c r="M56" s="8" t="s">
        <v>59</v>
      </c>
      <c r="N56" s="8"/>
    </row>
    <row r="57" ht="15.75" customHeight="1">
      <c r="A57" s="8" t="s">
        <v>424</v>
      </c>
      <c r="B57" s="8" t="s">
        <v>481</v>
      </c>
      <c r="C57" s="8" t="s">
        <v>482</v>
      </c>
      <c r="D57" s="8" t="s">
        <v>429</v>
      </c>
      <c r="E57" s="8" t="s">
        <v>224</v>
      </c>
      <c r="F57" s="8" t="s">
        <v>138</v>
      </c>
      <c r="G57" s="8" t="s">
        <v>486</v>
      </c>
      <c r="H57" s="8" t="s">
        <v>272</v>
      </c>
      <c r="I57" s="8" t="s">
        <v>487</v>
      </c>
      <c r="J57" s="8" t="s">
        <v>489</v>
      </c>
      <c r="K57" s="8"/>
      <c r="L57" s="8"/>
      <c r="M57" s="8" t="s">
        <v>59</v>
      </c>
      <c r="N57" s="8"/>
    </row>
    <row r="58" ht="15.75" customHeight="1">
      <c r="A58" s="8" t="s">
        <v>424</v>
      </c>
      <c r="B58" s="8" t="s">
        <v>491</v>
      </c>
      <c r="C58" s="8" t="s">
        <v>492</v>
      </c>
      <c r="D58" s="8" t="s">
        <v>429</v>
      </c>
      <c r="E58" s="8" t="s">
        <v>240</v>
      </c>
      <c r="F58" s="8" t="s">
        <v>241</v>
      </c>
      <c r="G58" s="8" t="s">
        <v>478</v>
      </c>
      <c r="H58" s="8" t="s">
        <v>88</v>
      </c>
      <c r="I58" s="8" t="s">
        <v>497</v>
      </c>
      <c r="J58" s="8"/>
      <c r="K58" s="8"/>
      <c r="L58" s="8"/>
      <c r="M58" s="8" t="s">
        <v>30</v>
      </c>
      <c r="N58" s="8"/>
    </row>
    <row r="59" ht="15.75" customHeight="1">
      <c r="A59" s="8" t="s">
        <v>424</v>
      </c>
      <c r="B59" s="8" t="s">
        <v>500</v>
      </c>
      <c r="C59" s="8" t="s">
        <v>501</v>
      </c>
      <c r="D59" s="8" t="s">
        <v>429</v>
      </c>
      <c r="E59" s="8" t="s">
        <v>325</v>
      </c>
      <c r="F59" s="8" t="s">
        <v>138</v>
      </c>
      <c r="G59" s="8" t="s">
        <v>470</v>
      </c>
      <c r="H59" s="8" t="s">
        <v>256</v>
      </c>
      <c r="I59" s="8" t="s">
        <v>504</v>
      </c>
      <c r="J59" s="8" t="s">
        <v>505</v>
      </c>
      <c r="K59" s="8"/>
      <c r="L59" s="8"/>
      <c r="M59" s="8" t="s">
        <v>59</v>
      </c>
      <c r="N59" s="8"/>
    </row>
    <row r="60" ht="15.75" customHeight="1">
      <c r="A60" s="8" t="s">
        <v>424</v>
      </c>
      <c r="B60" s="8" t="s">
        <v>507</v>
      </c>
      <c r="C60" s="8" t="s">
        <v>469</v>
      </c>
      <c r="D60" s="8" t="s">
        <v>429</v>
      </c>
      <c r="E60" s="8" t="s">
        <v>508</v>
      </c>
      <c r="F60" s="8" t="s">
        <v>24</v>
      </c>
      <c r="G60" s="8" t="s">
        <v>431</v>
      </c>
      <c r="H60" s="8" t="s">
        <v>105</v>
      </c>
      <c r="I60" s="8" t="s">
        <v>509</v>
      </c>
      <c r="J60" s="8" t="s">
        <v>511</v>
      </c>
      <c r="K60" s="8"/>
      <c r="L60" s="8"/>
      <c r="M60" s="8" t="s">
        <v>59</v>
      </c>
      <c r="N60" s="8"/>
    </row>
    <row r="61" ht="15.75" customHeight="1"/>
    <row r="62" ht="15.75" customHeight="1">
      <c r="A62" s="6" t="s">
        <v>515</v>
      </c>
    </row>
    <row r="63" ht="15.75" customHeight="1">
      <c r="A63" s="6" t="s">
        <v>174</v>
      </c>
    </row>
    <row r="64" ht="15.75" customHeight="1">
      <c r="A64" s="6" t="s">
        <v>4</v>
      </c>
      <c r="B64" s="6" t="s">
        <v>6</v>
      </c>
      <c r="C64" s="6" t="s">
        <v>7</v>
      </c>
      <c r="D64" s="6" t="s">
        <v>8</v>
      </c>
      <c r="E64" s="6" t="s">
        <v>9</v>
      </c>
      <c r="F64" s="6" t="s">
        <v>10</v>
      </c>
      <c r="G64" s="6" t="s">
        <v>11</v>
      </c>
      <c r="H64" s="6" t="s">
        <v>12</v>
      </c>
      <c r="I64" s="6" t="s">
        <v>13</v>
      </c>
      <c r="J64" s="6" t="s">
        <v>14</v>
      </c>
      <c r="K64" s="6" t="s">
        <v>15</v>
      </c>
      <c r="L64" s="6" t="s">
        <v>16</v>
      </c>
      <c r="M64" s="6" t="s">
        <v>17</v>
      </c>
      <c r="N64" s="6" t="s">
        <v>18</v>
      </c>
    </row>
    <row r="65" ht="15.75" customHeight="1">
      <c r="A65" s="8" t="s">
        <v>521</v>
      </c>
      <c r="B65" s="8" t="s">
        <v>69</v>
      </c>
      <c r="C65" s="8" t="s">
        <v>435</v>
      </c>
      <c r="D65" s="8" t="s">
        <v>429</v>
      </c>
      <c r="E65" s="8" t="s">
        <v>524</v>
      </c>
      <c r="F65" s="8" t="s">
        <v>24</v>
      </c>
      <c r="G65" s="8" t="s">
        <v>431</v>
      </c>
      <c r="H65" s="8" t="s">
        <v>49</v>
      </c>
      <c r="I65" s="8" t="s">
        <v>527</v>
      </c>
      <c r="J65" s="8" t="s">
        <v>79</v>
      </c>
      <c r="K65" s="8"/>
      <c r="L65" s="8"/>
      <c r="M65" s="8" t="s">
        <v>59</v>
      </c>
      <c r="N65" s="8"/>
    </row>
    <row r="66" ht="15.75" customHeight="1">
      <c r="A66" s="8" t="s">
        <v>521</v>
      </c>
      <c r="B66" s="8" t="s">
        <v>532</v>
      </c>
      <c r="C66" s="8" t="s">
        <v>445</v>
      </c>
      <c r="D66" s="8" t="s">
        <v>429</v>
      </c>
      <c r="E66" s="8" t="s">
        <v>282</v>
      </c>
      <c r="F66" s="8" t="s">
        <v>255</v>
      </c>
      <c r="G66" s="8" t="s">
        <v>470</v>
      </c>
      <c r="H66" s="8" t="s">
        <v>199</v>
      </c>
      <c r="I66" s="8" t="s">
        <v>497</v>
      </c>
      <c r="J66" s="8" t="s">
        <v>536</v>
      </c>
      <c r="K66" s="8"/>
      <c r="L66" s="8"/>
      <c r="M66" s="8" t="s">
        <v>59</v>
      </c>
      <c r="N66" s="8"/>
    </row>
    <row r="67" ht="15.75" customHeight="1">
      <c r="A67" s="8" t="s">
        <v>521</v>
      </c>
      <c r="B67" s="8" t="s">
        <v>537</v>
      </c>
      <c r="C67" s="8" t="s">
        <v>539</v>
      </c>
      <c r="D67" s="8" t="s">
        <v>429</v>
      </c>
      <c r="E67" s="8" t="s">
        <v>541</v>
      </c>
      <c r="F67" s="8" t="s">
        <v>24</v>
      </c>
      <c r="G67" s="8" t="s">
        <v>431</v>
      </c>
      <c r="H67" s="8" t="s">
        <v>26</v>
      </c>
      <c r="I67" s="8" t="s">
        <v>543</v>
      </c>
      <c r="J67" s="8" t="s">
        <v>544</v>
      </c>
      <c r="K67" s="8"/>
      <c r="L67" s="8"/>
      <c r="M67" s="8" t="s">
        <v>30</v>
      </c>
      <c r="N67" s="8"/>
    </row>
    <row r="68" ht="15.75" customHeight="1">
      <c r="A68" s="8" t="s">
        <v>521</v>
      </c>
      <c r="B68" s="8" t="s">
        <v>456</v>
      </c>
      <c r="C68" s="8" t="s">
        <v>445</v>
      </c>
      <c r="D68" s="8" t="s">
        <v>429</v>
      </c>
      <c r="E68" s="8" t="s">
        <v>459</v>
      </c>
      <c r="F68" s="8" t="s">
        <v>24</v>
      </c>
      <c r="G68" s="8" t="s">
        <v>431</v>
      </c>
      <c r="H68" s="8" t="s">
        <v>26</v>
      </c>
      <c r="I68" s="8" t="s">
        <v>132</v>
      </c>
      <c r="J68" s="8" t="s">
        <v>134</v>
      </c>
      <c r="K68" s="8"/>
      <c r="L68" s="8"/>
      <c r="M68" s="8" t="s">
        <v>59</v>
      </c>
      <c r="N68" s="8"/>
    </row>
    <row r="69" ht="15.75" customHeight="1">
      <c r="A69" s="6" t="s">
        <v>521</v>
      </c>
      <c r="B69" s="6" t="s">
        <v>329</v>
      </c>
      <c r="C69" s="6" t="s">
        <v>482</v>
      </c>
      <c r="D69" s="6" t="s">
        <v>553</v>
      </c>
      <c r="E69" s="6" t="s">
        <v>556</v>
      </c>
      <c r="F69" s="6" t="s">
        <v>24</v>
      </c>
      <c r="G69" s="6" t="s">
        <v>431</v>
      </c>
      <c r="H69" s="6" t="s">
        <v>558</v>
      </c>
      <c r="I69" s="6" t="s">
        <v>559</v>
      </c>
      <c r="J69" s="6" t="s">
        <v>560</v>
      </c>
      <c r="M69" s="6" t="s">
        <v>561</v>
      </c>
    </row>
    <row r="70" ht="15.75" customHeight="1">
      <c r="A70" s="8" t="s">
        <v>521</v>
      </c>
      <c r="B70" s="8" t="s">
        <v>563</v>
      </c>
      <c r="C70" s="8" t="s">
        <v>565</v>
      </c>
      <c r="D70" s="8" t="s">
        <v>429</v>
      </c>
      <c r="E70" s="8" t="s">
        <v>459</v>
      </c>
      <c r="F70" s="8" t="s">
        <v>24</v>
      </c>
      <c r="G70" s="8" t="s">
        <v>431</v>
      </c>
      <c r="H70" s="8" t="s">
        <v>156</v>
      </c>
      <c r="I70" s="8" t="s">
        <v>568</v>
      </c>
      <c r="J70" s="8" t="s">
        <v>571</v>
      </c>
      <c r="K70" s="8"/>
      <c r="L70" s="8"/>
      <c r="M70" s="8" t="s">
        <v>59</v>
      </c>
      <c r="N70" s="8"/>
    </row>
    <row r="71" ht="15.75" customHeight="1">
      <c r="A71" s="8" t="s">
        <v>521</v>
      </c>
      <c r="B71" s="8" t="s">
        <v>575</v>
      </c>
      <c r="C71" s="8" t="s">
        <v>576</v>
      </c>
      <c r="D71" s="8" t="s">
        <v>429</v>
      </c>
      <c r="E71" s="8" t="s">
        <v>556</v>
      </c>
      <c r="F71" s="8" t="s">
        <v>85</v>
      </c>
      <c r="G71" s="8" t="s">
        <v>580</v>
      </c>
      <c r="H71" s="8" t="s">
        <v>88</v>
      </c>
      <c r="I71" s="8" t="s">
        <v>583</v>
      </c>
      <c r="J71" s="8"/>
      <c r="K71" s="8"/>
      <c r="L71" s="8"/>
      <c r="M71" s="8" t="s">
        <v>30</v>
      </c>
      <c r="N71" s="8"/>
    </row>
    <row r="72" ht="15.75" customHeight="1">
      <c r="A72" s="8" t="s">
        <v>521</v>
      </c>
      <c r="B72" s="8" t="s">
        <v>575</v>
      </c>
      <c r="C72" s="8" t="s">
        <v>576</v>
      </c>
      <c r="D72" s="8" t="s">
        <v>429</v>
      </c>
      <c r="E72" s="8" t="s">
        <v>556</v>
      </c>
      <c r="F72" s="8" t="s">
        <v>24</v>
      </c>
      <c r="G72" s="8" t="s">
        <v>431</v>
      </c>
      <c r="H72" s="8" t="s">
        <v>105</v>
      </c>
      <c r="I72" s="8" t="s">
        <v>583</v>
      </c>
      <c r="J72" s="8"/>
      <c r="K72" s="8"/>
      <c r="L72" s="8"/>
      <c r="M72" s="8" t="s">
        <v>30</v>
      </c>
      <c r="N72" s="8"/>
    </row>
    <row r="73" ht="15.75" customHeight="1">
      <c r="A73" s="8" t="s">
        <v>521</v>
      </c>
      <c r="B73" s="8" t="s">
        <v>375</v>
      </c>
      <c r="C73" s="8" t="s">
        <v>591</v>
      </c>
      <c r="D73" s="8" t="s">
        <v>429</v>
      </c>
      <c r="E73" s="8" t="s">
        <v>592</v>
      </c>
      <c r="F73" s="8" t="s">
        <v>24</v>
      </c>
      <c r="G73" s="8" t="s">
        <v>431</v>
      </c>
      <c r="H73" s="8" t="s">
        <v>38</v>
      </c>
      <c r="I73" s="8" t="s">
        <v>594</v>
      </c>
      <c r="J73" s="8" t="s">
        <v>377</v>
      </c>
      <c r="K73" s="8"/>
      <c r="L73" s="8"/>
      <c r="M73" s="8" t="s">
        <v>30</v>
      </c>
      <c r="N73" s="8"/>
    </row>
    <row r="74" ht="15.75" customHeight="1">
      <c r="A74" s="8" t="s">
        <v>521</v>
      </c>
      <c r="B74" s="8" t="s">
        <v>234</v>
      </c>
      <c r="C74" s="8" t="s">
        <v>482</v>
      </c>
      <c r="D74" s="8" t="s">
        <v>429</v>
      </c>
      <c r="E74" s="8" t="s">
        <v>524</v>
      </c>
      <c r="F74" s="8" t="s">
        <v>24</v>
      </c>
      <c r="G74" s="8" t="s">
        <v>431</v>
      </c>
      <c r="H74" s="8" t="s">
        <v>38</v>
      </c>
      <c r="I74" s="8" t="s">
        <v>602</v>
      </c>
      <c r="J74" s="8" t="s">
        <v>250</v>
      </c>
      <c r="K74" s="8"/>
      <c r="L74" s="8"/>
      <c r="M74" s="8" t="s">
        <v>30</v>
      </c>
      <c r="N74" s="8"/>
    </row>
    <row r="75" ht="15.75" customHeight="1"/>
    <row r="76" ht="15.75" customHeight="1">
      <c r="A76" s="6" t="s">
        <v>605</v>
      </c>
    </row>
    <row r="77" ht="15.75" customHeight="1">
      <c r="A77" s="6" t="s">
        <v>607</v>
      </c>
    </row>
    <row r="78" ht="15.75" customHeight="1">
      <c r="A78" s="6" t="s">
        <v>4</v>
      </c>
      <c r="B78" s="6" t="s">
        <v>6</v>
      </c>
      <c r="C78" s="6" t="s">
        <v>7</v>
      </c>
      <c r="D78" s="6" t="s">
        <v>8</v>
      </c>
      <c r="E78" s="6" t="s">
        <v>9</v>
      </c>
      <c r="F78" s="6" t="s">
        <v>10</v>
      </c>
      <c r="G78" s="6" t="s">
        <v>11</v>
      </c>
      <c r="H78" s="6" t="s">
        <v>12</v>
      </c>
      <c r="I78" s="6" t="s">
        <v>13</v>
      </c>
      <c r="J78" s="6" t="s">
        <v>14</v>
      </c>
      <c r="K78" s="6" t="s">
        <v>15</v>
      </c>
      <c r="L78" s="6" t="s">
        <v>16</v>
      </c>
      <c r="M78" s="6" t="s">
        <v>17</v>
      </c>
      <c r="N78" s="6" t="s">
        <v>18</v>
      </c>
    </row>
    <row r="79" ht="15.75" customHeight="1">
      <c r="A79" s="6" t="s">
        <v>613</v>
      </c>
      <c r="B79" s="6" t="s">
        <v>456</v>
      </c>
      <c r="C79" s="6" t="s">
        <v>457</v>
      </c>
      <c r="D79" s="6" t="s">
        <v>526</v>
      </c>
      <c r="E79" s="6" t="s">
        <v>459</v>
      </c>
      <c r="F79" s="6" t="s">
        <v>24</v>
      </c>
      <c r="G79" s="6" t="s">
        <v>75</v>
      </c>
      <c r="H79" s="6" t="s">
        <v>66</v>
      </c>
      <c r="I79" s="6" t="s">
        <v>132</v>
      </c>
      <c r="J79" s="6" t="s">
        <v>134</v>
      </c>
      <c r="L79" s="6" t="s">
        <v>304</v>
      </c>
      <c r="M79" s="6" t="s">
        <v>373</v>
      </c>
    </row>
    <row r="80" ht="15.75" customHeight="1">
      <c r="A80" s="6" t="s">
        <v>613</v>
      </c>
      <c r="B80" s="6" t="s">
        <v>462</v>
      </c>
      <c r="C80" s="6" t="s">
        <v>457</v>
      </c>
      <c r="D80" s="6" t="s">
        <v>299</v>
      </c>
      <c r="E80" s="6" t="s">
        <v>459</v>
      </c>
      <c r="F80" s="6" t="s">
        <v>24</v>
      </c>
      <c r="G80" s="6" t="s">
        <v>75</v>
      </c>
      <c r="H80" s="6" t="s">
        <v>156</v>
      </c>
      <c r="I80" s="6" t="s">
        <v>465</v>
      </c>
      <c r="J80" s="6" t="s">
        <v>149</v>
      </c>
      <c r="K80" s="6"/>
      <c r="L80" s="6" t="s">
        <v>304</v>
      </c>
      <c r="M80" s="6" t="s">
        <v>59</v>
      </c>
      <c r="N80" s="6"/>
    </row>
    <row r="81" ht="15.75" customHeight="1">
      <c r="A81" s="6" t="s">
        <v>613</v>
      </c>
      <c r="B81" s="6" t="s">
        <v>351</v>
      </c>
      <c r="C81" s="6" t="s">
        <v>482</v>
      </c>
      <c r="D81" s="6" t="s">
        <v>331</v>
      </c>
      <c r="E81" s="6" t="s">
        <v>459</v>
      </c>
      <c r="F81" s="6" t="s">
        <v>78</v>
      </c>
      <c r="G81" s="6" t="s">
        <v>75</v>
      </c>
      <c r="H81" s="6" t="s">
        <v>130</v>
      </c>
      <c r="I81" s="6" t="s">
        <v>626</v>
      </c>
      <c r="J81" s="6" t="s">
        <v>362</v>
      </c>
      <c r="K81" s="6"/>
      <c r="L81" s="6" t="s">
        <v>304</v>
      </c>
      <c r="M81" s="6" t="s">
        <v>59</v>
      </c>
      <c r="N81" s="6"/>
    </row>
    <row r="82" ht="15.75" customHeight="1">
      <c r="A82" s="6" t="s">
        <v>613</v>
      </c>
      <c r="B82" s="6" t="s">
        <v>627</v>
      </c>
      <c r="C82" s="6" t="s">
        <v>608</v>
      </c>
      <c r="D82" s="6" t="s">
        <v>628</v>
      </c>
      <c r="E82" s="6" t="s">
        <v>240</v>
      </c>
      <c r="F82" s="6" t="s">
        <v>257</v>
      </c>
      <c r="G82" s="6" t="s">
        <v>629</v>
      </c>
      <c r="H82" s="6" t="s">
        <v>453</v>
      </c>
      <c r="I82" s="6" t="s">
        <v>630</v>
      </c>
      <c r="J82" s="6"/>
      <c r="K82" s="6"/>
      <c r="L82" s="6" t="s">
        <v>304</v>
      </c>
      <c r="M82" s="6" t="s">
        <v>59</v>
      </c>
      <c r="N82" s="6"/>
    </row>
    <row r="83" ht="15.75" customHeight="1">
      <c r="A83" s="6" t="s">
        <v>613</v>
      </c>
      <c r="B83" s="6" t="s">
        <v>234</v>
      </c>
      <c r="C83" s="6" t="s">
        <v>482</v>
      </c>
      <c r="D83" s="6" t="s">
        <v>443</v>
      </c>
      <c r="E83" s="6" t="s">
        <v>524</v>
      </c>
      <c r="F83" s="6" t="s">
        <v>24</v>
      </c>
      <c r="G83" s="6" t="s">
        <v>75</v>
      </c>
      <c r="H83" s="6" t="s">
        <v>70</v>
      </c>
      <c r="I83" s="6" t="s">
        <v>602</v>
      </c>
      <c r="J83" s="6" t="s">
        <v>250</v>
      </c>
      <c r="K83" s="6" t="s">
        <v>638</v>
      </c>
      <c r="L83" s="6" t="s">
        <v>304</v>
      </c>
      <c r="M83" s="6" t="s">
        <v>59</v>
      </c>
      <c r="N83" s="6"/>
    </row>
    <row r="84" ht="15.75" customHeight="1">
      <c r="A84" s="6" t="s">
        <v>613</v>
      </c>
      <c r="B84" s="6" t="s">
        <v>641</v>
      </c>
      <c r="C84" s="6" t="s">
        <v>642</v>
      </c>
      <c r="D84" s="6" t="s">
        <v>628</v>
      </c>
      <c r="E84" s="6" t="s">
        <v>224</v>
      </c>
      <c r="F84" s="6" t="s">
        <v>138</v>
      </c>
      <c r="G84" s="6" t="s">
        <v>198</v>
      </c>
      <c r="H84" s="6" t="s">
        <v>453</v>
      </c>
      <c r="I84" s="6" t="s">
        <v>645</v>
      </c>
      <c r="J84" s="6" t="s">
        <v>646</v>
      </c>
      <c r="K84" s="6"/>
      <c r="L84" s="6" t="s">
        <v>304</v>
      </c>
      <c r="M84" s="6" t="s">
        <v>59</v>
      </c>
      <c r="N84" s="6"/>
    </row>
    <row r="85" ht="15.75" customHeight="1">
      <c r="A85" s="6" t="s">
        <v>613</v>
      </c>
      <c r="B85" s="6" t="s">
        <v>261</v>
      </c>
      <c r="C85" s="6" t="s">
        <v>639</v>
      </c>
      <c r="D85" s="6" t="s">
        <v>299</v>
      </c>
      <c r="E85" s="6" t="s">
        <v>459</v>
      </c>
      <c r="F85" s="6" t="s">
        <v>78</v>
      </c>
      <c r="G85" s="6" t="s">
        <v>75</v>
      </c>
      <c r="H85" s="6" t="s">
        <v>156</v>
      </c>
      <c r="I85" s="6" t="s">
        <v>265</v>
      </c>
      <c r="J85" s="6" t="s">
        <v>267</v>
      </c>
      <c r="K85" s="6"/>
      <c r="L85" s="6" t="s">
        <v>304</v>
      </c>
      <c r="M85" s="6" t="s">
        <v>59</v>
      </c>
      <c r="N85" s="6"/>
    </row>
    <row r="86" ht="15.75" customHeight="1">
      <c r="A86" s="6" t="s">
        <v>613</v>
      </c>
      <c r="B86" s="6" t="s">
        <v>507</v>
      </c>
      <c r="C86" s="6" t="s">
        <v>469</v>
      </c>
      <c r="D86" s="6" t="s">
        <v>331</v>
      </c>
      <c r="E86" s="6" t="s">
        <v>508</v>
      </c>
      <c r="F86" s="6" t="s">
        <v>24</v>
      </c>
      <c r="G86" s="6" t="s">
        <v>75</v>
      </c>
      <c r="H86" s="6" t="s">
        <v>130</v>
      </c>
      <c r="I86" s="6" t="s">
        <v>509</v>
      </c>
      <c r="J86" s="6" t="s">
        <v>657</v>
      </c>
      <c r="K86" s="6"/>
      <c r="L86" s="6" t="s">
        <v>304</v>
      </c>
      <c r="M86" s="6" t="s">
        <v>59</v>
      </c>
      <c r="N86" s="6"/>
    </row>
    <row r="87" ht="15.75" customHeight="1"/>
    <row r="88" ht="15.75" customHeight="1">
      <c r="A88" s="16" t="s">
        <v>661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ht="15.75" customHeight="1">
      <c r="A89" s="17" t="s">
        <v>419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ht="15.75" customHeight="1">
      <c r="A90" s="18" t="s">
        <v>4</v>
      </c>
      <c r="B90" s="18" t="s">
        <v>6</v>
      </c>
      <c r="C90" s="18" t="s">
        <v>7</v>
      </c>
      <c r="D90" s="18" t="s">
        <v>8</v>
      </c>
      <c r="E90" s="18" t="s">
        <v>9</v>
      </c>
      <c r="F90" s="18" t="s">
        <v>10</v>
      </c>
      <c r="G90" s="18" t="s">
        <v>11</v>
      </c>
      <c r="H90" s="18" t="s">
        <v>12</v>
      </c>
      <c r="I90" s="18" t="s">
        <v>13</v>
      </c>
      <c r="J90" s="18" t="s">
        <v>14</v>
      </c>
      <c r="K90" s="18" t="s">
        <v>15</v>
      </c>
      <c r="L90" s="18" t="s">
        <v>16</v>
      </c>
      <c r="M90" s="18" t="s">
        <v>17</v>
      </c>
      <c r="N90" s="18" t="s">
        <v>18</v>
      </c>
    </row>
    <row r="91" ht="15.75" customHeight="1">
      <c r="A91" s="6" t="s">
        <v>669</v>
      </c>
      <c r="B91" s="6" t="s">
        <v>185</v>
      </c>
      <c r="C91" s="6" t="s">
        <v>670</v>
      </c>
      <c r="D91" s="6" t="s">
        <v>429</v>
      </c>
      <c r="E91" s="6" t="s">
        <v>541</v>
      </c>
      <c r="F91" s="6" t="s">
        <v>24</v>
      </c>
      <c r="G91" s="6" t="s">
        <v>431</v>
      </c>
      <c r="H91" s="6" t="s">
        <v>66</v>
      </c>
      <c r="I91" s="6" t="s">
        <v>188</v>
      </c>
      <c r="J91" s="6" t="s">
        <v>189</v>
      </c>
      <c r="K91" s="6"/>
      <c r="L91" s="6" t="s">
        <v>304</v>
      </c>
      <c r="M91" s="6" t="s">
        <v>59</v>
      </c>
      <c r="N91" s="6"/>
    </row>
    <row r="92" ht="15.75" customHeight="1">
      <c r="A92" s="6" t="s">
        <v>669</v>
      </c>
      <c r="B92" s="6" t="s">
        <v>193</v>
      </c>
      <c r="C92" s="6" t="s">
        <v>672</v>
      </c>
      <c r="D92" s="6" t="s">
        <v>429</v>
      </c>
      <c r="E92" s="6" t="s">
        <v>196</v>
      </c>
      <c r="F92" s="6" t="s">
        <v>138</v>
      </c>
      <c r="G92" s="6" t="s">
        <v>470</v>
      </c>
      <c r="H92" s="6" t="s">
        <v>272</v>
      </c>
      <c r="I92" s="6" t="s">
        <v>201</v>
      </c>
      <c r="J92" s="6" t="s">
        <v>203</v>
      </c>
      <c r="K92" s="6" t="s">
        <v>674</v>
      </c>
      <c r="L92" s="6" t="s">
        <v>304</v>
      </c>
      <c r="M92" s="6" t="s">
        <v>59</v>
      </c>
      <c r="N92" s="6"/>
    </row>
    <row r="93" ht="15.75" customHeight="1">
      <c r="A93" s="6" t="s">
        <v>669</v>
      </c>
      <c r="B93" s="6" t="s">
        <v>208</v>
      </c>
      <c r="C93" s="6" t="s">
        <v>679</v>
      </c>
      <c r="D93" s="6" t="s">
        <v>429</v>
      </c>
      <c r="E93" s="6" t="s">
        <v>430</v>
      </c>
      <c r="F93" s="6" t="s">
        <v>24</v>
      </c>
      <c r="G93" s="6" t="s">
        <v>431</v>
      </c>
      <c r="H93" s="6" t="s">
        <v>66</v>
      </c>
      <c r="I93" s="6" t="s">
        <v>432</v>
      </c>
      <c r="J93" s="6" t="s">
        <v>217</v>
      </c>
      <c r="K93" s="6"/>
      <c r="L93" s="6" t="s">
        <v>304</v>
      </c>
      <c r="M93" s="6" t="s">
        <v>59</v>
      </c>
      <c r="N93" s="6"/>
    </row>
    <row r="94" ht="15.75" customHeight="1">
      <c r="A94" s="6" t="s">
        <v>669</v>
      </c>
      <c r="B94" s="6" t="s">
        <v>456</v>
      </c>
      <c r="C94" s="6" t="s">
        <v>684</v>
      </c>
      <c r="D94" s="6" t="s">
        <v>429</v>
      </c>
      <c r="E94" s="6" t="s">
        <v>459</v>
      </c>
      <c r="F94" s="6" t="s">
        <v>24</v>
      </c>
      <c r="G94" s="6" t="s">
        <v>431</v>
      </c>
      <c r="H94" s="6" t="s">
        <v>66</v>
      </c>
      <c r="I94" s="6" t="s">
        <v>132</v>
      </c>
      <c r="J94" s="6" t="s">
        <v>134</v>
      </c>
      <c r="K94" s="6"/>
      <c r="L94" s="6" t="s">
        <v>304</v>
      </c>
      <c r="M94" s="6" t="s">
        <v>59</v>
      </c>
      <c r="N94" s="6"/>
    </row>
    <row r="95" ht="15.75" customHeight="1">
      <c r="A95" s="6" t="s">
        <v>669</v>
      </c>
      <c r="B95" s="6" t="s">
        <v>688</v>
      </c>
      <c r="C95" s="6" t="s">
        <v>690</v>
      </c>
      <c r="D95" s="6" t="s">
        <v>429</v>
      </c>
      <c r="E95" s="6" t="s">
        <v>224</v>
      </c>
      <c r="F95" s="6" t="s">
        <v>255</v>
      </c>
      <c r="G95" s="6" t="s">
        <v>470</v>
      </c>
      <c r="H95" s="6" t="s">
        <v>222</v>
      </c>
      <c r="I95" s="6" t="s">
        <v>696</v>
      </c>
      <c r="J95" s="6" t="s">
        <v>698</v>
      </c>
      <c r="K95" s="6"/>
      <c r="L95" s="6" t="s">
        <v>304</v>
      </c>
      <c r="M95" s="6" t="s">
        <v>59</v>
      </c>
      <c r="N95" s="6"/>
    </row>
    <row r="96" ht="15.75" customHeight="1">
      <c r="A96" s="6" t="s">
        <v>669</v>
      </c>
      <c r="B96" s="6" t="s">
        <v>563</v>
      </c>
      <c r="C96" s="6" t="s">
        <v>700</v>
      </c>
      <c r="D96" s="6" t="s">
        <v>429</v>
      </c>
      <c r="E96" s="6" t="s">
        <v>459</v>
      </c>
      <c r="F96" s="6" t="s">
        <v>24</v>
      </c>
      <c r="G96" s="6" t="s">
        <v>431</v>
      </c>
      <c r="H96" s="6" t="s">
        <v>49</v>
      </c>
      <c r="I96" s="6" t="s">
        <v>568</v>
      </c>
      <c r="J96" s="6" t="s">
        <v>571</v>
      </c>
      <c r="K96" s="6"/>
      <c r="L96" s="6" t="s">
        <v>304</v>
      </c>
      <c r="M96" s="6" t="s">
        <v>59</v>
      </c>
      <c r="N96" s="6" t="s">
        <v>702</v>
      </c>
    </row>
    <row r="97" ht="15.75" customHeight="1">
      <c r="A97" s="6" t="s">
        <v>669</v>
      </c>
      <c r="B97" s="6" t="s">
        <v>230</v>
      </c>
      <c r="C97" s="6" t="s">
        <v>705</v>
      </c>
      <c r="D97" s="6" t="s">
        <v>429</v>
      </c>
      <c r="E97" s="6" t="s">
        <v>459</v>
      </c>
      <c r="F97" s="6" t="s">
        <v>24</v>
      </c>
      <c r="G97" s="6" t="s">
        <v>431</v>
      </c>
      <c r="H97" s="6" t="s">
        <v>156</v>
      </c>
      <c r="I97" s="6" t="s">
        <v>708</v>
      </c>
      <c r="J97" s="6" t="s">
        <v>231</v>
      </c>
      <c r="K97" s="6"/>
      <c r="L97" s="6" t="s">
        <v>304</v>
      </c>
      <c r="M97" s="6" t="s">
        <v>59</v>
      </c>
      <c r="N97" s="6"/>
    </row>
    <row r="98" ht="15.75" customHeight="1">
      <c r="A98" s="6" t="s">
        <v>669</v>
      </c>
      <c r="B98" s="6" t="s">
        <v>716</v>
      </c>
      <c r="C98" s="6" t="s">
        <v>717</v>
      </c>
      <c r="D98" s="6" t="s">
        <v>429</v>
      </c>
      <c r="E98" s="6" t="s">
        <v>240</v>
      </c>
      <c r="F98" s="6" t="s">
        <v>257</v>
      </c>
      <c r="G98" s="6" t="s">
        <v>478</v>
      </c>
      <c r="H98" s="6" t="s">
        <v>306</v>
      </c>
      <c r="I98" s="6" t="s">
        <v>718</v>
      </c>
      <c r="J98" s="6" t="s">
        <v>719</v>
      </c>
      <c r="K98" s="6"/>
      <c r="L98" s="6" t="s">
        <v>304</v>
      </c>
      <c r="M98" s="6" t="s">
        <v>59</v>
      </c>
      <c r="N98" s="6"/>
    </row>
    <row r="99" ht="15.75" customHeight="1">
      <c r="A99" s="6" t="s">
        <v>669</v>
      </c>
      <c r="B99" s="6" t="s">
        <v>251</v>
      </c>
      <c r="C99" s="6" t="s">
        <v>721</v>
      </c>
      <c r="D99" s="6" t="s">
        <v>429</v>
      </c>
      <c r="E99" s="6" t="s">
        <v>196</v>
      </c>
      <c r="F99" s="6" t="s">
        <v>255</v>
      </c>
      <c r="G99" s="6" t="s">
        <v>470</v>
      </c>
      <c r="H99" s="6" t="s">
        <v>396</v>
      </c>
      <c r="I99" s="6" t="s">
        <v>722</v>
      </c>
      <c r="J99" s="6" t="s">
        <v>723</v>
      </c>
      <c r="K99" s="6" t="s">
        <v>724</v>
      </c>
      <c r="L99" s="6" t="s">
        <v>304</v>
      </c>
      <c r="M99" s="6" t="s">
        <v>59</v>
      </c>
      <c r="N99" s="6"/>
    </row>
    <row r="100" ht="15.75" customHeight="1">
      <c r="A100" s="6" t="s">
        <v>669</v>
      </c>
      <c r="B100" s="6" t="s">
        <v>269</v>
      </c>
      <c r="C100" s="6" t="s">
        <v>690</v>
      </c>
      <c r="D100" s="6" t="s">
        <v>429</v>
      </c>
      <c r="E100" s="6" t="s">
        <v>196</v>
      </c>
      <c r="F100" s="6" t="s">
        <v>138</v>
      </c>
      <c r="G100" s="6" t="s">
        <v>470</v>
      </c>
      <c r="H100" s="6" t="s">
        <v>256</v>
      </c>
      <c r="I100" s="6" t="s">
        <v>274</v>
      </c>
      <c r="J100" s="6" t="s">
        <v>275</v>
      </c>
      <c r="K100" s="6" t="s">
        <v>674</v>
      </c>
      <c r="L100" s="6" t="s">
        <v>304</v>
      </c>
      <c r="M100" s="6" t="s">
        <v>59</v>
      </c>
      <c r="N100" s="6"/>
    </row>
    <row r="101" ht="15.75" customHeight="1">
      <c r="A101" s="6" t="s">
        <v>669</v>
      </c>
      <c r="B101" s="6" t="s">
        <v>732</v>
      </c>
      <c r="C101" s="6" t="s">
        <v>721</v>
      </c>
      <c r="D101" s="6" t="s">
        <v>429</v>
      </c>
      <c r="E101" s="6" t="s">
        <v>508</v>
      </c>
      <c r="F101" s="6" t="s">
        <v>24</v>
      </c>
      <c r="G101" s="6" t="s">
        <v>431</v>
      </c>
      <c r="H101" s="6" t="s">
        <v>105</v>
      </c>
      <c r="I101" s="6" t="s">
        <v>734</v>
      </c>
      <c r="J101" s="6" t="s">
        <v>736</v>
      </c>
      <c r="K101" s="6" t="s">
        <v>724</v>
      </c>
      <c r="L101" s="6" t="s">
        <v>304</v>
      </c>
      <c r="M101" s="6" t="s">
        <v>59</v>
      </c>
      <c r="N101" s="6"/>
    </row>
    <row r="102" ht="15.75" customHeight="1"/>
    <row r="103" ht="15.75" customHeight="1">
      <c r="A103" s="16" t="s">
        <v>738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ht="15.75" customHeight="1">
      <c r="A104" s="17" t="s">
        <v>289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ht="15.75" customHeight="1">
      <c r="A105" s="18" t="s">
        <v>4</v>
      </c>
      <c r="B105" s="18" t="s">
        <v>6</v>
      </c>
      <c r="C105" s="18" t="s">
        <v>7</v>
      </c>
      <c r="D105" s="18" t="s">
        <v>8</v>
      </c>
      <c r="E105" s="18" t="s">
        <v>9</v>
      </c>
      <c r="F105" s="18" t="s">
        <v>10</v>
      </c>
      <c r="G105" s="18" t="s">
        <v>11</v>
      </c>
      <c r="H105" s="18" t="s">
        <v>12</v>
      </c>
      <c r="I105" s="18" t="s">
        <v>13</v>
      </c>
      <c r="J105" s="18" t="s">
        <v>14</v>
      </c>
      <c r="K105" s="18" t="s">
        <v>15</v>
      </c>
      <c r="L105" s="18" t="s">
        <v>16</v>
      </c>
      <c r="M105" s="18" t="s">
        <v>17</v>
      </c>
      <c r="N105" s="18" t="s">
        <v>18</v>
      </c>
    </row>
    <row r="106" ht="15.75" customHeight="1">
      <c r="A106" s="6" t="s">
        <v>745</v>
      </c>
      <c r="B106" s="6" t="s">
        <v>69</v>
      </c>
      <c r="C106" s="6" t="s">
        <v>747</v>
      </c>
      <c r="D106" s="6" t="s">
        <v>429</v>
      </c>
      <c r="E106" s="6" t="s">
        <v>524</v>
      </c>
      <c r="F106" s="6" t="s">
        <v>24</v>
      </c>
      <c r="G106" s="6" t="s">
        <v>431</v>
      </c>
      <c r="H106" s="6" t="s">
        <v>38</v>
      </c>
      <c r="I106" s="6" t="s">
        <v>527</v>
      </c>
      <c r="J106" s="6" t="s">
        <v>79</v>
      </c>
      <c r="K106" s="6" t="s">
        <v>674</v>
      </c>
      <c r="L106" s="6" t="s">
        <v>304</v>
      </c>
      <c r="M106" s="6" t="s">
        <v>59</v>
      </c>
      <c r="N106" s="6"/>
    </row>
    <row r="107" ht="15.75" customHeight="1">
      <c r="A107" s="6" t="s">
        <v>745</v>
      </c>
      <c r="B107" s="6" t="s">
        <v>208</v>
      </c>
      <c r="C107" s="6" t="s">
        <v>750</v>
      </c>
      <c r="D107" s="6" t="s">
        <v>553</v>
      </c>
      <c r="E107" s="6" t="s">
        <v>430</v>
      </c>
      <c r="F107" s="6" t="s">
        <v>24</v>
      </c>
      <c r="G107" s="6" t="s">
        <v>431</v>
      </c>
      <c r="H107" s="6" t="s">
        <v>558</v>
      </c>
      <c r="I107" s="6" t="s">
        <v>432</v>
      </c>
      <c r="J107" s="6" t="s">
        <v>217</v>
      </c>
      <c r="K107" s="6" t="s">
        <v>753</v>
      </c>
      <c r="M107" s="6"/>
    </row>
    <row r="108" ht="15.75" customHeight="1">
      <c r="A108" s="6" t="s">
        <v>745</v>
      </c>
      <c r="B108" s="6" t="s">
        <v>756</v>
      </c>
      <c r="C108" s="6" t="s">
        <v>757</v>
      </c>
      <c r="D108" s="6" t="s">
        <v>429</v>
      </c>
      <c r="E108" s="6" t="s">
        <v>240</v>
      </c>
      <c r="F108" s="6" t="s">
        <v>241</v>
      </c>
      <c r="G108" s="6" t="s">
        <v>478</v>
      </c>
      <c r="H108" s="6" t="s">
        <v>256</v>
      </c>
      <c r="I108" s="6" t="s">
        <v>760</v>
      </c>
      <c r="J108" s="6" t="s">
        <v>761</v>
      </c>
      <c r="K108" s="6" t="s">
        <v>674</v>
      </c>
      <c r="L108" s="6" t="s">
        <v>304</v>
      </c>
      <c r="M108" s="6" t="s">
        <v>59</v>
      </c>
      <c r="N108" s="6"/>
    </row>
    <row r="109" ht="15.75" customHeight="1">
      <c r="A109" s="6" t="s">
        <v>745</v>
      </c>
      <c r="B109" s="6" t="s">
        <v>444</v>
      </c>
      <c r="C109" s="6" t="s">
        <v>764</v>
      </c>
      <c r="D109" s="6" t="s">
        <v>429</v>
      </c>
      <c r="E109" s="6" t="s">
        <v>325</v>
      </c>
      <c r="F109" s="6" t="s">
        <v>138</v>
      </c>
      <c r="G109" s="6" t="s">
        <v>449</v>
      </c>
      <c r="H109" s="6" t="s">
        <v>766</v>
      </c>
      <c r="I109" s="6" t="s">
        <v>454</v>
      </c>
      <c r="J109" s="6" t="s">
        <v>455</v>
      </c>
      <c r="K109" s="6"/>
      <c r="L109" s="6" t="s">
        <v>304</v>
      </c>
      <c r="M109" s="6" t="s">
        <v>59</v>
      </c>
      <c r="N109" s="6"/>
    </row>
    <row r="110" ht="15.75" customHeight="1">
      <c r="A110" s="6" t="s">
        <v>745</v>
      </c>
      <c r="B110" s="6" t="s">
        <v>456</v>
      </c>
      <c r="C110" s="6" t="s">
        <v>684</v>
      </c>
      <c r="D110" s="6" t="s">
        <v>429</v>
      </c>
      <c r="E110" s="6" t="s">
        <v>459</v>
      </c>
      <c r="F110" s="6" t="s">
        <v>24</v>
      </c>
      <c r="G110" s="6" t="s">
        <v>431</v>
      </c>
      <c r="H110" s="6" t="s">
        <v>156</v>
      </c>
      <c r="I110" s="6" t="s">
        <v>132</v>
      </c>
      <c r="J110" s="6" t="s">
        <v>134</v>
      </c>
      <c r="L110" s="6" t="s">
        <v>304</v>
      </c>
      <c r="M110" s="6" t="s">
        <v>373</v>
      </c>
    </row>
    <row r="111" ht="15.75" customHeight="1">
      <c r="A111" s="6" t="s">
        <v>745</v>
      </c>
      <c r="B111" s="6" t="s">
        <v>462</v>
      </c>
      <c r="C111" s="6" t="s">
        <v>770</v>
      </c>
      <c r="D111" s="6" t="s">
        <v>429</v>
      </c>
      <c r="E111" s="6" t="s">
        <v>459</v>
      </c>
      <c r="F111" s="6" t="s">
        <v>24</v>
      </c>
      <c r="G111" s="6" t="s">
        <v>431</v>
      </c>
      <c r="H111" s="6" t="s">
        <v>49</v>
      </c>
      <c r="I111" s="6" t="s">
        <v>465</v>
      </c>
      <c r="J111" s="6" t="s">
        <v>149</v>
      </c>
      <c r="K111" s="6"/>
      <c r="L111" s="6" t="s">
        <v>304</v>
      </c>
      <c r="M111" s="6" t="s">
        <v>59</v>
      </c>
      <c r="N111" s="6"/>
    </row>
    <row r="112" ht="15.75" customHeight="1">
      <c r="A112" s="6" t="s">
        <v>745</v>
      </c>
      <c r="B112" s="6" t="s">
        <v>772</v>
      </c>
      <c r="C112" s="6" t="s">
        <v>717</v>
      </c>
      <c r="D112" s="6" t="s">
        <v>429</v>
      </c>
      <c r="E112" s="6" t="s">
        <v>240</v>
      </c>
      <c r="F112" s="6" t="s">
        <v>241</v>
      </c>
      <c r="G112" s="6" t="s">
        <v>478</v>
      </c>
      <c r="H112" s="6" t="s">
        <v>766</v>
      </c>
      <c r="I112" s="6" t="s">
        <v>773</v>
      </c>
      <c r="J112" s="6"/>
      <c r="K112" s="6"/>
      <c r="L112" s="6" t="s">
        <v>304</v>
      </c>
      <c r="M112" s="6" t="s">
        <v>59</v>
      </c>
      <c r="N112" s="6"/>
    </row>
    <row r="113" ht="15.75" customHeight="1">
      <c r="A113" s="6" t="s">
        <v>745</v>
      </c>
      <c r="B113" s="6" t="s">
        <v>221</v>
      </c>
      <c r="C113" s="6" t="s">
        <v>747</v>
      </c>
      <c r="D113" s="6" t="s">
        <v>429</v>
      </c>
      <c r="E113" s="6" t="s">
        <v>224</v>
      </c>
      <c r="F113" s="6" t="s">
        <v>138</v>
      </c>
      <c r="G113" s="6" t="s">
        <v>470</v>
      </c>
      <c r="H113" s="6" t="s">
        <v>256</v>
      </c>
      <c r="I113" s="6" t="s">
        <v>472</v>
      </c>
      <c r="J113" s="6" t="s">
        <v>228</v>
      </c>
      <c r="K113" s="6" t="s">
        <v>674</v>
      </c>
      <c r="L113" s="6" t="s">
        <v>304</v>
      </c>
      <c r="M113" s="6" t="s">
        <v>59</v>
      </c>
      <c r="N113" s="6"/>
    </row>
    <row r="114" ht="15.75" customHeight="1">
      <c r="A114" s="6" t="s">
        <v>745</v>
      </c>
      <c r="B114" s="6" t="s">
        <v>481</v>
      </c>
      <c r="C114" s="6" t="s">
        <v>690</v>
      </c>
      <c r="D114" s="6" t="s">
        <v>429</v>
      </c>
      <c r="E114" s="6" t="s">
        <v>224</v>
      </c>
      <c r="F114" s="6" t="s">
        <v>138</v>
      </c>
      <c r="G114" s="6" t="s">
        <v>486</v>
      </c>
      <c r="H114" s="6" t="s">
        <v>256</v>
      </c>
      <c r="I114" s="6" t="s">
        <v>487</v>
      </c>
      <c r="J114" s="6" t="s">
        <v>489</v>
      </c>
      <c r="K114" s="6" t="s">
        <v>674</v>
      </c>
      <c r="L114" s="6" t="s">
        <v>304</v>
      </c>
      <c r="M114" s="6" t="s">
        <v>59</v>
      </c>
      <c r="N114" s="6"/>
    </row>
    <row r="115" ht="15.75" customHeight="1">
      <c r="A115" s="6" t="s">
        <v>745</v>
      </c>
      <c r="B115" s="6" t="s">
        <v>151</v>
      </c>
      <c r="C115" s="6" t="s">
        <v>770</v>
      </c>
      <c r="D115" s="6" t="s">
        <v>429</v>
      </c>
      <c r="E115" s="6" t="s">
        <v>508</v>
      </c>
      <c r="F115" s="6" t="s">
        <v>78</v>
      </c>
      <c r="G115" s="6" t="s">
        <v>431</v>
      </c>
      <c r="H115" s="6" t="s">
        <v>38</v>
      </c>
      <c r="I115" s="6" t="s">
        <v>157</v>
      </c>
      <c r="J115" s="6"/>
      <c r="K115" s="6" t="s">
        <v>674</v>
      </c>
      <c r="L115" s="6" t="s">
        <v>304</v>
      </c>
      <c r="M115" s="6" t="s">
        <v>59</v>
      </c>
      <c r="N115" s="6"/>
    </row>
    <row r="116" ht="15.75" customHeight="1">
      <c r="A116" s="6" t="s">
        <v>745</v>
      </c>
      <c r="B116" s="6" t="s">
        <v>381</v>
      </c>
      <c r="C116" s="6" t="s">
        <v>705</v>
      </c>
      <c r="D116" s="6" t="s">
        <v>429</v>
      </c>
      <c r="E116" s="6" t="s">
        <v>224</v>
      </c>
      <c r="F116" s="6" t="s">
        <v>255</v>
      </c>
      <c r="G116" s="6" t="s">
        <v>470</v>
      </c>
      <c r="H116" s="6" t="s">
        <v>306</v>
      </c>
      <c r="I116" s="6" t="s">
        <v>779</v>
      </c>
      <c r="J116" s="6" t="s">
        <v>386</v>
      </c>
      <c r="K116" s="6"/>
      <c r="L116" s="6" t="s">
        <v>304</v>
      </c>
      <c r="M116" s="6" t="s">
        <v>59</v>
      </c>
      <c r="N116" s="6"/>
    </row>
    <row r="117" ht="15.75" customHeight="1">
      <c r="A117" s="6" t="s">
        <v>745</v>
      </c>
      <c r="B117" s="6" t="s">
        <v>500</v>
      </c>
      <c r="C117" s="6" t="s">
        <v>781</v>
      </c>
      <c r="D117" s="6" t="s">
        <v>553</v>
      </c>
      <c r="E117" s="6" t="s">
        <v>325</v>
      </c>
      <c r="F117" s="6" t="s">
        <v>138</v>
      </c>
      <c r="G117" s="6" t="s">
        <v>449</v>
      </c>
      <c r="H117" s="6" t="s">
        <v>783</v>
      </c>
      <c r="I117" s="6" t="s">
        <v>504</v>
      </c>
      <c r="J117" s="6" t="s">
        <v>786</v>
      </c>
      <c r="K117" s="6" t="s">
        <v>753</v>
      </c>
      <c r="M117" s="6"/>
    </row>
    <row r="118" ht="15.75" customHeight="1">
      <c r="A118" s="6" t="s">
        <v>745</v>
      </c>
      <c r="B118" s="6" t="s">
        <v>788</v>
      </c>
      <c r="C118" s="6" t="s">
        <v>789</v>
      </c>
      <c r="D118" s="6" t="s">
        <v>429</v>
      </c>
      <c r="E118" s="6" t="s">
        <v>240</v>
      </c>
      <c r="F118" s="6" t="s">
        <v>257</v>
      </c>
      <c r="G118" s="6" t="s">
        <v>478</v>
      </c>
      <c r="H118" s="6" t="s">
        <v>396</v>
      </c>
      <c r="I118" s="6" t="s">
        <v>791</v>
      </c>
      <c r="K118" s="6" t="s">
        <v>724</v>
      </c>
      <c r="L118" s="6" t="s">
        <v>304</v>
      </c>
      <c r="M118" s="6" t="s">
        <v>373</v>
      </c>
      <c r="N118" s="6" t="s">
        <v>793</v>
      </c>
    </row>
    <row r="119" ht="15.75" customHeight="1">
      <c r="A119" s="6" t="s">
        <v>745</v>
      </c>
      <c r="B119" s="6" t="s">
        <v>732</v>
      </c>
      <c r="C119" s="6" t="s">
        <v>747</v>
      </c>
      <c r="D119" s="6" t="s">
        <v>429</v>
      </c>
      <c r="E119" s="6" t="s">
        <v>508</v>
      </c>
      <c r="F119" s="6" t="s">
        <v>24</v>
      </c>
      <c r="G119" s="6" t="s">
        <v>431</v>
      </c>
      <c r="H119" s="6" t="s">
        <v>130</v>
      </c>
      <c r="I119" s="6" t="s">
        <v>734</v>
      </c>
      <c r="J119" s="6" t="s">
        <v>736</v>
      </c>
      <c r="K119" s="6"/>
      <c r="L119" s="6" t="s">
        <v>304</v>
      </c>
      <c r="M119" s="6" t="s">
        <v>59</v>
      </c>
      <c r="N119" s="6"/>
    </row>
    <row r="120" ht="15.75" customHeight="1">
      <c r="A120" s="6" t="s">
        <v>745</v>
      </c>
      <c r="B120" s="6" t="s">
        <v>797</v>
      </c>
      <c r="C120" s="6" t="s">
        <v>799</v>
      </c>
      <c r="D120" s="6" t="s">
        <v>429</v>
      </c>
      <c r="E120" s="6" t="s">
        <v>240</v>
      </c>
      <c r="F120" s="6" t="s">
        <v>241</v>
      </c>
      <c r="G120" s="6" t="s">
        <v>478</v>
      </c>
      <c r="H120" s="6" t="s">
        <v>396</v>
      </c>
      <c r="I120" s="6" t="s">
        <v>802</v>
      </c>
      <c r="K120" s="6" t="s">
        <v>724</v>
      </c>
      <c r="L120" s="6" t="s">
        <v>304</v>
      </c>
      <c r="M120" s="6" t="s">
        <v>373</v>
      </c>
    </row>
    <row r="121" ht="15.75" customHeight="1">
      <c r="A121" s="6" t="s">
        <v>745</v>
      </c>
      <c r="B121" s="6" t="s">
        <v>507</v>
      </c>
      <c r="C121" s="6" t="s">
        <v>805</v>
      </c>
      <c r="D121" s="6" t="s">
        <v>429</v>
      </c>
      <c r="E121" s="6" t="s">
        <v>508</v>
      </c>
      <c r="F121" s="6" t="s">
        <v>24</v>
      </c>
      <c r="G121" s="6" t="s">
        <v>431</v>
      </c>
      <c r="H121" s="6" t="s">
        <v>55</v>
      </c>
      <c r="I121" s="6" t="s">
        <v>509</v>
      </c>
      <c r="J121" s="6" t="s">
        <v>657</v>
      </c>
      <c r="K121" s="6"/>
      <c r="L121" s="6" t="s">
        <v>304</v>
      </c>
      <c r="M121" s="6" t="s">
        <v>59</v>
      </c>
      <c r="N121" s="6"/>
    </row>
    <row r="122" ht="15.75" customHeight="1"/>
    <row r="123" ht="15.75" customHeight="1">
      <c r="A123" s="16" t="s">
        <v>809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ht="15.75" customHeight="1">
      <c r="A124" s="17" t="s">
        <v>419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 ht="15.75" customHeight="1">
      <c r="A125" s="18" t="s">
        <v>4</v>
      </c>
      <c r="B125" s="18" t="s">
        <v>6</v>
      </c>
      <c r="C125" s="18" t="s">
        <v>7</v>
      </c>
      <c r="D125" s="18" t="s">
        <v>8</v>
      </c>
      <c r="E125" s="18" t="s">
        <v>9</v>
      </c>
      <c r="F125" s="18" t="s">
        <v>10</v>
      </c>
      <c r="G125" s="18" t="s">
        <v>11</v>
      </c>
      <c r="H125" s="18" t="s">
        <v>12</v>
      </c>
      <c r="I125" s="18" t="s">
        <v>13</v>
      </c>
      <c r="J125" s="18" t="s">
        <v>14</v>
      </c>
      <c r="K125" s="18" t="s">
        <v>15</v>
      </c>
      <c r="L125" s="18" t="s">
        <v>16</v>
      </c>
      <c r="M125" s="18" t="s">
        <v>17</v>
      </c>
      <c r="N125" s="18" t="s">
        <v>18</v>
      </c>
    </row>
    <row r="126" ht="15.75" customHeight="1">
      <c r="A126" s="6" t="s">
        <v>818</v>
      </c>
      <c r="B126" s="6" t="s">
        <v>69</v>
      </c>
      <c r="C126" s="6" t="s">
        <v>805</v>
      </c>
      <c r="D126" s="6" t="s">
        <v>429</v>
      </c>
      <c r="E126" s="6" t="s">
        <v>524</v>
      </c>
      <c r="F126" s="6" t="s">
        <v>24</v>
      </c>
      <c r="G126" s="6" t="s">
        <v>431</v>
      </c>
      <c r="H126" s="6" t="s">
        <v>70</v>
      </c>
      <c r="I126" s="6" t="s">
        <v>527</v>
      </c>
      <c r="J126" s="6" t="s">
        <v>79</v>
      </c>
      <c r="K126" s="6" t="s">
        <v>820</v>
      </c>
      <c r="L126" s="6" t="s">
        <v>304</v>
      </c>
      <c r="M126" s="6" t="s">
        <v>59</v>
      </c>
      <c r="N126" s="6"/>
    </row>
    <row r="127" ht="15.75" customHeight="1">
      <c r="A127" s="6" t="s">
        <v>818</v>
      </c>
      <c r="B127" s="6" t="s">
        <v>532</v>
      </c>
      <c r="C127" s="6" t="s">
        <v>764</v>
      </c>
      <c r="D127" s="6" t="s">
        <v>553</v>
      </c>
      <c r="E127" s="6" t="s">
        <v>282</v>
      </c>
      <c r="F127" s="6" t="s">
        <v>255</v>
      </c>
      <c r="G127" s="6" t="s">
        <v>470</v>
      </c>
      <c r="H127" s="6" t="s">
        <v>783</v>
      </c>
      <c r="I127" s="6" t="s">
        <v>497</v>
      </c>
      <c r="J127" s="6" t="s">
        <v>536</v>
      </c>
      <c r="K127" s="6" t="s">
        <v>824</v>
      </c>
      <c r="M127" s="6"/>
    </row>
    <row r="128" ht="15.75" customHeight="1">
      <c r="A128" s="6" t="s">
        <v>818</v>
      </c>
      <c r="B128" s="6" t="s">
        <v>537</v>
      </c>
      <c r="C128" s="6" t="s">
        <v>825</v>
      </c>
      <c r="D128" s="6" t="s">
        <v>429</v>
      </c>
      <c r="E128" s="6" t="s">
        <v>541</v>
      </c>
      <c r="F128" s="6" t="s">
        <v>24</v>
      </c>
      <c r="G128" s="6" t="s">
        <v>431</v>
      </c>
      <c r="H128" s="6" t="s">
        <v>66</v>
      </c>
      <c r="I128" s="6" t="s">
        <v>543</v>
      </c>
      <c r="J128" s="6" t="s">
        <v>544</v>
      </c>
      <c r="K128" s="6"/>
      <c r="L128" s="6" t="s">
        <v>304</v>
      </c>
      <c r="M128" s="6" t="s">
        <v>59</v>
      </c>
      <c r="N128" s="6"/>
    </row>
    <row r="129" ht="15.75" customHeight="1">
      <c r="A129" s="6" t="s">
        <v>818</v>
      </c>
      <c r="B129" s="6" t="s">
        <v>456</v>
      </c>
      <c r="C129" s="6" t="s">
        <v>684</v>
      </c>
      <c r="D129" s="6" t="s">
        <v>429</v>
      </c>
      <c r="E129" s="6" t="s">
        <v>459</v>
      </c>
      <c r="F129" s="6" t="s">
        <v>24</v>
      </c>
      <c r="G129" s="6" t="s">
        <v>431</v>
      </c>
      <c r="H129" s="6" t="s">
        <v>156</v>
      </c>
      <c r="I129" s="6" t="s">
        <v>132</v>
      </c>
      <c r="J129" s="6" t="s">
        <v>134</v>
      </c>
      <c r="K129" s="6"/>
      <c r="L129" s="6" t="s">
        <v>304</v>
      </c>
      <c r="M129" s="6" t="s">
        <v>59</v>
      </c>
      <c r="N129" s="6"/>
    </row>
    <row r="130" ht="15.75" customHeight="1">
      <c r="A130" s="6" t="s">
        <v>818</v>
      </c>
      <c r="B130" s="6" t="s">
        <v>329</v>
      </c>
      <c r="C130" s="6" t="s">
        <v>690</v>
      </c>
      <c r="D130" s="6" t="s">
        <v>429</v>
      </c>
      <c r="E130" s="6" t="s">
        <v>556</v>
      </c>
      <c r="F130" s="6" t="s">
        <v>24</v>
      </c>
      <c r="G130" s="6" t="s">
        <v>431</v>
      </c>
      <c r="H130" s="6" t="s">
        <v>55</v>
      </c>
      <c r="I130" s="6" t="s">
        <v>559</v>
      </c>
      <c r="J130" s="6" t="s">
        <v>560</v>
      </c>
      <c r="K130" s="6"/>
      <c r="L130" s="6" t="s">
        <v>304</v>
      </c>
      <c r="M130" s="6" t="s">
        <v>59</v>
      </c>
      <c r="N130" s="6"/>
    </row>
    <row r="131" ht="15.75" customHeight="1">
      <c r="A131" s="6" t="s">
        <v>818</v>
      </c>
      <c r="B131" s="6" t="s">
        <v>563</v>
      </c>
      <c r="C131" s="6" t="s">
        <v>837</v>
      </c>
      <c r="D131" s="6" t="s">
        <v>429</v>
      </c>
      <c r="E131" s="6" t="s">
        <v>459</v>
      </c>
      <c r="F131" s="6" t="s">
        <v>24</v>
      </c>
      <c r="G131" s="6" t="s">
        <v>431</v>
      </c>
      <c r="H131" s="6" t="s">
        <v>38</v>
      </c>
      <c r="I131" s="6" t="s">
        <v>568</v>
      </c>
      <c r="J131" s="6" t="s">
        <v>571</v>
      </c>
      <c r="K131" s="6" t="s">
        <v>820</v>
      </c>
      <c r="L131" s="6" t="s">
        <v>304</v>
      </c>
      <c r="M131" s="6" t="s">
        <v>59</v>
      </c>
      <c r="N131" s="6"/>
    </row>
    <row r="132" ht="15.75" customHeight="1">
      <c r="A132" s="6" t="s">
        <v>818</v>
      </c>
      <c r="B132" s="6" t="s">
        <v>575</v>
      </c>
      <c r="C132" s="6" t="s">
        <v>840</v>
      </c>
      <c r="D132" s="6" t="s">
        <v>429</v>
      </c>
      <c r="E132" s="6" t="s">
        <v>556</v>
      </c>
      <c r="F132" s="6" t="s">
        <v>24</v>
      </c>
      <c r="G132" s="6" t="s">
        <v>431</v>
      </c>
      <c r="H132" s="6" t="s">
        <v>130</v>
      </c>
      <c r="I132" s="6" t="s">
        <v>583</v>
      </c>
      <c r="J132" s="6"/>
      <c r="K132" s="6"/>
      <c r="L132" s="6" t="s">
        <v>304</v>
      </c>
      <c r="M132" s="6" t="s">
        <v>59</v>
      </c>
      <c r="N132" s="6"/>
    </row>
    <row r="133" ht="15.75" customHeight="1">
      <c r="A133" s="6" t="s">
        <v>818</v>
      </c>
      <c r="B133" s="6" t="s">
        <v>842</v>
      </c>
      <c r="C133" s="6" t="s">
        <v>721</v>
      </c>
      <c r="D133" s="6" t="s">
        <v>429</v>
      </c>
      <c r="E133" s="6" t="s">
        <v>224</v>
      </c>
      <c r="F133" s="6" t="s">
        <v>597</v>
      </c>
      <c r="G133" s="6" t="s">
        <v>470</v>
      </c>
      <c r="H133" s="6" t="s">
        <v>88</v>
      </c>
      <c r="I133" s="6" t="s">
        <v>843</v>
      </c>
      <c r="J133" s="6" t="s">
        <v>844</v>
      </c>
      <c r="K133" s="6" t="s">
        <v>845</v>
      </c>
      <c r="L133" s="6" t="s">
        <v>304</v>
      </c>
      <c r="M133" s="6" t="s">
        <v>59</v>
      </c>
      <c r="N133" s="6"/>
    </row>
    <row r="134" ht="15.75" customHeight="1">
      <c r="A134" s="6" t="s">
        <v>818</v>
      </c>
      <c r="B134" s="6" t="s">
        <v>375</v>
      </c>
      <c r="C134" s="6" t="s">
        <v>705</v>
      </c>
      <c r="D134" s="6" t="s">
        <v>429</v>
      </c>
      <c r="E134" s="6" t="s">
        <v>592</v>
      </c>
      <c r="F134" s="6" t="s">
        <v>24</v>
      </c>
      <c r="G134" s="6" t="s">
        <v>431</v>
      </c>
      <c r="H134" s="6" t="s">
        <v>70</v>
      </c>
      <c r="I134" s="6" t="s">
        <v>594</v>
      </c>
      <c r="J134" s="6" t="s">
        <v>377</v>
      </c>
      <c r="K134" s="6" t="s">
        <v>820</v>
      </c>
      <c r="L134" s="6" t="s">
        <v>304</v>
      </c>
      <c r="M134" s="6" t="s">
        <v>373</v>
      </c>
    </row>
    <row r="135" ht="15.75" customHeight="1">
      <c r="A135" s="6" t="s">
        <v>818</v>
      </c>
      <c r="B135" s="6" t="s">
        <v>234</v>
      </c>
      <c r="C135" s="6" t="s">
        <v>690</v>
      </c>
      <c r="D135" s="6" t="s">
        <v>429</v>
      </c>
      <c r="E135" s="6" t="s">
        <v>524</v>
      </c>
      <c r="F135" s="6" t="s">
        <v>24</v>
      </c>
      <c r="G135" s="6" t="s">
        <v>431</v>
      </c>
      <c r="H135" s="6" t="s">
        <v>101</v>
      </c>
      <c r="I135" s="6" t="s">
        <v>602</v>
      </c>
      <c r="J135" s="6" t="s">
        <v>250</v>
      </c>
      <c r="K135" s="6" t="s">
        <v>820</v>
      </c>
      <c r="L135" s="6" t="s">
        <v>304</v>
      </c>
      <c r="M135" s="6" t="s">
        <v>59</v>
      </c>
      <c r="N135" s="6"/>
    </row>
    <row r="136" ht="15.75" customHeight="1">
      <c r="A136" s="6" t="s">
        <v>818</v>
      </c>
      <c r="B136" s="6" t="s">
        <v>407</v>
      </c>
      <c r="C136" s="6" t="s">
        <v>747</v>
      </c>
      <c r="D136" s="6" t="s">
        <v>429</v>
      </c>
      <c r="E136" s="6" t="s">
        <v>343</v>
      </c>
      <c r="F136" s="6" t="s">
        <v>138</v>
      </c>
      <c r="G136" s="6" t="s">
        <v>470</v>
      </c>
      <c r="H136" s="6" t="s">
        <v>396</v>
      </c>
      <c r="I136" s="6" t="s">
        <v>412</v>
      </c>
      <c r="J136" s="6" t="s">
        <v>852</v>
      </c>
      <c r="K136" s="6" t="s">
        <v>724</v>
      </c>
      <c r="L136" s="6" t="s">
        <v>304</v>
      </c>
      <c r="M136" s="6" t="s">
        <v>59</v>
      </c>
      <c r="N136" s="6"/>
    </row>
    <row r="137" ht="15.75" customHeight="1"/>
    <row r="138" ht="15.75" customHeight="1">
      <c r="A138" s="16" t="s">
        <v>855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ht="15.75" customHeight="1">
      <c r="A139" s="17" t="s">
        <v>419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 ht="15.75" customHeight="1">
      <c r="A140" s="18" t="s">
        <v>4</v>
      </c>
      <c r="B140" s="18" t="s">
        <v>6</v>
      </c>
      <c r="C140" s="18" t="s">
        <v>7</v>
      </c>
      <c r="D140" s="18" t="s">
        <v>8</v>
      </c>
      <c r="E140" s="18" t="s">
        <v>9</v>
      </c>
      <c r="F140" s="18" t="s">
        <v>10</v>
      </c>
      <c r="G140" s="18" t="s">
        <v>11</v>
      </c>
      <c r="H140" s="18" t="s">
        <v>12</v>
      </c>
      <c r="I140" s="18" t="s">
        <v>13</v>
      </c>
      <c r="J140" s="18" t="s">
        <v>14</v>
      </c>
      <c r="K140" s="18" t="s">
        <v>15</v>
      </c>
      <c r="L140" s="18" t="s">
        <v>16</v>
      </c>
      <c r="M140" s="18" t="s">
        <v>17</v>
      </c>
      <c r="N140" s="18" t="s">
        <v>18</v>
      </c>
    </row>
    <row r="141" ht="15.75" customHeight="1">
      <c r="A141" s="6" t="s">
        <v>863</v>
      </c>
      <c r="B141" s="6" t="s">
        <v>434</v>
      </c>
      <c r="C141" s="6" t="s">
        <v>770</v>
      </c>
      <c r="D141" s="6" t="s">
        <v>429</v>
      </c>
      <c r="E141" s="6" t="s">
        <v>438</v>
      </c>
      <c r="F141" s="6" t="s">
        <v>113</v>
      </c>
      <c r="G141" s="6" t="s">
        <v>439</v>
      </c>
      <c r="H141" s="6" t="s">
        <v>26</v>
      </c>
      <c r="I141" s="6" t="s">
        <v>440</v>
      </c>
      <c r="J141" s="6" t="s">
        <v>441</v>
      </c>
      <c r="K141" s="6"/>
      <c r="L141" s="6" t="s">
        <v>304</v>
      </c>
      <c r="M141" s="6" t="s">
        <v>59</v>
      </c>
      <c r="N141" s="6"/>
    </row>
    <row r="142" ht="15.75" customHeight="1">
      <c r="A142" s="6" t="s">
        <v>863</v>
      </c>
      <c r="B142" s="6" t="s">
        <v>456</v>
      </c>
      <c r="C142" s="6" t="s">
        <v>848</v>
      </c>
      <c r="D142" s="6" t="s">
        <v>429</v>
      </c>
      <c r="E142" s="6" t="s">
        <v>459</v>
      </c>
      <c r="F142" s="6" t="s">
        <v>24</v>
      </c>
      <c r="G142" s="6" t="s">
        <v>431</v>
      </c>
      <c r="H142" s="6" t="s">
        <v>49</v>
      </c>
      <c r="I142" s="6" t="s">
        <v>132</v>
      </c>
      <c r="J142" s="6" t="s">
        <v>134</v>
      </c>
      <c r="K142" s="6"/>
      <c r="L142" s="6" t="s">
        <v>304</v>
      </c>
      <c r="M142" s="6" t="s">
        <v>59</v>
      </c>
      <c r="N142" s="6"/>
    </row>
    <row r="143" ht="15.75" customHeight="1">
      <c r="A143" s="6" t="s">
        <v>863</v>
      </c>
      <c r="B143" s="6" t="s">
        <v>462</v>
      </c>
      <c r="C143" s="6" t="s">
        <v>870</v>
      </c>
      <c r="D143" s="6" t="s">
        <v>553</v>
      </c>
      <c r="E143" s="6" t="s">
        <v>459</v>
      </c>
      <c r="F143" s="6" t="s">
        <v>24</v>
      </c>
      <c r="G143" s="6" t="s">
        <v>431</v>
      </c>
      <c r="H143" s="6" t="s">
        <v>558</v>
      </c>
      <c r="I143" s="6" t="s">
        <v>465</v>
      </c>
      <c r="J143" s="6" t="s">
        <v>149</v>
      </c>
      <c r="K143" s="6" t="s">
        <v>824</v>
      </c>
      <c r="M143" s="6"/>
    </row>
    <row r="144" ht="15.75" customHeight="1">
      <c r="A144" s="6" t="s">
        <v>863</v>
      </c>
      <c r="B144" s="6" t="s">
        <v>351</v>
      </c>
      <c r="C144" s="6" t="s">
        <v>690</v>
      </c>
      <c r="D144" s="6" t="s">
        <v>429</v>
      </c>
      <c r="E144" s="6" t="s">
        <v>459</v>
      </c>
      <c r="F144" s="6" t="s">
        <v>78</v>
      </c>
      <c r="G144" s="6" t="s">
        <v>431</v>
      </c>
      <c r="H144" s="6" t="s">
        <v>55</v>
      </c>
      <c r="I144" s="6" t="s">
        <v>626</v>
      </c>
      <c r="J144" s="6" t="s">
        <v>362</v>
      </c>
      <c r="K144" s="6"/>
      <c r="L144" s="6" t="s">
        <v>304</v>
      </c>
      <c r="M144" s="6" t="s">
        <v>59</v>
      </c>
      <c r="N144" s="6"/>
    </row>
    <row r="145" ht="15.75" customHeight="1">
      <c r="A145" s="6" t="s">
        <v>863</v>
      </c>
      <c r="B145" s="6" t="s">
        <v>151</v>
      </c>
      <c r="C145" s="6" t="s">
        <v>770</v>
      </c>
      <c r="D145" s="6" t="s">
        <v>429</v>
      </c>
      <c r="E145" s="6" t="s">
        <v>508</v>
      </c>
      <c r="F145" s="6" t="s">
        <v>78</v>
      </c>
      <c r="G145" s="6" t="s">
        <v>431</v>
      </c>
      <c r="H145" s="6" t="s">
        <v>70</v>
      </c>
      <c r="I145" s="6" t="s">
        <v>157</v>
      </c>
      <c r="J145" s="6"/>
      <c r="K145" s="6" t="s">
        <v>820</v>
      </c>
      <c r="L145" s="6" t="s">
        <v>304</v>
      </c>
      <c r="M145" s="6" t="s">
        <v>59</v>
      </c>
      <c r="N145" s="6"/>
    </row>
    <row r="146" ht="15.75" customHeight="1">
      <c r="A146" s="6" t="s">
        <v>863</v>
      </c>
      <c r="B146" s="6" t="s">
        <v>878</v>
      </c>
      <c r="C146" s="6" t="s">
        <v>705</v>
      </c>
      <c r="D146" s="6" t="s">
        <v>429</v>
      </c>
      <c r="E146" s="6" t="s">
        <v>282</v>
      </c>
      <c r="F146" s="6" t="s">
        <v>597</v>
      </c>
      <c r="G146" s="6" t="s">
        <v>470</v>
      </c>
      <c r="H146" s="6" t="s">
        <v>88</v>
      </c>
      <c r="I146" s="6" t="s">
        <v>880</v>
      </c>
      <c r="J146" s="6"/>
      <c r="K146" s="6" t="s">
        <v>845</v>
      </c>
      <c r="L146" s="6" t="s">
        <v>304</v>
      </c>
      <c r="M146" s="6" t="s">
        <v>59</v>
      </c>
      <c r="N146" s="6"/>
    </row>
    <row r="147" ht="15.75" customHeight="1">
      <c r="A147" s="6" t="s">
        <v>863</v>
      </c>
      <c r="B147" s="6" t="s">
        <v>881</v>
      </c>
      <c r="C147" s="6" t="s">
        <v>882</v>
      </c>
      <c r="D147" s="6" t="s">
        <v>553</v>
      </c>
      <c r="E147" s="6" t="s">
        <v>240</v>
      </c>
      <c r="F147" s="6" t="s">
        <v>241</v>
      </c>
      <c r="G147" s="6" t="s">
        <v>478</v>
      </c>
      <c r="H147" s="6" t="s">
        <v>783</v>
      </c>
      <c r="I147" s="6" t="s">
        <v>884</v>
      </c>
      <c r="K147" s="6" t="s">
        <v>824</v>
      </c>
      <c r="M147" s="6"/>
    </row>
    <row r="148" ht="15.75" customHeight="1">
      <c r="A148" s="6" t="s">
        <v>863</v>
      </c>
      <c r="B148" s="6" t="s">
        <v>885</v>
      </c>
      <c r="C148" s="6" t="s">
        <v>747</v>
      </c>
      <c r="D148" s="6" t="s">
        <v>429</v>
      </c>
      <c r="E148" s="6" t="s">
        <v>224</v>
      </c>
      <c r="F148" s="6" t="s">
        <v>255</v>
      </c>
      <c r="G148" s="6" t="s">
        <v>470</v>
      </c>
      <c r="H148" s="6" t="s">
        <v>453</v>
      </c>
      <c r="I148" s="6" t="s">
        <v>886</v>
      </c>
      <c r="J148" s="6" t="s">
        <v>888</v>
      </c>
      <c r="K148" s="6"/>
      <c r="L148" s="6" t="s">
        <v>304</v>
      </c>
      <c r="M148" s="6" t="s">
        <v>59</v>
      </c>
      <c r="N148" s="6"/>
    </row>
    <row r="149" ht="15.75" customHeight="1">
      <c r="A149" s="6" t="s">
        <v>863</v>
      </c>
      <c r="B149" s="6" t="s">
        <v>641</v>
      </c>
      <c r="C149" s="6" t="s">
        <v>889</v>
      </c>
      <c r="D149" s="6" t="s">
        <v>429</v>
      </c>
      <c r="E149" s="6" t="s">
        <v>224</v>
      </c>
      <c r="F149" s="6" t="s">
        <v>138</v>
      </c>
      <c r="G149" s="6" t="s">
        <v>470</v>
      </c>
      <c r="H149" s="6" t="s">
        <v>766</v>
      </c>
      <c r="I149" s="6" t="s">
        <v>645</v>
      </c>
      <c r="J149" s="6" t="s">
        <v>646</v>
      </c>
      <c r="K149" s="6"/>
      <c r="L149" s="6" t="s">
        <v>304</v>
      </c>
      <c r="M149" s="6" t="s">
        <v>59</v>
      </c>
      <c r="N149" s="6"/>
    </row>
    <row r="150" ht="15.75" customHeight="1">
      <c r="A150" s="6" t="s">
        <v>863</v>
      </c>
      <c r="B150" s="6" t="s">
        <v>891</v>
      </c>
      <c r="C150" s="6" t="s">
        <v>892</v>
      </c>
      <c r="D150" s="6" t="s">
        <v>553</v>
      </c>
      <c r="E150" s="6" t="s">
        <v>240</v>
      </c>
      <c r="F150" s="6" t="s">
        <v>241</v>
      </c>
      <c r="G150" s="6" t="s">
        <v>478</v>
      </c>
      <c r="H150" s="6" t="s">
        <v>783</v>
      </c>
      <c r="J150" s="6" t="s">
        <v>893</v>
      </c>
      <c r="K150" s="6" t="s">
        <v>824</v>
      </c>
      <c r="M150" s="6"/>
    </row>
    <row r="151" ht="15.75" customHeight="1">
      <c r="A151" s="6" t="s">
        <v>863</v>
      </c>
      <c r="B151" s="6" t="s">
        <v>507</v>
      </c>
      <c r="C151" s="6" t="s">
        <v>805</v>
      </c>
      <c r="D151" s="6" t="s">
        <v>429</v>
      </c>
      <c r="E151" s="6" t="s">
        <v>508</v>
      </c>
      <c r="F151" s="6" t="s">
        <v>24</v>
      </c>
      <c r="G151" s="6" t="s">
        <v>431</v>
      </c>
      <c r="H151" s="6" t="s">
        <v>26</v>
      </c>
      <c r="I151" s="6" t="s">
        <v>509</v>
      </c>
      <c r="J151" s="6" t="s">
        <v>657</v>
      </c>
      <c r="K151" s="6"/>
      <c r="L151" s="6" t="s">
        <v>304</v>
      </c>
      <c r="M151" s="6" t="s">
        <v>59</v>
      </c>
      <c r="N151" s="6"/>
    </row>
    <row r="152" ht="15.75" customHeight="1"/>
    <row r="153" ht="15.75" customHeight="1">
      <c r="A153" s="16" t="s">
        <v>900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ht="15.75" customHeight="1">
      <c r="A154" s="17" t="s">
        <v>174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 ht="15.75" customHeight="1">
      <c r="A155" s="18" t="s">
        <v>4</v>
      </c>
      <c r="B155" s="18" t="s">
        <v>6</v>
      </c>
      <c r="C155" s="18" t="s">
        <v>7</v>
      </c>
      <c r="D155" s="18" t="s">
        <v>8</v>
      </c>
      <c r="E155" s="18" t="s">
        <v>9</v>
      </c>
      <c r="F155" s="18" t="s">
        <v>10</v>
      </c>
      <c r="G155" s="18" t="s">
        <v>11</v>
      </c>
      <c r="H155" s="18" t="s">
        <v>12</v>
      </c>
      <c r="I155" s="18" t="s">
        <v>13</v>
      </c>
      <c r="J155" s="18" t="s">
        <v>14</v>
      </c>
      <c r="K155" s="18" t="s">
        <v>15</v>
      </c>
      <c r="L155" s="18" t="s">
        <v>16</v>
      </c>
      <c r="M155" s="18" t="s">
        <v>17</v>
      </c>
      <c r="N155" s="18" t="s">
        <v>18</v>
      </c>
    </row>
    <row r="156" ht="15.75" customHeight="1">
      <c r="A156" s="6" t="s">
        <v>903</v>
      </c>
      <c r="B156" s="6" t="s">
        <v>185</v>
      </c>
      <c r="C156" s="6" t="s">
        <v>111</v>
      </c>
      <c r="D156" s="6" t="s">
        <v>153</v>
      </c>
      <c r="E156" s="6" t="s">
        <v>77</v>
      </c>
      <c r="F156" s="6" t="s">
        <v>24</v>
      </c>
      <c r="G156" s="6" t="s">
        <v>75</v>
      </c>
      <c r="H156" s="6" t="s">
        <v>156</v>
      </c>
      <c r="I156" s="6" t="s">
        <v>188</v>
      </c>
      <c r="J156" s="6" t="s">
        <v>905</v>
      </c>
      <c r="K156" s="6"/>
      <c r="L156" s="6" t="s">
        <v>29</v>
      </c>
      <c r="M156" s="6" t="s">
        <v>30</v>
      </c>
      <c r="N156" s="6"/>
    </row>
    <row r="157" ht="15.75" customHeight="1">
      <c r="A157" s="6" t="s">
        <v>903</v>
      </c>
      <c r="B157" s="6" t="s">
        <v>193</v>
      </c>
      <c r="C157" s="6" t="s">
        <v>21</v>
      </c>
      <c r="D157" s="6" t="s">
        <v>394</v>
      </c>
      <c r="E157" s="6" t="s">
        <v>907</v>
      </c>
      <c r="F157" s="6" t="s">
        <v>138</v>
      </c>
      <c r="G157" s="6" t="s">
        <v>198</v>
      </c>
      <c r="H157" s="6" t="s">
        <v>396</v>
      </c>
      <c r="I157" s="6" t="s">
        <v>201</v>
      </c>
      <c r="J157" s="6" t="s">
        <v>908</v>
      </c>
      <c r="K157" s="6" t="s">
        <v>724</v>
      </c>
      <c r="L157" s="6" t="s">
        <v>304</v>
      </c>
      <c r="M157" s="6" t="s">
        <v>59</v>
      </c>
      <c r="N157" s="6"/>
    </row>
    <row r="158" ht="15.75" customHeight="1">
      <c r="A158" s="6" t="s">
        <v>903</v>
      </c>
      <c r="B158" s="6" t="s">
        <v>208</v>
      </c>
      <c r="C158" s="6" t="s">
        <v>62</v>
      </c>
      <c r="D158" s="6" t="s">
        <v>299</v>
      </c>
      <c r="E158" s="6" t="s">
        <v>211</v>
      </c>
      <c r="F158" s="6" t="s">
        <v>24</v>
      </c>
      <c r="G158" s="6" t="s">
        <v>75</v>
      </c>
      <c r="H158" s="6" t="s">
        <v>156</v>
      </c>
      <c r="I158" s="6" t="s">
        <v>432</v>
      </c>
      <c r="J158" s="6" t="s">
        <v>217</v>
      </c>
      <c r="K158" s="6"/>
      <c r="L158" s="6" t="s">
        <v>304</v>
      </c>
      <c r="M158" s="6" t="s">
        <v>59</v>
      </c>
      <c r="N158" s="6"/>
    </row>
    <row r="159" ht="15.75" customHeight="1">
      <c r="A159" s="6" t="s">
        <v>903</v>
      </c>
      <c r="B159" s="6" t="s">
        <v>911</v>
      </c>
      <c r="C159" s="6" t="s">
        <v>912</v>
      </c>
      <c r="D159" s="6" t="s">
        <v>353</v>
      </c>
      <c r="E159" s="6" t="s">
        <v>73</v>
      </c>
      <c r="F159" s="6" t="s">
        <v>85</v>
      </c>
      <c r="G159" s="6" t="s">
        <v>357</v>
      </c>
      <c r="H159" s="6" t="s">
        <v>88</v>
      </c>
      <c r="I159" s="6" t="s">
        <v>916</v>
      </c>
      <c r="J159" s="6"/>
      <c r="K159" s="6" t="s">
        <v>845</v>
      </c>
      <c r="L159" s="6" t="s">
        <v>304</v>
      </c>
      <c r="M159" s="6" t="s">
        <v>59</v>
      </c>
      <c r="N159" s="6"/>
    </row>
    <row r="160" ht="15.75" customHeight="1">
      <c r="A160" s="6" t="s">
        <v>903</v>
      </c>
      <c r="B160" s="6" t="s">
        <v>911</v>
      </c>
      <c r="C160" s="6" t="s">
        <v>912</v>
      </c>
      <c r="D160" s="6" t="s">
        <v>361</v>
      </c>
      <c r="E160" s="6" t="s">
        <v>73</v>
      </c>
      <c r="F160" s="6" t="s">
        <v>24</v>
      </c>
      <c r="G160" s="6" t="s">
        <v>75</v>
      </c>
      <c r="H160" s="6" t="s">
        <v>105</v>
      </c>
      <c r="I160" s="6" t="s">
        <v>916</v>
      </c>
      <c r="J160" s="6"/>
      <c r="K160" s="6" t="s">
        <v>724</v>
      </c>
      <c r="L160" s="6" t="s">
        <v>304</v>
      </c>
      <c r="M160" s="6" t="s">
        <v>59</v>
      </c>
      <c r="N160" s="6"/>
    </row>
    <row r="161" ht="15.75" customHeight="1">
      <c r="A161" s="6" t="s">
        <v>903</v>
      </c>
      <c r="B161" s="6" t="s">
        <v>234</v>
      </c>
      <c r="C161" s="6" t="s">
        <v>235</v>
      </c>
      <c r="D161" s="6" t="s">
        <v>806</v>
      </c>
      <c r="E161" s="6" t="s">
        <v>73</v>
      </c>
      <c r="F161" s="6" t="s">
        <v>24</v>
      </c>
      <c r="G161" s="6"/>
      <c r="H161" s="6"/>
      <c r="I161" s="6" t="s">
        <v>602</v>
      </c>
      <c r="J161" s="6" t="s">
        <v>250</v>
      </c>
      <c r="K161" s="6"/>
      <c r="L161" s="6" t="s">
        <v>304</v>
      </c>
      <c r="M161" s="6" t="s">
        <v>59</v>
      </c>
      <c r="N161" s="6"/>
    </row>
    <row r="162" ht="15.75" customHeight="1">
      <c r="A162" s="6" t="s">
        <v>903</v>
      </c>
      <c r="B162" s="6" t="s">
        <v>251</v>
      </c>
      <c r="C162" s="6" t="s">
        <v>145</v>
      </c>
      <c r="D162" s="6" t="s">
        <v>628</v>
      </c>
      <c r="E162" s="6" t="s">
        <v>907</v>
      </c>
      <c r="F162" s="6" t="s">
        <v>255</v>
      </c>
      <c r="G162" s="6" t="s">
        <v>198</v>
      </c>
      <c r="H162" s="6" t="s">
        <v>453</v>
      </c>
      <c r="I162" s="6" t="s">
        <v>722</v>
      </c>
      <c r="J162" s="6" t="s">
        <v>723</v>
      </c>
      <c r="K162" s="6"/>
      <c r="L162" s="6" t="s">
        <v>304</v>
      </c>
      <c r="M162" s="6" t="s">
        <v>59</v>
      </c>
      <c r="N162" s="6"/>
    </row>
    <row r="163" ht="15.75" customHeight="1">
      <c r="A163" s="6" t="s">
        <v>903</v>
      </c>
      <c r="B163" s="6" t="s">
        <v>261</v>
      </c>
      <c r="C163" s="6" t="s">
        <v>262</v>
      </c>
      <c r="D163" s="6" t="s">
        <v>731</v>
      </c>
      <c r="E163" s="6" t="s">
        <v>211</v>
      </c>
      <c r="F163" s="6" t="s">
        <v>78</v>
      </c>
      <c r="G163" s="6" t="s">
        <v>75</v>
      </c>
      <c r="H163" s="6" t="s">
        <v>38</v>
      </c>
      <c r="I163" s="6" t="s">
        <v>265</v>
      </c>
      <c r="J163" s="6" t="s">
        <v>267</v>
      </c>
      <c r="K163" s="6" t="s">
        <v>820</v>
      </c>
      <c r="L163" s="6" t="s">
        <v>304</v>
      </c>
      <c r="M163" s="6" t="s">
        <v>59</v>
      </c>
      <c r="N163" s="6"/>
    </row>
    <row r="164" ht="15.75" customHeight="1">
      <c r="A164" s="6" t="s">
        <v>903</v>
      </c>
      <c r="B164" s="6" t="s">
        <v>269</v>
      </c>
      <c r="C164" s="6" t="s">
        <v>235</v>
      </c>
      <c r="D164" s="6" t="s">
        <v>353</v>
      </c>
      <c r="E164" s="6" t="s">
        <v>907</v>
      </c>
      <c r="F164" s="6" t="s">
        <v>138</v>
      </c>
      <c r="G164" s="6" t="s">
        <v>198</v>
      </c>
      <c r="H164" s="6" t="s">
        <v>88</v>
      </c>
      <c r="I164" s="6" t="s">
        <v>274</v>
      </c>
      <c r="J164" s="6"/>
      <c r="K164" s="6" t="s">
        <v>845</v>
      </c>
      <c r="L164" s="6" t="s">
        <v>304</v>
      </c>
      <c r="M164" s="6" t="s">
        <v>59</v>
      </c>
      <c r="N164" s="6"/>
    </row>
    <row r="165" ht="15.75" customHeight="1">
      <c r="A165" s="6" t="s">
        <v>903</v>
      </c>
      <c r="B165" s="6" t="s">
        <v>732</v>
      </c>
      <c r="C165" s="6" t="s">
        <v>50</v>
      </c>
      <c r="D165" s="6" t="s">
        <v>821</v>
      </c>
      <c r="E165" s="6" t="s">
        <v>53</v>
      </c>
      <c r="F165" s="6" t="s">
        <v>24</v>
      </c>
      <c r="G165" s="6" t="s">
        <v>75</v>
      </c>
      <c r="H165" s="6" t="s">
        <v>55</v>
      </c>
      <c r="I165" s="6" t="s">
        <v>734</v>
      </c>
      <c r="J165" s="6" t="s">
        <v>736</v>
      </c>
      <c r="K165" s="6"/>
      <c r="L165" s="6" t="s">
        <v>304</v>
      </c>
      <c r="M165" s="6" t="s">
        <v>59</v>
      </c>
      <c r="N165" s="6"/>
    </row>
    <row r="166" ht="15.75" customHeight="1"/>
    <row r="167" ht="15.75" customHeight="1">
      <c r="A167" s="16" t="s">
        <v>928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ht="15.75" customHeight="1">
      <c r="A168" s="17" t="s">
        <v>426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ht="15.75" customHeight="1">
      <c r="A169" s="18" t="s">
        <v>4</v>
      </c>
      <c r="B169" s="18" t="s">
        <v>6</v>
      </c>
      <c r="C169" s="18" t="s">
        <v>7</v>
      </c>
      <c r="D169" s="18" t="s">
        <v>8</v>
      </c>
      <c r="E169" s="18" t="s">
        <v>9</v>
      </c>
      <c r="F169" s="18" t="s">
        <v>10</v>
      </c>
      <c r="G169" s="18" t="s">
        <v>11</v>
      </c>
      <c r="H169" s="18" t="s">
        <v>12</v>
      </c>
      <c r="I169" s="18" t="s">
        <v>13</v>
      </c>
      <c r="J169" s="18" t="s">
        <v>14</v>
      </c>
      <c r="K169" s="18" t="s">
        <v>15</v>
      </c>
      <c r="L169" s="18" t="s">
        <v>16</v>
      </c>
      <c r="M169" s="18" t="s">
        <v>17</v>
      </c>
      <c r="N169" s="18" t="s">
        <v>18</v>
      </c>
    </row>
    <row r="170" ht="15.75" customHeight="1">
      <c r="A170" s="6" t="s">
        <v>935</v>
      </c>
      <c r="B170" s="6" t="s">
        <v>69</v>
      </c>
      <c r="C170" s="6" t="s">
        <v>469</v>
      </c>
      <c r="D170" s="6" t="s">
        <v>429</v>
      </c>
      <c r="E170" s="6" t="s">
        <v>524</v>
      </c>
      <c r="F170" s="6" t="s">
        <v>24</v>
      </c>
      <c r="G170" s="6" t="s">
        <v>936</v>
      </c>
      <c r="H170" s="6" t="s">
        <v>101</v>
      </c>
      <c r="I170" s="6">
        <v>5.268600005E11</v>
      </c>
      <c r="J170" s="6" t="s">
        <v>79</v>
      </c>
      <c r="K170" s="6" t="s">
        <v>937</v>
      </c>
      <c r="L170" s="6" t="s">
        <v>304</v>
      </c>
      <c r="M170" s="6" t="s">
        <v>59</v>
      </c>
      <c r="N170" s="6"/>
    </row>
    <row r="171" ht="15.75" customHeight="1">
      <c r="A171" s="6" t="s">
        <v>935</v>
      </c>
      <c r="B171" s="6" t="s">
        <v>185</v>
      </c>
      <c r="C171" s="6" t="s">
        <v>608</v>
      </c>
      <c r="D171" s="6" t="s">
        <v>30</v>
      </c>
      <c r="E171" s="6" t="s">
        <v>541</v>
      </c>
      <c r="F171" s="6" t="s">
        <v>24</v>
      </c>
      <c r="G171" s="6" t="s">
        <v>936</v>
      </c>
      <c r="H171" s="6" t="s">
        <v>49</v>
      </c>
      <c r="I171" s="6" t="s">
        <v>188</v>
      </c>
      <c r="J171" s="6" t="s">
        <v>905</v>
      </c>
      <c r="K171" s="6"/>
      <c r="L171" s="6" t="s">
        <v>304</v>
      </c>
      <c r="M171" s="6" t="s">
        <v>59</v>
      </c>
      <c r="N171" s="6"/>
    </row>
    <row r="172" ht="15.75" customHeight="1">
      <c r="A172" s="6" t="s">
        <v>935</v>
      </c>
      <c r="B172" s="6" t="s">
        <v>317</v>
      </c>
      <c r="C172" s="6" t="s">
        <v>565</v>
      </c>
      <c r="D172" s="6" t="s">
        <v>429</v>
      </c>
      <c r="E172" s="6" t="s">
        <v>430</v>
      </c>
      <c r="F172" s="6" t="s">
        <v>24</v>
      </c>
      <c r="G172" s="6" t="s">
        <v>936</v>
      </c>
      <c r="H172" s="6" t="s">
        <v>130</v>
      </c>
      <c r="I172" s="6">
        <v>5.004400261E11</v>
      </c>
      <c r="J172" s="6" t="s">
        <v>321</v>
      </c>
      <c r="K172" s="6"/>
      <c r="L172" s="6" t="s">
        <v>304</v>
      </c>
      <c r="M172" s="6" t="s">
        <v>30</v>
      </c>
      <c r="N172" s="6"/>
    </row>
    <row r="173" ht="15.75" customHeight="1">
      <c r="A173" s="6" t="s">
        <v>935</v>
      </c>
      <c r="B173" s="6" t="s">
        <v>942</v>
      </c>
      <c r="C173" s="6" t="s">
        <v>482</v>
      </c>
      <c r="D173" s="6" t="s">
        <v>429</v>
      </c>
      <c r="E173" s="6" t="s">
        <v>524</v>
      </c>
      <c r="F173" s="6" t="s">
        <v>24</v>
      </c>
      <c r="G173" s="6" t="s">
        <v>936</v>
      </c>
      <c r="H173" s="6" t="s">
        <v>105</v>
      </c>
      <c r="I173" s="6" t="s">
        <v>943</v>
      </c>
      <c r="J173" s="6" t="s">
        <v>944</v>
      </c>
      <c r="K173" s="6" t="s">
        <v>945</v>
      </c>
      <c r="L173" s="6" t="s">
        <v>304</v>
      </c>
      <c r="M173" s="6" t="s">
        <v>59</v>
      </c>
      <c r="N173" s="6"/>
    </row>
    <row r="174" ht="15.75" customHeight="1">
      <c r="A174" s="6" t="s">
        <v>935</v>
      </c>
      <c r="B174" s="6" t="s">
        <v>322</v>
      </c>
      <c r="C174" s="6" t="s">
        <v>445</v>
      </c>
      <c r="D174" s="6" t="s">
        <v>429</v>
      </c>
      <c r="E174" s="6" t="s">
        <v>325</v>
      </c>
      <c r="F174" s="6" t="s">
        <v>138</v>
      </c>
      <c r="G174" s="6" t="s">
        <v>936</v>
      </c>
      <c r="H174" s="6" t="s">
        <v>272</v>
      </c>
      <c r="I174" s="6">
        <v>2.442300568E11</v>
      </c>
      <c r="J174" s="6" t="s">
        <v>327</v>
      </c>
      <c r="K174" s="6" t="s">
        <v>937</v>
      </c>
      <c r="L174" s="6" t="s">
        <v>304</v>
      </c>
      <c r="M174" s="6" t="s">
        <v>59</v>
      </c>
      <c r="N174" s="6"/>
    </row>
    <row r="175" ht="15.75" customHeight="1">
      <c r="A175" s="6" t="s">
        <v>935</v>
      </c>
      <c r="B175" s="6" t="s">
        <v>329</v>
      </c>
      <c r="C175" s="6" t="s">
        <v>482</v>
      </c>
      <c r="D175" s="6" t="s">
        <v>429</v>
      </c>
      <c r="E175" s="6" t="s">
        <v>556</v>
      </c>
      <c r="F175" s="6" t="s">
        <v>24</v>
      </c>
      <c r="G175" s="6" t="s">
        <v>936</v>
      </c>
      <c r="H175" s="6" t="s">
        <v>26</v>
      </c>
      <c r="I175" s="6">
        <v>2.584000007E11</v>
      </c>
      <c r="J175" s="6">
        <v>1.30187901E8</v>
      </c>
      <c r="K175" s="6"/>
      <c r="L175" s="6" t="s">
        <v>304</v>
      </c>
      <c r="M175" s="6" t="s">
        <v>59</v>
      </c>
      <c r="N175" s="6"/>
    </row>
    <row r="176" ht="15.75" customHeight="1">
      <c r="A176" s="6" t="s">
        <v>935</v>
      </c>
      <c r="B176" s="6" t="s">
        <v>949</v>
      </c>
      <c r="C176" s="6" t="s">
        <v>565</v>
      </c>
      <c r="D176" s="6" t="s">
        <v>429</v>
      </c>
      <c r="E176" s="6" t="s">
        <v>282</v>
      </c>
      <c r="F176" s="6" t="s">
        <v>597</v>
      </c>
      <c r="G176" s="6" t="s">
        <v>936</v>
      </c>
      <c r="H176" s="6" t="s">
        <v>88</v>
      </c>
      <c r="I176" s="6" t="s">
        <v>950</v>
      </c>
      <c r="J176" s="6" t="s">
        <v>951</v>
      </c>
      <c r="K176" s="6" t="s">
        <v>945</v>
      </c>
      <c r="L176" s="6" t="s">
        <v>304</v>
      </c>
      <c r="M176" s="6" t="s">
        <v>59</v>
      </c>
      <c r="N176" s="6"/>
    </row>
    <row r="177" ht="15.75" customHeight="1">
      <c r="A177" s="6" t="s">
        <v>935</v>
      </c>
      <c r="B177" s="6" t="s">
        <v>339</v>
      </c>
      <c r="C177" s="6" t="s">
        <v>435</v>
      </c>
      <c r="D177" s="6" t="s">
        <v>429</v>
      </c>
      <c r="E177" s="6" t="s">
        <v>343</v>
      </c>
      <c r="F177" s="6" t="s">
        <v>138</v>
      </c>
      <c r="G177" s="6" t="s">
        <v>936</v>
      </c>
      <c r="H177" s="6" t="s">
        <v>453</v>
      </c>
      <c r="I177" s="6" t="s">
        <v>345</v>
      </c>
      <c r="J177" s="6" t="s">
        <v>953</v>
      </c>
      <c r="K177" s="6"/>
      <c r="L177" s="6" t="s">
        <v>304</v>
      </c>
      <c r="M177" s="6" t="s">
        <v>59</v>
      </c>
      <c r="N177" s="6"/>
    </row>
    <row r="178" ht="15.75" customHeight="1">
      <c r="A178" s="6" t="s">
        <v>935</v>
      </c>
      <c r="B178" s="6" t="s">
        <v>954</v>
      </c>
      <c r="C178" s="6" t="s">
        <v>576</v>
      </c>
      <c r="D178" s="6" t="s">
        <v>429</v>
      </c>
      <c r="E178" s="6" t="s">
        <v>524</v>
      </c>
      <c r="F178" s="6" t="s">
        <v>85</v>
      </c>
      <c r="G178" s="6" t="s">
        <v>936</v>
      </c>
      <c r="H178" s="6" t="s">
        <v>88</v>
      </c>
      <c r="I178" s="6" t="s">
        <v>955</v>
      </c>
      <c r="J178" s="6"/>
      <c r="K178" s="6" t="s">
        <v>945</v>
      </c>
      <c r="L178" s="6" t="s">
        <v>304</v>
      </c>
      <c r="M178" s="6" t="s">
        <v>59</v>
      </c>
      <c r="N178" s="6"/>
    </row>
    <row r="179" ht="15.75" customHeight="1">
      <c r="A179" s="6" t="s">
        <v>935</v>
      </c>
      <c r="B179" s="6" t="s">
        <v>954</v>
      </c>
      <c r="C179" s="6" t="s">
        <v>576</v>
      </c>
      <c r="D179" s="6" t="s">
        <v>429</v>
      </c>
      <c r="E179" s="6" t="s">
        <v>524</v>
      </c>
      <c r="F179" s="6" t="s">
        <v>24</v>
      </c>
      <c r="G179" s="6" t="s">
        <v>936</v>
      </c>
      <c r="H179" s="6" t="s">
        <v>105</v>
      </c>
      <c r="I179" s="6" t="s">
        <v>955</v>
      </c>
      <c r="J179" s="6" t="s">
        <v>957</v>
      </c>
      <c r="K179" s="6" t="s">
        <v>945</v>
      </c>
      <c r="L179" s="6" t="s">
        <v>304</v>
      </c>
      <c r="M179" s="6" t="s">
        <v>59</v>
      </c>
      <c r="N179" s="6"/>
    </row>
    <row r="180" ht="15.75" customHeight="1">
      <c r="A180" s="6" t="s">
        <v>935</v>
      </c>
      <c r="B180" s="6" t="s">
        <v>575</v>
      </c>
      <c r="C180" s="6" t="s">
        <v>576</v>
      </c>
      <c r="D180" s="6" t="s">
        <v>429</v>
      </c>
      <c r="E180" s="6" t="s">
        <v>556</v>
      </c>
      <c r="F180" s="6" t="s">
        <v>24</v>
      </c>
      <c r="G180" s="6" t="s">
        <v>936</v>
      </c>
      <c r="H180" s="6" t="s">
        <v>55</v>
      </c>
      <c r="I180" s="6">
        <v>2.52580042201E11</v>
      </c>
      <c r="J180" s="6"/>
      <c r="K180" s="6"/>
      <c r="L180" s="6" t="s">
        <v>304</v>
      </c>
      <c r="M180" s="6" t="s">
        <v>59</v>
      </c>
      <c r="N180" s="6"/>
    </row>
    <row r="181" ht="15.75" customHeight="1">
      <c r="A181" s="6" t="s">
        <v>935</v>
      </c>
      <c r="B181" s="6" t="s">
        <v>375</v>
      </c>
      <c r="C181" s="6" t="s">
        <v>591</v>
      </c>
      <c r="D181" s="6" t="s">
        <v>429</v>
      </c>
      <c r="E181" s="6" t="s">
        <v>592</v>
      </c>
      <c r="F181" s="6" t="s">
        <v>24</v>
      </c>
      <c r="G181" s="6" t="s">
        <v>936</v>
      </c>
      <c r="H181" s="6" t="s">
        <v>70</v>
      </c>
      <c r="I181" s="6">
        <v>1.08610089601E11</v>
      </c>
      <c r="J181" s="6" t="s">
        <v>377</v>
      </c>
      <c r="K181" s="6" t="s">
        <v>937</v>
      </c>
      <c r="L181" s="6" t="s">
        <v>304</v>
      </c>
      <c r="M181" s="6" t="s">
        <v>373</v>
      </c>
    </row>
    <row r="182" ht="15.75" customHeight="1">
      <c r="A182" s="6" t="s">
        <v>935</v>
      </c>
      <c r="B182" s="6" t="s">
        <v>381</v>
      </c>
      <c r="C182" s="6" t="s">
        <v>482</v>
      </c>
      <c r="D182" s="6" t="s">
        <v>429</v>
      </c>
      <c r="E182" s="6" t="s">
        <v>224</v>
      </c>
      <c r="F182" s="6" t="s">
        <v>255</v>
      </c>
      <c r="G182" s="6" t="s">
        <v>936</v>
      </c>
      <c r="H182" s="6" t="s">
        <v>117</v>
      </c>
      <c r="I182" s="6">
        <v>2.746100071E11</v>
      </c>
      <c r="J182" s="6" t="s">
        <v>964</v>
      </c>
      <c r="K182" s="6" t="s">
        <v>937</v>
      </c>
      <c r="L182" s="6" t="s">
        <v>304</v>
      </c>
      <c r="M182" s="6" t="s">
        <v>59</v>
      </c>
      <c r="N182" s="6"/>
    </row>
    <row r="183" ht="15.75" customHeight="1">
      <c r="A183" s="6" t="s">
        <v>935</v>
      </c>
      <c r="B183" s="6" t="s">
        <v>234</v>
      </c>
      <c r="C183" s="6" t="s">
        <v>482</v>
      </c>
      <c r="D183" s="6" t="s">
        <v>429</v>
      </c>
      <c r="E183" s="6" t="s">
        <v>524</v>
      </c>
      <c r="F183" s="6" t="s">
        <v>24</v>
      </c>
      <c r="G183" s="6" t="s">
        <v>936</v>
      </c>
      <c r="H183" s="6" t="s">
        <v>130</v>
      </c>
      <c r="I183" s="6">
        <v>2.51440062201E11</v>
      </c>
      <c r="J183" s="6" t="s">
        <v>965</v>
      </c>
      <c r="K183" s="6"/>
      <c r="L183" s="6" t="s">
        <v>304</v>
      </c>
      <c r="M183" s="6" t="s">
        <v>59</v>
      </c>
      <c r="N183" s="6"/>
    </row>
    <row r="184" ht="15.75" customHeight="1">
      <c r="A184" s="6" t="s">
        <v>935</v>
      </c>
      <c r="B184" s="6" t="s">
        <v>393</v>
      </c>
      <c r="C184" s="6" t="s">
        <v>576</v>
      </c>
      <c r="D184" s="6" t="s">
        <v>429</v>
      </c>
      <c r="E184" s="6" t="s">
        <v>224</v>
      </c>
      <c r="F184" s="6" t="s">
        <v>255</v>
      </c>
      <c r="G184" s="6" t="s">
        <v>936</v>
      </c>
      <c r="H184" s="6" t="s">
        <v>766</v>
      </c>
      <c r="I184" s="6">
        <v>2.767400263E11</v>
      </c>
      <c r="J184" s="6" t="s">
        <v>888</v>
      </c>
      <c r="K184" s="6"/>
      <c r="L184" s="6" t="s">
        <v>304</v>
      </c>
      <c r="M184" s="6" t="s">
        <v>59</v>
      </c>
      <c r="N184" s="6"/>
    </row>
    <row r="185" ht="15.75" customHeight="1">
      <c r="A185" s="6" t="s">
        <v>935</v>
      </c>
      <c r="B185" s="6" t="s">
        <v>967</v>
      </c>
      <c r="C185" s="6" t="s">
        <v>482</v>
      </c>
      <c r="D185" s="6" t="s">
        <v>429</v>
      </c>
      <c r="E185" s="6" t="s">
        <v>592</v>
      </c>
      <c r="F185" s="6" t="s">
        <v>85</v>
      </c>
      <c r="G185" s="6" t="s">
        <v>936</v>
      </c>
      <c r="H185" s="6" t="s">
        <v>88</v>
      </c>
      <c r="I185" s="6">
        <v>2.66550000101E11</v>
      </c>
      <c r="J185" s="6"/>
      <c r="K185" s="6" t="s">
        <v>945</v>
      </c>
      <c r="L185" s="6" t="s">
        <v>304</v>
      </c>
      <c r="M185" s="6" t="s">
        <v>59</v>
      </c>
      <c r="N185" s="6"/>
    </row>
    <row r="186" ht="15.75" customHeight="1">
      <c r="A186" s="6" t="s">
        <v>935</v>
      </c>
      <c r="B186" s="6" t="s">
        <v>967</v>
      </c>
      <c r="C186" s="6" t="s">
        <v>482</v>
      </c>
      <c r="D186" s="6" t="s">
        <v>429</v>
      </c>
      <c r="E186" s="6" t="s">
        <v>592</v>
      </c>
      <c r="F186" s="6" t="s">
        <v>24</v>
      </c>
      <c r="G186" s="6" t="s">
        <v>936</v>
      </c>
      <c r="H186" s="6" t="s">
        <v>105</v>
      </c>
      <c r="I186" s="6">
        <v>2.66550000101E11</v>
      </c>
      <c r="J186" s="6" t="s">
        <v>971</v>
      </c>
      <c r="K186" s="6" t="s">
        <v>945</v>
      </c>
      <c r="L186" s="6" t="s">
        <v>304</v>
      </c>
      <c r="M186" s="6" t="s">
        <v>59</v>
      </c>
      <c r="N186" s="6"/>
    </row>
    <row r="187" ht="15.75" customHeight="1">
      <c r="A187" s="6" t="s">
        <v>935</v>
      </c>
      <c r="B187" s="6" t="s">
        <v>407</v>
      </c>
      <c r="C187" s="6" t="s">
        <v>469</v>
      </c>
      <c r="D187" s="6" t="s">
        <v>429</v>
      </c>
      <c r="E187" s="6" t="s">
        <v>343</v>
      </c>
      <c r="F187" s="6" t="s">
        <v>138</v>
      </c>
      <c r="G187" s="6" t="s">
        <v>936</v>
      </c>
      <c r="H187" s="6" t="s">
        <v>453</v>
      </c>
      <c r="I187" s="6" t="s">
        <v>412</v>
      </c>
      <c r="J187" s="6" t="s">
        <v>852</v>
      </c>
      <c r="K187" s="6"/>
      <c r="L187" s="6" t="s">
        <v>304</v>
      </c>
      <c r="M187" s="6" t="s">
        <v>59</v>
      </c>
      <c r="N187" s="6"/>
    </row>
    <row r="188" ht="15.75" customHeight="1"/>
    <row r="189" ht="15.75" customHeight="1">
      <c r="A189" s="16" t="s">
        <v>975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ht="15.75" customHeight="1">
      <c r="A190" s="17" t="s">
        <v>252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 ht="15.75" customHeight="1">
      <c r="A191" s="18" t="s">
        <v>4</v>
      </c>
      <c r="B191" s="18" t="s">
        <v>6</v>
      </c>
      <c r="C191" s="18" t="s">
        <v>7</v>
      </c>
      <c r="D191" s="18" t="s">
        <v>8</v>
      </c>
      <c r="E191" s="18" t="s">
        <v>9</v>
      </c>
      <c r="F191" s="18" t="s">
        <v>10</v>
      </c>
      <c r="G191" s="18" t="s">
        <v>11</v>
      </c>
      <c r="H191" s="18" t="s">
        <v>12</v>
      </c>
      <c r="I191" s="18" t="s">
        <v>13</v>
      </c>
      <c r="J191" s="18" t="s">
        <v>14</v>
      </c>
      <c r="K191" s="18" t="s">
        <v>15</v>
      </c>
      <c r="L191" s="18" t="s">
        <v>16</v>
      </c>
      <c r="M191" s="18" t="s">
        <v>17</v>
      </c>
      <c r="N191" s="18" t="s">
        <v>18</v>
      </c>
    </row>
    <row r="192" ht="15.75" customHeight="1">
      <c r="A192" s="6" t="s">
        <v>978</v>
      </c>
      <c r="B192" s="6" t="s">
        <v>208</v>
      </c>
      <c r="C192" s="6" t="s">
        <v>428</v>
      </c>
      <c r="D192" s="6" t="s">
        <v>429</v>
      </c>
      <c r="E192" s="6" t="s">
        <v>430</v>
      </c>
      <c r="F192" s="6" t="s">
        <v>24</v>
      </c>
      <c r="G192" s="6" t="s">
        <v>936</v>
      </c>
      <c r="H192" s="6" t="s">
        <v>49</v>
      </c>
      <c r="I192" s="6">
        <v>2.767400093E11</v>
      </c>
      <c r="J192" s="6" t="s">
        <v>217</v>
      </c>
      <c r="K192" s="6"/>
      <c r="L192" s="6" t="s">
        <v>304</v>
      </c>
      <c r="M192" s="6" t="s">
        <v>59</v>
      </c>
      <c r="N192" s="6"/>
    </row>
    <row r="193" ht="15.75" customHeight="1">
      <c r="A193" s="6" t="s">
        <v>978</v>
      </c>
      <c r="B193" s="6" t="s">
        <v>434</v>
      </c>
      <c r="C193" s="6" t="s">
        <v>435</v>
      </c>
      <c r="D193" s="6" t="s">
        <v>429</v>
      </c>
      <c r="E193" s="6" t="s">
        <v>438</v>
      </c>
      <c r="F193" s="6" t="s">
        <v>113</v>
      </c>
      <c r="G193" s="6" t="s">
        <v>936</v>
      </c>
      <c r="H193" s="6" t="s">
        <v>66</v>
      </c>
      <c r="I193" s="6">
        <v>2.452300916E11</v>
      </c>
      <c r="J193" s="6" t="s">
        <v>441</v>
      </c>
      <c r="K193" s="6"/>
      <c r="L193" s="6" t="s">
        <v>304</v>
      </c>
      <c r="M193" s="6" t="s">
        <v>984</v>
      </c>
      <c r="N193" s="6"/>
    </row>
    <row r="194" ht="15.75" customHeight="1">
      <c r="A194" s="6" t="s">
        <v>978</v>
      </c>
      <c r="B194" s="6" t="s">
        <v>444</v>
      </c>
      <c r="C194" s="6" t="s">
        <v>445</v>
      </c>
      <c r="D194" s="6" t="s">
        <v>429</v>
      </c>
      <c r="E194" s="6" t="s">
        <v>325</v>
      </c>
      <c r="F194" s="6" t="s">
        <v>138</v>
      </c>
      <c r="G194" s="6" t="s">
        <v>936</v>
      </c>
      <c r="H194" s="6" t="s">
        <v>199</v>
      </c>
      <c r="I194" s="6">
        <v>2.38240111701E11</v>
      </c>
      <c r="J194" s="6" t="s">
        <v>455</v>
      </c>
      <c r="K194" s="6" t="s">
        <v>985</v>
      </c>
      <c r="L194" s="6" t="s">
        <v>304</v>
      </c>
      <c r="M194" s="20" t="s">
        <v>59</v>
      </c>
      <c r="N194" s="6"/>
    </row>
    <row r="195" ht="15.75" customHeight="1">
      <c r="A195" s="6" t="s">
        <v>978</v>
      </c>
      <c r="B195" s="6" t="s">
        <v>122</v>
      </c>
      <c r="C195" s="6" t="s">
        <v>457</v>
      </c>
      <c r="D195" s="6" t="s">
        <v>429</v>
      </c>
      <c r="E195" s="6" t="s">
        <v>459</v>
      </c>
      <c r="F195" s="6" t="s">
        <v>24</v>
      </c>
      <c r="G195" s="6" t="s">
        <v>936</v>
      </c>
      <c r="H195" s="6" t="s">
        <v>38</v>
      </c>
      <c r="I195" s="6" t="s">
        <v>132</v>
      </c>
      <c r="J195" s="6" t="s">
        <v>134</v>
      </c>
      <c r="K195" s="6" t="s">
        <v>985</v>
      </c>
      <c r="L195" s="6" t="s">
        <v>304</v>
      </c>
      <c r="M195" s="6" t="s">
        <v>59</v>
      </c>
      <c r="N195" s="6"/>
    </row>
    <row r="196" ht="15.75" customHeight="1">
      <c r="A196" s="6" t="s">
        <v>978</v>
      </c>
      <c r="B196" s="6" t="s">
        <v>139</v>
      </c>
      <c r="C196" s="6" t="s">
        <v>435</v>
      </c>
      <c r="D196" s="6" t="s">
        <v>429</v>
      </c>
      <c r="E196" s="6" t="s">
        <v>459</v>
      </c>
      <c r="F196" s="6" t="s">
        <v>24</v>
      </c>
      <c r="G196" s="6" t="s">
        <v>936</v>
      </c>
      <c r="H196" s="6" t="s">
        <v>38</v>
      </c>
      <c r="I196" s="6">
        <v>2.920800087E11</v>
      </c>
      <c r="J196" s="6" t="s">
        <v>149</v>
      </c>
      <c r="K196" s="6" t="s">
        <v>985</v>
      </c>
      <c r="L196" s="6" t="s">
        <v>304</v>
      </c>
      <c r="M196" s="6" t="s">
        <v>373</v>
      </c>
    </row>
    <row r="197" ht="15.75" customHeight="1">
      <c r="A197" s="6" t="s">
        <v>978</v>
      </c>
      <c r="B197" s="6" t="s">
        <v>221</v>
      </c>
      <c r="C197" s="6" t="s">
        <v>469</v>
      </c>
      <c r="D197" s="6" t="s">
        <v>429</v>
      </c>
      <c r="E197" s="6" t="s">
        <v>224</v>
      </c>
      <c r="F197" s="6" t="s">
        <v>138</v>
      </c>
      <c r="G197" s="6" t="s">
        <v>936</v>
      </c>
      <c r="H197" s="6" t="s">
        <v>807</v>
      </c>
      <c r="I197" s="6">
        <v>2.77560002803E11</v>
      </c>
      <c r="J197" s="6" t="s">
        <v>228</v>
      </c>
      <c r="K197" s="6"/>
      <c r="L197" s="6" t="s">
        <v>304</v>
      </c>
      <c r="M197" s="20" t="s">
        <v>59</v>
      </c>
      <c r="N197" s="6"/>
    </row>
    <row r="198" ht="15.75" customHeight="1">
      <c r="A198" s="6" t="s">
        <v>978</v>
      </c>
      <c r="B198" s="6" t="s">
        <v>481</v>
      </c>
      <c r="C198" s="6" t="s">
        <v>482</v>
      </c>
      <c r="D198" s="6" t="s">
        <v>429</v>
      </c>
      <c r="E198" s="6" t="s">
        <v>224</v>
      </c>
      <c r="F198" s="6" t="s">
        <v>138</v>
      </c>
      <c r="G198" s="6" t="s">
        <v>936</v>
      </c>
      <c r="H198" s="6" t="s">
        <v>396</v>
      </c>
      <c r="I198" s="6" t="s">
        <v>487</v>
      </c>
      <c r="J198" s="6" t="s">
        <v>987</v>
      </c>
      <c r="K198" s="6" t="s">
        <v>988</v>
      </c>
      <c r="L198" s="6" t="s">
        <v>304</v>
      </c>
      <c r="M198" s="20" t="s">
        <v>59</v>
      </c>
      <c r="N198" s="6"/>
    </row>
    <row r="199" ht="15.75" customHeight="1">
      <c r="A199" s="6" t="s">
        <v>978</v>
      </c>
      <c r="B199" s="6" t="s">
        <v>151</v>
      </c>
      <c r="C199" s="6" t="s">
        <v>435</v>
      </c>
      <c r="D199" s="6" t="s">
        <v>429</v>
      </c>
      <c r="E199" s="6" t="s">
        <v>508</v>
      </c>
      <c r="F199" s="6" t="s">
        <v>78</v>
      </c>
      <c r="G199" s="6" t="s">
        <v>936</v>
      </c>
      <c r="H199" s="6" t="s">
        <v>101</v>
      </c>
      <c r="I199" s="6" t="s">
        <v>157</v>
      </c>
      <c r="J199" s="6"/>
      <c r="K199" s="6" t="s">
        <v>985</v>
      </c>
      <c r="L199" s="6" t="s">
        <v>304</v>
      </c>
      <c r="M199" s="6" t="s">
        <v>59</v>
      </c>
      <c r="N199" s="6"/>
    </row>
    <row r="200" ht="15.75" customHeight="1">
      <c r="A200" s="6" t="s">
        <v>978</v>
      </c>
      <c r="B200" s="6" t="s">
        <v>989</v>
      </c>
      <c r="C200" s="6" t="s">
        <v>979</v>
      </c>
      <c r="D200" s="6" t="s">
        <v>429</v>
      </c>
      <c r="E200" s="6" t="s">
        <v>240</v>
      </c>
      <c r="F200" s="6" t="s">
        <v>241</v>
      </c>
      <c r="G200" s="6" t="s">
        <v>936</v>
      </c>
      <c r="H200" s="6" t="s">
        <v>554</v>
      </c>
      <c r="I200" s="6">
        <v>5.295500234E11</v>
      </c>
      <c r="J200" s="6" t="s">
        <v>990</v>
      </c>
      <c r="K200" s="6" t="s">
        <v>985</v>
      </c>
      <c r="L200" s="6" t="s">
        <v>304</v>
      </c>
      <c r="M200" s="20" t="s">
        <v>59</v>
      </c>
      <c r="N200" s="6"/>
    </row>
    <row r="201" ht="15.75" customHeight="1">
      <c r="A201" s="6" t="s">
        <v>978</v>
      </c>
      <c r="B201" s="6" t="s">
        <v>992</v>
      </c>
      <c r="C201" s="6" t="s">
        <v>476</v>
      </c>
      <c r="D201" s="6" t="s">
        <v>429</v>
      </c>
      <c r="E201" s="6" t="s">
        <v>240</v>
      </c>
      <c r="F201" s="6" t="s">
        <v>241</v>
      </c>
      <c r="G201" s="6" t="s">
        <v>936</v>
      </c>
      <c r="H201" s="6" t="s">
        <v>199</v>
      </c>
      <c r="I201" s="6"/>
      <c r="J201" s="6"/>
      <c r="K201" s="6" t="s">
        <v>985</v>
      </c>
      <c r="L201" s="6" t="s">
        <v>304</v>
      </c>
      <c r="M201" s="6" t="s">
        <v>59</v>
      </c>
      <c r="N201" s="6"/>
    </row>
    <row r="202" ht="15.75" customHeight="1">
      <c r="A202" s="6" t="s">
        <v>978</v>
      </c>
      <c r="B202" s="6" t="s">
        <v>500</v>
      </c>
      <c r="C202" s="6" t="s">
        <v>501</v>
      </c>
      <c r="D202" s="6" t="s">
        <v>553</v>
      </c>
      <c r="E202" s="6" t="s">
        <v>325</v>
      </c>
      <c r="F202" s="6" t="s">
        <v>138</v>
      </c>
      <c r="G202" s="6" t="s">
        <v>936</v>
      </c>
      <c r="H202" s="6" t="s">
        <v>783</v>
      </c>
      <c r="I202" s="6" t="s">
        <v>504</v>
      </c>
      <c r="J202" s="6" t="s">
        <v>786</v>
      </c>
      <c r="K202" s="6"/>
      <c r="L202" s="6" t="s">
        <v>995</v>
      </c>
      <c r="M202" s="6" t="s">
        <v>59</v>
      </c>
      <c r="N202" s="6"/>
    </row>
    <row r="203" ht="15.75" customHeight="1">
      <c r="A203" s="6" t="s">
        <v>978</v>
      </c>
      <c r="B203" s="6" t="s">
        <v>788</v>
      </c>
      <c r="C203" s="6" t="s">
        <v>973</v>
      </c>
      <c r="D203" s="6" t="s">
        <v>429</v>
      </c>
      <c r="E203" s="6" t="s">
        <v>240</v>
      </c>
      <c r="F203" s="6" t="s">
        <v>257</v>
      </c>
      <c r="G203" s="6" t="s">
        <v>936</v>
      </c>
      <c r="H203" s="6" t="s">
        <v>396</v>
      </c>
      <c r="I203" s="6">
        <v>5.305600047E11</v>
      </c>
      <c r="J203" s="6"/>
      <c r="K203" s="6" t="s">
        <v>988</v>
      </c>
      <c r="L203" s="6" t="s">
        <v>304</v>
      </c>
      <c r="M203" s="6" t="s">
        <v>59</v>
      </c>
      <c r="N203" s="6" t="s">
        <v>793</v>
      </c>
    </row>
    <row r="204" ht="15.75" customHeight="1">
      <c r="A204" s="6" t="s">
        <v>978</v>
      </c>
      <c r="B204" s="6" t="s">
        <v>161</v>
      </c>
      <c r="C204" s="6" t="s">
        <v>469</v>
      </c>
      <c r="D204" s="6" t="s">
        <v>429</v>
      </c>
      <c r="E204" s="6" t="s">
        <v>508</v>
      </c>
      <c r="F204" s="6" t="s">
        <v>24</v>
      </c>
      <c r="G204" s="6" t="s">
        <v>936</v>
      </c>
      <c r="H204" s="6" t="s">
        <v>66</v>
      </c>
      <c r="I204" s="6">
        <v>2.147701243E11</v>
      </c>
      <c r="J204" s="6" t="s">
        <v>657</v>
      </c>
      <c r="K204" s="6"/>
      <c r="L204" s="6" t="s">
        <v>304</v>
      </c>
      <c r="M204" s="20" t="s">
        <v>59</v>
      </c>
      <c r="N204" s="6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N1"/>
    <mergeCell ref="A3:N3"/>
    <mergeCell ref="A4:N4"/>
    <mergeCell ref="A13:N13"/>
    <mergeCell ref="A14:N14"/>
    <mergeCell ref="A27:N27"/>
    <mergeCell ref="A28:N28"/>
  </mergeCells>
  <conditionalFormatting sqref="A6:N11">
    <cfRule type="expression" dxfId="0" priority="1">
      <formula>OR(ISNUMBER(SEARCH("Finalizado",$D6)),$M6="Finalizado",$M6="Validado")</formula>
    </cfRule>
  </conditionalFormatting>
  <conditionalFormatting sqref="A6:N11">
    <cfRule type="expression" dxfId="1" priority="2">
      <formula>AND(NOT(ISNUMBER(SEARCH("Finalizado",$D6))),$M6="Pendente",NOT(ISNUMBER(SEARCH("Falta Justificada",$D6))))</formula>
    </cfRule>
  </conditionalFormatting>
  <conditionalFormatting sqref="K6:K11">
    <cfRule type="expression" dxfId="2" priority="3">
      <formula>OR(ISNUMBER(SEARCH("1ª SESSÃO",K6)),ISNUMBER(SEARCH("ALERTA FINAL",K6)),ISNUMBER(SEARCH("MEDSÊNIOR",K6)))</formula>
    </cfRule>
  </conditionalFormatting>
  <conditionalFormatting sqref="A16:N25">
    <cfRule type="expression" dxfId="0" priority="4">
      <formula>OR(ISNUMBER(SEARCH("Finalizado",$D16)),$M16="Finalizado",$M16="Validado")</formula>
    </cfRule>
  </conditionalFormatting>
  <conditionalFormatting sqref="A16:N25">
    <cfRule type="expression" dxfId="1" priority="5">
      <formula>AND(NOT(ISNUMBER(SEARCH("Finalizado",$D16))),$M16="Pendente",NOT(ISNUMBER(SEARCH("Falta Justificada",$D16))))</formula>
    </cfRule>
  </conditionalFormatting>
  <conditionalFormatting sqref="K16:K25">
    <cfRule type="expression" dxfId="2" priority="6">
      <formula>OR(ISNUMBER(SEARCH("1ª SESSÃO",K16)),ISNUMBER(SEARCH("ALERTA FINAL",K16)),ISNUMBER(SEARCH("MEDSÊNIOR",K16)))</formula>
    </cfRule>
  </conditionalFormatting>
  <conditionalFormatting sqref="A30:N45">
    <cfRule type="expression" dxfId="0" priority="7">
      <formula>OR(ISNUMBER(SEARCH("Finalizado",$D30)),$M30="Finalizado",$M30="Validado")</formula>
    </cfRule>
  </conditionalFormatting>
  <conditionalFormatting sqref="A30:N45">
    <cfRule type="expression" dxfId="1" priority="8">
      <formula>AND(NOT(ISNUMBER(SEARCH("Finalizado",$D30))),$M30="Pendente",NOT(ISNUMBER(SEARCH("Falta Justificada",$D30))))</formula>
    </cfRule>
  </conditionalFormatting>
  <conditionalFormatting sqref="K30:K45">
    <cfRule type="expression" dxfId="2" priority="9">
      <formula>OR(ISNUMBER(SEARCH("1ª SESSÃO",K30)),ISNUMBER(SEARCH("ALERTA FINAL",K30)),ISNUMBER(SEARCH("MEDSÊNIOR",K30)))</formula>
    </cfRule>
  </conditionalFormatting>
  <conditionalFormatting sqref="A50:N50">
    <cfRule type="expression" dxfId="3" priority="10">
      <formula>OR($M50="Finalizado",$M50="Validado",$D50="Finalizado")</formula>
    </cfRule>
  </conditionalFormatting>
  <conditionalFormatting sqref="A50:N50">
    <cfRule type="expression" dxfId="4" priority="11">
      <formula>AND($M50="Pendente",$D50&lt;&gt;"Finalizado")</formula>
    </cfRule>
  </conditionalFormatting>
  <conditionalFormatting sqref="A51:N51">
    <cfRule type="expression" dxfId="3" priority="12">
      <formula>OR($M51="Finalizado",$M51="Validado",$D51="Finalizado")</formula>
    </cfRule>
  </conditionalFormatting>
  <conditionalFormatting sqref="A51:N51">
    <cfRule type="expression" dxfId="4" priority="13">
      <formula>AND($M51="Pendente",$D51&lt;&gt;"Finalizado")</formula>
    </cfRule>
  </conditionalFormatting>
  <conditionalFormatting sqref="A52:N52">
    <cfRule type="expression" dxfId="3" priority="14">
      <formula>OR($M52="Finalizado",$M52="Validado",$D52="Finalizado")</formula>
    </cfRule>
  </conditionalFormatting>
  <conditionalFormatting sqref="A52:N52">
    <cfRule type="expression" dxfId="4" priority="15">
      <formula>AND($M52="Pendente",$D52&lt;&gt;"Finalizado")</formula>
    </cfRule>
  </conditionalFormatting>
  <conditionalFormatting sqref="A53:N53">
    <cfRule type="expression" dxfId="3" priority="16">
      <formula>OR($M53="Finalizado",$M53="Validado",$D53="Finalizado")</formula>
    </cfRule>
  </conditionalFormatting>
  <conditionalFormatting sqref="A53:N53">
    <cfRule type="expression" dxfId="4" priority="17">
      <formula>AND($M53="Pendente",$D53&lt;&gt;"Finalizado")</formula>
    </cfRule>
  </conditionalFormatting>
  <conditionalFormatting sqref="A54:N54">
    <cfRule type="expression" dxfId="3" priority="18">
      <formula>OR($M54="Finalizado",$M54="Validado",$D54="Finalizado")</formula>
    </cfRule>
  </conditionalFormatting>
  <conditionalFormatting sqref="A54:N54">
    <cfRule type="expression" dxfId="4" priority="19">
      <formula>AND($M54="Pendente",$D54&lt;&gt;"Finalizado")</formula>
    </cfRule>
  </conditionalFormatting>
  <conditionalFormatting sqref="A55:N55">
    <cfRule type="expression" dxfId="3" priority="20">
      <formula>OR($M55="Finalizado",$M55="Validado",$D55="Finalizado")</formula>
    </cfRule>
  </conditionalFormatting>
  <conditionalFormatting sqref="A55:N55">
    <cfRule type="expression" dxfId="4" priority="21">
      <formula>AND($M55="Pendente",$D55&lt;&gt;"Finalizado")</formula>
    </cfRule>
  </conditionalFormatting>
  <conditionalFormatting sqref="A56:N56">
    <cfRule type="expression" dxfId="3" priority="22">
      <formula>OR($M56="Finalizado",$M56="Validado",$D56="Finalizado")</formula>
    </cfRule>
  </conditionalFormatting>
  <conditionalFormatting sqref="A56:N56">
    <cfRule type="expression" dxfId="4" priority="23">
      <formula>AND($M56="Pendente",$D56&lt;&gt;"Finalizado")</formula>
    </cfRule>
  </conditionalFormatting>
  <conditionalFormatting sqref="A57:N57">
    <cfRule type="expression" dxfId="3" priority="24">
      <formula>OR($M57="Finalizado",$M57="Validado",$D57="Finalizado")</formula>
    </cfRule>
  </conditionalFormatting>
  <conditionalFormatting sqref="A57:N57">
    <cfRule type="expression" dxfId="4" priority="25">
      <formula>AND($M57="Pendente",$D57&lt;&gt;"Finalizado")</formula>
    </cfRule>
  </conditionalFormatting>
  <conditionalFormatting sqref="A58:N58">
    <cfRule type="expression" dxfId="3" priority="26">
      <formula>OR($M58="Finalizado",$M58="Validado",$D58="Finalizado")</formula>
    </cfRule>
  </conditionalFormatting>
  <conditionalFormatting sqref="A58:N58">
    <cfRule type="expression" dxfId="4" priority="27">
      <formula>AND($M58="Pendente",$D58&lt;&gt;"Finalizado")</formula>
    </cfRule>
  </conditionalFormatting>
  <conditionalFormatting sqref="A59:N59">
    <cfRule type="expression" dxfId="3" priority="28">
      <formula>OR($M59="Finalizado",$M59="Validado",$D59="Finalizado")</formula>
    </cfRule>
  </conditionalFormatting>
  <conditionalFormatting sqref="A59:N59">
    <cfRule type="expression" dxfId="4" priority="29">
      <formula>AND($M59="Pendente",$D59&lt;&gt;"Finalizado")</formula>
    </cfRule>
  </conditionalFormatting>
  <conditionalFormatting sqref="A60:N60">
    <cfRule type="expression" dxfId="3" priority="30">
      <formula>OR($M60="Finalizado",$M60="Validado",$D60="Finalizado")</formula>
    </cfRule>
  </conditionalFormatting>
  <conditionalFormatting sqref="A60:N60">
    <cfRule type="expression" dxfId="4" priority="31">
      <formula>AND($M60="Pendente",$D60&lt;&gt;"Finalizado")</formula>
    </cfRule>
  </conditionalFormatting>
  <conditionalFormatting sqref="A65:N65">
    <cfRule type="expression" dxfId="3" priority="32">
      <formula>OR($M65="Finalizado",$M65="Validado",$D65="Finalizado")</formula>
    </cfRule>
  </conditionalFormatting>
  <conditionalFormatting sqref="A65:N65">
    <cfRule type="expression" dxfId="4" priority="33">
      <formula>AND($M65="Pendente",$D65&lt;&gt;"Finalizado")</formula>
    </cfRule>
  </conditionalFormatting>
  <conditionalFormatting sqref="A66:N66">
    <cfRule type="expression" dxfId="3" priority="34">
      <formula>OR($M66="Finalizado",$M66="Validado",$D66="Finalizado")</formula>
    </cfRule>
  </conditionalFormatting>
  <conditionalFormatting sqref="A66:N66">
    <cfRule type="expression" dxfId="4" priority="35">
      <formula>AND($M66="Pendente",$D66&lt;&gt;"Finalizado")</formula>
    </cfRule>
  </conditionalFormatting>
  <conditionalFormatting sqref="A67:N67">
    <cfRule type="expression" dxfId="3" priority="36">
      <formula>OR($M67="Finalizado",$M67="Validado",$D67="Finalizado")</formula>
    </cfRule>
  </conditionalFormatting>
  <conditionalFormatting sqref="A67:N67">
    <cfRule type="expression" dxfId="4" priority="37">
      <formula>AND($M67="Pendente",$D67&lt;&gt;"Finalizado")</formula>
    </cfRule>
  </conditionalFormatting>
  <conditionalFormatting sqref="A68:N68">
    <cfRule type="expression" dxfId="3" priority="38">
      <formula>OR($M68="Finalizado",$M68="Validado",$D68="Finalizado")</formula>
    </cfRule>
  </conditionalFormatting>
  <conditionalFormatting sqref="A68:N68">
    <cfRule type="expression" dxfId="4" priority="39">
      <formula>AND($M68="Pendente",$D68&lt;&gt;"Finalizado")</formula>
    </cfRule>
  </conditionalFormatting>
  <conditionalFormatting sqref="A69:N69">
    <cfRule type="expression" dxfId="3" priority="40">
      <formula>OR($M69="Finalizado",$M69="Validado",$D69="Finalizado")</formula>
    </cfRule>
  </conditionalFormatting>
  <conditionalFormatting sqref="A69:N69">
    <cfRule type="expression" dxfId="4" priority="41">
      <formula>AND($M69="Pendente",$D69&lt;&gt;"Finalizado")</formula>
    </cfRule>
  </conditionalFormatting>
  <conditionalFormatting sqref="A70:N70">
    <cfRule type="expression" dxfId="3" priority="42">
      <formula>OR($M70="Finalizado",$M70="Validado",$D70="Finalizado")</formula>
    </cfRule>
  </conditionalFormatting>
  <conditionalFormatting sqref="A70:N70">
    <cfRule type="expression" dxfId="4" priority="43">
      <formula>AND($M70="Pendente",$D70&lt;&gt;"Finalizado")</formula>
    </cfRule>
  </conditionalFormatting>
  <conditionalFormatting sqref="A71:N71">
    <cfRule type="expression" dxfId="3" priority="44">
      <formula>OR($M71="Finalizado",$M71="Validado",$D71="Finalizado")</formula>
    </cfRule>
  </conditionalFormatting>
  <conditionalFormatting sqref="A71:N71">
    <cfRule type="expression" dxfId="4" priority="45">
      <formula>AND($M71="Pendente",$D71&lt;&gt;"Finalizado")</formula>
    </cfRule>
  </conditionalFormatting>
  <conditionalFormatting sqref="A72:N72">
    <cfRule type="expression" dxfId="3" priority="46">
      <formula>OR($M72="Finalizado",$M72="Validado",$D72="Finalizado")</formula>
    </cfRule>
  </conditionalFormatting>
  <conditionalFormatting sqref="A72:N72">
    <cfRule type="expression" dxfId="4" priority="47">
      <formula>AND($M72="Pendente",$D72&lt;&gt;"Finalizado")</formula>
    </cfRule>
  </conditionalFormatting>
  <conditionalFormatting sqref="A73:N73">
    <cfRule type="expression" dxfId="3" priority="48">
      <formula>OR($M73="Finalizado",$M73="Validado",$D73="Finalizado")</formula>
    </cfRule>
  </conditionalFormatting>
  <conditionalFormatting sqref="A73:N73">
    <cfRule type="expression" dxfId="4" priority="49">
      <formula>AND($M73="Pendente",$D73&lt;&gt;"Finalizado")</formula>
    </cfRule>
  </conditionalFormatting>
  <conditionalFormatting sqref="A74:N74">
    <cfRule type="expression" dxfId="3" priority="50">
      <formula>OR($M74="Finalizado",$M74="Validado",$D74="Finalizado")</formula>
    </cfRule>
  </conditionalFormatting>
  <conditionalFormatting sqref="A74:N74">
    <cfRule type="expression" dxfId="4" priority="51">
      <formula>AND($M74="Pendente",$D74&lt;&gt;"Finalizado")</formula>
    </cfRule>
  </conditionalFormatting>
  <conditionalFormatting sqref="A79:N79">
    <cfRule type="expression" dxfId="3" priority="52">
      <formula>OR($M79="Finalizado",$M79="Validado",LEFT($D79,10)="Finalizado")</formula>
    </cfRule>
  </conditionalFormatting>
  <conditionalFormatting sqref="A79:N79">
    <cfRule type="expression" dxfId="4" priority="53">
      <formula>AND($M79="Pendente",LEFT($D79,10)&lt;&gt;"Finalizado")</formula>
    </cfRule>
  </conditionalFormatting>
  <conditionalFormatting sqref="A80:N80">
    <cfRule type="expression" dxfId="3" priority="54">
      <formula>OR($M80="Finalizado",$M80="Validado",LEFT($D80,10)="Finalizado")</formula>
    </cfRule>
  </conditionalFormatting>
  <conditionalFormatting sqref="A80:N80">
    <cfRule type="expression" dxfId="4" priority="55">
      <formula>AND($M80="Pendente",LEFT($D80,10)&lt;&gt;"Finalizado")</formula>
    </cfRule>
  </conditionalFormatting>
  <conditionalFormatting sqref="A81:N81">
    <cfRule type="expression" dxfId="3" priority="56">
      <formula>OR($M81="Finalizado",$M81="Validado",LEFT($D81,10)="Finalizado")</formula>
    </cfRule>
  </conditionalFormatting>
  <conditionalFormatting sqref="A81:N81">
    <cfRule type="expression" dxfId="4" priority="57">
      <formula>AND($M81="Pendente",LEFT($D81,10)&lt;&gt;"Finalizado")</formula>
    </cfRule>
  </conditionalFormatting>
  <conditionalFormatting sqref="A82:N82">
    <cfRule type="expression" dxfId="3" priority="58">
      <formula>OR($M82="Finalizado",$M82="Validado",LEFT($D82,10)="Finalizado")</formula>
    </cfRule>
  </conditionalFormatting>
  <conditionalFormatting sqref="A82:N82">
    <cfRule type="expression" dxfId="4" priority="59">
      <formula>AND($M82="Pendente",LEFT($D82,10)&lt;&gt;"Finalizado")</formula>
    </cfRule>
  </conditionalFormatting>
  <conditionalFormatting sqref="A83:N83">
    <cfRule type="expression" dxfId="3" priority="60">
      <formula>OR($M83="Finalizado",$M83="Validado",LEFT($D83,10)="Finalizado")</formula>
    </cfRule>
  </conditionalFormatting>
  <conditionalFormatting sqref="A83:N83">
    <cfRule type="expression" dxfId="4" priority="61">
      <formula>AND($M83="Pendente",LEFT($D83,10)&lt;&gt;"Finalizado")</formula>
    </cfRule>
  </conditionalFormatting>
  <conditionalFormatting sqref="A84:N84">
    <cfRule type="expression" dxfId="3" priority="62">
      <formula>OR($M84="Finalizado",$M84="Validado",LEFT($D84,10)="Finalizado")</formula>
    </cfRule>
  </conditionalFormatting>
  <conditionalFormatting sqref="A84:N84">
    <cfRule type="expression" dxfId="4" priority="63">
      <formula>AND($M84="Pendente",LEFT($D84,10)&lt;&gt;"Finalizado")</formula>
    </cfRule>
  </conditionalFormatting>
  <conditionalFormatting sqref="A85:N85">
    <cfRule type="expression" dxfId="3" priority="64">
      <formula>OR($M85="Finalizado",$M85="Validado",LEFT($D85,10)="Finalizado")</formula>
    </cfRule>
  </conditionalFormatting>
  <conditionalFormatting sqref="A85:N85">
    <cfRule type="expression" dxfId="4" priority="65">
      <formula>AND($M85="Pendente",LEFT($D85,10)&lt;&gt;"Finalizado")</formula>
    </cfRule>
  </conditionalFormatting>
  <conditionalFormatting sqref="A86:N86">
    <cfRule type="expression" dxfId="3" priority="66">
      <formula>OR($M86="Finalizado",$M86="Validado",LEFT($D86,10)="Finalizado")</formula>
    </cfRule>
  </conditionalFormatting>
  <conditionalFormatting sqref="A86:N86">
    <cfRule type="expression" dxfId="4" priority="67">
      <formula>AND($M86="Pendente",LEFT($D86,10)&lt;&gt;"Finalizado")</formula>
    </cfRule>
  </conditionalFormatting>
  <conditionalFormatting sqref="A91:N91">
    <cfRule type="expression" dxfId="3" priority="68">
      <formula>OR($M91="Validado",$M91="Finalizado",LEFT($D91,10)="Finalizado")</formula>
    </cfRule>
  </conditionalFormatting>
  <conditionalFormatting sqref="A91:N91">
    <cfRule type="expression" dxfId="4" priority="69">
      <formula>AND($M91="Pendente",LEFT($D91,10)&lt;&gt;"Finalizado")</formula>
    </cfRule>
  </conditionalFormatting>
  <conditionalFormatting sqref="A92:N92">
    <cfRule type="expression" dxfId="3" priority="70">
      <formula>OR($M92="Validado",$M92="Finalizado",LEFT($D92,10)="Finalizado")</formula>
    </cfRule>
  </conditionalFormatting>
  <conditionalFormatting sqref="A92:N92">
    <cfRule type="expression" dxfId="4" priority="71">
      <formula>AND($M92="Pendente",LEFT($D92,10)&lt;&gt;"Finalizado")</formula>
    </cfRule>
  </conditionalFormatting>
  <conditionalFormatting sqref="A93:N93">
    <cfRule type="expression" dxfId="3" priority="72">
      <formula>OR($M93="Validado",$M93="Finalizado",LEFT($D93,10)="Finalizado")</formula>
    </cfRule>
  </conditionalFormatting>
  <conditionalFormatting sqref="A93:N93">
    <cfRule type="expression" dxfId="4" priority="73">
      <formula>AND($M93="Pendente",LEFT($D93,10)&lt;&gt;"Finalizado")</formula>
    </cfRule>
  </conditionalFormatting>
  <conditionalFormatting sqref="A94:N94">
    <cfRule type="expression" dxfId="3" priority="74">
      <formula>OR($M94="Validado",$M94="Finalizado",LEFT($D94,10)="Finalizado")</formula>
    </cfRule>
  </conditionalFormatting>
  <conditionalFormatting sqref="A94:N94">
    <cfRule type="expression" dxfId="4" priority="75">
      <formula>AND($M94="Pendente",LEFT($D94,10)&lt;&gt;"Finalizado")</formula>
    </cfRule>
  </conditionalFormatting>
  <conditionalFormatting sqref="A95:N95">
    <cfRule type="expression" dxfId="3" priority="76">
      <formula>OR($M95="Validado",$M95="Finalizado",LEFT($D95,10)="Finalizado")</formula>
    </cfRule>
  </conditionalFormatting>
  <conditionalFormatting sqref="A95:N95">
    <cfRule type="expression" dxfId="4" priority="77">
      <formula>AND($M95="Pendente",LEFT($D95,10)&lt;&gt;"Finalizado")</formula>
    </cfRule>
  </conditionalFormatting>
  <conditionalFormatting sqref="A96:N96">
    <cfRule type="expression" dxfId="3" priority="78">
      <formula>OR($M96="Validado",$M96="Finalizado",LEFT($D96,10)="Finalizado")</formula>
    </cfRule>
  </conditionalFormatting>
  <conditionalFormatting sqref="A96:N96">
    <cfRule type="expression" dxfId="4" priority="79">
      <formula>AND($M96="Pendente",LEFT($D96,10)&lt;&gt;"Finalizado")</formula>
    </cfRule>
  </conditionalFormatting>
  <conditionalFormatting sqref="A97:N97">
    <cfRule type="expression" dxfId="3" priority="80">
      <formula>OR($M97="Validado",$M97="Finalizado",LEFT($D97,10)="Finalizado")</formula>
    </cfRule>
  </conditionalFormatting>
  <conditionalFormatting sqref="A97:N97">
    <cfRule type="expression" dxfId="4" priority="81">
      <formula>AND($M97="Pendente",LEFT($D97,10)&lt;&gt;"Finalizado")</formula>
    </cfRule>
  </conditionalFormatting>
  <conditionalFormatting sqref="A98:N98">
    <cfRule type="expression" dxfId="3" priority="82">
      <formula>OR($M98="Validado",$M98="Finalizado",LEFT($D98,10)="Finalizado")</formula>
    </cfRule>
  </conditionalFormatting>
  <conditionalFormatting sqref="A98:N98">
    <cfRule type="expression" dxfId="4" priority="83">
      <formula>AND($M98="Pendente",LEFT($D98,10)&lt;&gt;"Finalizado")</formula>
    </cfRule>
  </conditionalFormatting>
  <conditionalFormatting sqref="A99:N99">
    <cfRule type="expression" dxfId="3" priority="84">
      <formula>OR($M99="Validado",$M99="Finalizado",LEFT($D99,10)="Finalizado")</formula>
    </cfRule>
  </conditionalFormatting>
  <conditionalFormatting sqref="A99:N99">
    <cfRule type="expression" dxfId="4" priority="85">
      <formula>AND($M99="Pendente",LEFT($D99,10)&lt;&gt;"Finalizado")</formula>
    </cfRule>
  </conditionalFormatting>
  <conditionalFormatting sqref="A100:N100">
    <cfRule type="expression" dxfId="3" priority="86">
      <formula>OR($M100="Validado",$M100="Finalizado",LEFT($D100,10)="Finalizado")</formula>
    </cfRule>
  </conditionalFormatting>
  <conditionalFormatting sqref="A100:N100">
    <cfRule type="expression" dxfId="4" priority="87">
      <formula>AND($M100="Pendente",LEFT($D100,10)&lt;&gt;"Finalizado")</formula>
    </cfRule>
  </conditionalFormatting>
  <conditionalFormatting sqref="A101:N101">
    <cfRule type="expression" dxfId="3" priority="88">
      <formula>OR($M101="Validado",$M101="Finalizado",LEFT($D101,10)="Finalizado")</formula>
    </cfRule>
  </conditionalFormatting>
  <conditionalFormatting sqref="A101:N101">
    <cfRule type="expression" dxfId="4" priority="89">
      <formula>AND($M101="Pendente",LEFT($D101,10)&lt;&gt;"Finalizado")</formula>
    </cfRule>
  </conditionalFormatting>
  <conditionalFormatting sqref="A106:N106">
    <cfRule type="expression" dxfId="3" priority="90">
      <formula>OR($M106="Validado",$M106="Finalizado",LEFT($D106,10)="Finalizado")</formula>
    </cfRule>
  </conditionalFormatting>
  <conditionalFormatting sqref="A106:N106">
    <cfRule type="expression" dxfId="4" priority="91">
      <formula>AND($M106="Pendente",LEFT($D106,10)&lt;&gt;"Finalizado")</formula>
    </cfRule>
  </conditionalFormatting>
  <conditionalFormatting sqref="A107:N107">
    <cfRule type="expression" dxfId="3" priority="92">
      <formula>OR($M107="Validado",$M107="Finalizado",LEFT($D107,10)="Finalizado")</formula>
    </cfRule>
  </conditionalFormatting>
  <conditionalFormatting sqref="A107:N107">
    <cfRule type="expression" dxfId="4" priority="93">
      <formula>AND($M107="Pendente",LEFT($D107,10)&lt;&gt;"Finalizado")</formula>
    </cfRule>
  </conditionalFormatting>
  <conditionalFormatting sqref="A108:N108">
    <cfRule type="expression" dxfId="3" priority="94">
      <formula>OR($M108="Validado",$M108="Finalizado",LEFT($D108,10)="Finalizado")</formula>
    </cfRule>
  </conditionalFormatting>
  <conditionalFormatting sqref="A108:N108">
    <cfRule type="expression" dxfId="4" priority="95">
      <formula>AND($M108="Pendente",LEFT($D108,10)&lt;&gt;"Finalizado")</formula>
    </cfRule>
  </conditionalFormatting>
  <conditionalFormatting sqref="A109:N109">
    <cfRule type="expression" dxfId="3" priority="96">
      <formula>OR($M109="Validado",$M109="Finalizado",LEFT($D109,10)="Finalizado")</formula>
    </cfRule>
  </conditionalFormatting>
  <conditionalFormatting sqref="A109:N109">
    <cfRule type="expression" dxfId="4" priority="97">
      <formula>AND($M109="Pendente",LEFT($D109,10)&lt;&gt;"Finalizado")</formula>
    </cfRule>
  </conditionalFormatting>
  <conditionalFormatting sqref="A110:N110">
    <cfRule type="expression" dxfId="3" priority="98">
      <formula>OR($M110="Validado",$M110="Finalizado",LEFT($D110,10)="Finalizado")</formula>
    </cfRule>
  </conditionalFormatting>
  <conditionalFormatting sqref="A110:N110">
    <cfRule type="expression" dxfId="4" priority="99">
      <formula>AND($M110="Pendente",LEFT($D110,10)&lt;&gt;"Finalizado")</formula>
    </cfRule>
  </conditionalFormatting>
  <conditionalFormatting sqref="A111:N111">
    <cfRule type="expression" dxfId="3" priority="100">
      <formula>OR($M111="Validado",$M111="Finalizado",LEFT($D111,10)="Finalizado")</formula>
    </cfRule>
  </conditionalFormatting>
  <conditionalFormatting sqref="A111:N111">
    <cfRule type="expression" dxfId="4" priority="101">
      <formula>AND($M111="Pendente",LEFT($D111,10)&lt;&gt;"Finalizado")</formula>
    </cfRule>
  </conditionalFormatting>
  <conditionalFormatting sqref="A112:N112">
    <cfRule type="expression" dxfId="3" priority="102">
      <formula>OR($M112="Validado",$M112="Finalizado",LEFT($D112,10)="Finalizado")</formula>
    </cfRule>
  </conditionalFormatting>
  <conditionalFormatting sqref="A112:N112">
    <cfRule type="expression" dxfId="4" priority="103">
      <formula>AND($M112="Pendente",LEFT($D112,10)&lt;&gt;"Finalizado")</formula>
    </cfRule>
  </conditionalFormatting>
  <conditionalFormatting sqref="A113:N113">
    <cfRule type="expression" dxfId="3" priority="104">
      <formula>OR($M113="Validado",$M113="Finalizado",LEFT($D113,10)="Finalizado")</formula>
    </cfRule>
  </conditionalFormatting>
  <conditionalFormatting sqref="A113:N113">
    <cfRule type="expression" dxfId="4" priority="105">
      <formula>AND($M113="Pendente",LEFT($D113,10)&lt;&gt;"Finalizado")</formula>
    </cfRule>
  </conditionalFormatting>
  <conditionalFormatting sqref="A114:N114">
    <cfRule type="expression" dxfId="3" priority="106">
      <formula>OR($M114="Validado",$M114="Finalizado",LEFT($D114,10)="Finalizado")</formula>
    </cfRule>
  </conditionalFormatting>
  <conditionalFormatting sqref="A114:N114">
    <cfRule type="expression" dxfId="4" priority="107">
      <formula>AND($M114="Pendente",LEFT($D114,10)&lt;&gt;"Finalizado")</formula>
    </cfRule>
  </conditionalFormatting>
  <conditionalFormatting sqref="A115:N115">
    <cfRule type="expression" dxfId="3" priority="108">
      <formula>OR($M115="Validado",$M115="Finalizado",LEFT($D115,10)="Finalizado")</formula>
    </cfRule>
  </conditionalFormatting>
  <conditionalFormatting sqref="A115:N115">
    <cfRule type="expression" dxfId="4" priority="109">
      <formula>AND($M115="Pendente",LEFT($D115,10)&lt;&gt;"Finalizado")</formula>
    </cfRule>
  </conditionalFormatting>
  <conditionalFormatting sqref="A116:N116">
    <cfRule type="expression" dxfId="3" priority="110">
      <formula>OR($M116="Validado",$M116="Finalizado",LEFT($D116,10)="Finalizado")</formula>
    </cfRule>
  </conditionalFormatting>
  <conditionalFormatting sqref="A116:N116">
    <cfRule type="expression" dxfId="4" priority="111">
      <formula>AND($M116="Pendente",LEFT($D116,10)&lt;&gt;"Finalizado")</formula>
    </cfRule>
  </conditionalFormatting>
  <conditionalFormatting sqref="A117:N117">
    <cfRule type="expression" dxfId="3" priority="112">
      <formula>OR($M117="Validado",$M117="Finalizado",LEFT($D117,10)="Finalizado")</formula>
    </cfRule>
  </conditionalFormatting>
  <conditionalFormatting sqref="A117:N117">
    <cfRule type="expression" dxfId="4" priority="113">
      <formula>AND($M117="Pendente",LEFT($D117,10)&lt;&gt;"Finalizado")</formula>
    </cfRule>
  </conditionalFormatting>
  <conditionalFormatting sqref="A118:N118">
    <cfRule type="expression" dxfId="3" priority="114">
      <formula>OR($M118="Validado",$M118="Finalizado",LEFT($D118,10)="Finalizado")</formula>
    </cfRule>
  </conditionalFormatting>
  <conditionalFormatting sqref="A118:N118">
    <cfRule type="expression" dxfId="4" priority="115">
      <formula>AND($M118="Pendente",LEFT($D118,10)&lt;&gt;"Finalizado")</formula>
    </cfRule>
  </conditionalFormatting>
  <conditionalFormatting sqref="A119:N119">
    <cfRule type="expression" dxfId="3" priority="116">
      <formula>OR($M119="Validado",$M119="Finalizado",LEFT($D119,10)="Finalizado")</formula>
    </cfRule>
  </conditionalFormatting>
  <conditionalFormatting sqref="A119:N119">
    <cfRule type="expression" dxfId="4" priority="117">
      <formula>AND($M119="Pendente",LEFT($D119,10)&lt;&gt;"Finalizado")</formula>
    </cfRule>
  </conditionalFormatting>
  <conditionalFormatting sqref="A120:N120">
    <cfRule type="expression" dxfId="3" priority="118">
      <formula>OR($M120="Validado",$M120="Finalizado",LEFT($D120,10)="Finalizado")</formula>
    </cfRule>
  </conditionalFormatting>
  <conditionalFormatting sqref="A120:N120">
    <cfRule type="expression" dxfId="4" priority="119">
      <formula>AND($M120="Pendente",LEFT($D120,10)&lt;&gt;"Finalizado")</formula>
    </cfRule>
  </conditionalFormatting>
  <conditionalFormatting sqref="A121:N121">
    <cfRule type="expression" dxfId="3" priority="120">
      <formula>OR($M121="Validado",$M121="Finalizado",LEFT($D121,10)="Finalizado")</formula>
    </cfRule>
  </conditionalFormatting>
  <conditionalFormatting sqref="A121:N121">
    <cfRule type="expression" dxfId="4" priority="121">
      <formula>AND($M121="Pendente",LEFT($D121,10)&lt;&gt;"Finalizado")</formula>
    </cfRule>
  </conditionalFormatting>
  <conditionalFormatting sqref="A126:N126">
    <cfRule type="expression" dxfId="3" priority="122">
      <formula>OR($M126="Validado",$M126="Finalizado",LEFT($D126,10)="Finalizado")</formula>
    </cfRule>
  </conditionalFormatting>
  <conditionalFormatting sqref="A126:N126">
    <cfRule type="expression" dxfId="4" priority="123">
      <formula>AND($M126="Pendente",LEFT($D126,10)&lt;&gt;"Finalizado")</formula>
    </cfRule>
  </conditionalFormatting>
  <conditionalFormatting sqref="A127:N127">
    <cfRule type="expression" dxfId="3" priority="124">
      <formula>OR($M127="Validado",$M127="Finalizado",LEFT($D127,10)="Finalizado")</formula>
    </cfRule>
  </conditionalFormatting>
  <conditionalFormatting sqref="A127:N127">
    <cfRule type="expression" dxfId="4" priority="125">
      <formula>AND($M127="Pendente",LEFT($D127,10)&lt;&gt;"Finalizado")</formula>
    </cfRule>
  </conditionalFormatting>
  <conditionalFormatting sqref="A128:N128">
    <cfRule type="expression" dxfId="3" priority="126">
      <formula>OR($M128="Validado",$M128="Finalizado",LEFT($D128,10)="Finalizado")</formula>
    </cfRule>
  </conditionalFormatting>
  <conditionalFormatting sqref="A128:N128">
    <cfRule type="expression" dxfId="4" priority="127">
      <formula>AND($M128="Pendente",LEFT($D128,10)&lt;&gt;"Finalizado")</formula>
    </cfRule>
  </conditionalFormatting>
  <conditionalFormatting sqref="A129:N129">
    <cfRule type="expression" dxfId="3" priority="128">
      <formula>OR($M129="Validado",$M129="Finalizado",LEFT($D129,10)="Finalizado")</formula>
    </cfRule>
  </conditionalFormatting>
  <conditionalFormatting sqref="A129:N129">
    <cfRule type="expression" dxfId="4" priority="129">
      <formula>AND($M129="Pendente",LEFT($D129,10)&lt;&gt;"Finalizado")</formula>
    </cfRule>
  </conditionalFormatting>
  <conditionalFormatting sqref="A130:N130">
    <cfRule type="expression" dxfId="3" priority="130">
      <formula>OR($M130="Validado",$M130="Finalizado",LEFT($D130,10)="Finalizado")</formula>
    </cfRule>
  </conditionalFormatting>
  <conditionalFormatting sqref="A130:N130">
    <cfRule type="expression" dxfId="4" priority="131">
      <formula>AND($M130="Pendente",LEFT($D130,10)&lt;&gt;"Finalizado")</formula>
    </cfRule>
  </conditionalFormatting>
  <conditionalFormatting sqref="A131:N131">
    <cfRule type="expression" dxfId="3" priority="132">
      <formula>OR($M131="Validado",$M131="Finalizado",LEFT($D131,10)="Finalizado")</formula>
    </cfRule>
  </conditionalFormatting>
  <conditionalFormatting sqref="A131:N131">
    <cfRule type="expression" dxfId="4" priority="133">
      <formula>AND($M131="Pendente",LEFT($D131,10)&lt;&gt;"Finalizado")</formula>
    </cfRule>
  </conditionalFormatting>
  <conditionalFormatting sqref="A132:N132">
    <cfRule type="expression" dxfId="3" priority="134">
      <formula>OR($M132="Validado",$M132="Finalizado",LEFT($D132,10)="Finalizado")</formula>
    </cfRule>
  </conditionalFormatting>
  <conditionalFormatting sqref="A132:N132">
    <cfRule type="expression" dxfId="4" priority="135">
      <formula>AND($M132="Pendente",LEFT($D132,10)&lt;&gt;"Finalizado")</formula>
    </cfRule>
  </conditionalFormatting>
  <conditionalFormatting sqref="A133:N133">
    <cfRule type="expression" dxfId="3" priority="136">
      <formula>OR($M133="Validado",$M133="Finalizado",LEFT($D133,10)="Finalizado")</formula>
    </cfRule>
  </conditionalFormatting>
  <conditionalFormatting sqref="A133:N133">
    <cfRule type="expression" dxfId="4" priority="137">
      <formula>AND($M133="Pendente",LEFT($D133,10)&lt;&gt;"Finalizado")</formula>
    </cfRule>
  </conditionalFormatting>
  <conditionalFormatting sqref="A134:N134">
    <cfRule type="expression" dxfId="3" priority="138">
      <formula>OR($M134="Validado",$M134="Finalizado",LEFT($D134,10)="Finalizado")</formula>
    </cfRule>
  </conditionalFormatting>
  <conditionalFormatting sqref="A134:N134">
    <cfRule type="expression" dxfId="4" priority="139">
      <formula>AND($M134="Pendente",LEFT($D134,10)&lt;&gt;"Finalizado")</formula>
    </cfRule>
  </conditionalFormatting>
  <conditionalFormatting sqref="A135:N135">
    <cfRule type="expression" dxfId="3" priority="140">
      <formula>OR($M135="Validado",$M135="Finalizado",LEFT($D135,10)="Finalizado")</formula>
    </cfRule>
  </conditionalFormatting>
  <conditionalFormatting sqref="A135:N135">
    <cfRule type="expression" dxfId="4" priority="141">
      <formula>AND($M135="Pendente",LEFT($D135,10)&lt;&gt;"Finalizado")</formula>
    </cfRule>
  </conditionalFormatting>
  <conditionalFormatting sqref="A136:N136">
    <cfRule type="expression" dxfId="3" priority="142">
      <formula>OR($M136="Validado",$M136="Finalizado",LEFT($D136,10)="Finalizado")</formula>
    </cfRule>
  </conditionalFormatting>
  <conditionalFormatting sqref="A136:N136">
    <cfRule type="expression" dxfId="4" priority="143">
      <formula>AND($M136="Pendente",LEFT($D136,10)&lt;&gt;"Finalizado")</formula>
    </cfRule>
  </conditionalFormatting>
  <conditionalFormatting sqref="A141:N141">
    <cfRule type="expression" dxfId="3" priority="144">
      <formula>OR($M141="Validado",$M141="Finalizado",LEFT($D141,10)="Finalizado")</formula>
    </cfRule>
  </conditionalFormatting>
  <conditionalFormatting sqref="A141:N141">
    <cfRule type="expression" dxfId="4" priority="145">
      <formula>AND($M141="Pendente",LEFT($D141,10)&lt;&gt;"Finalizado")</formula>
    </cfRule>
  </conditionalFormatting>
  <conditionalFormatting sqref="A142:N142">
    <cfRule type="expression" dxfId="3" priority="146">
      <formula>OR($M142="Validado",$M142="Finalizado",LEFT($D142,10)="Finalizado")</formula>
    </cfRule>
  </conditionalFormatting>
  <conditionalFormatting sqref="A142:N142">
    <cfRule type="expression" dxfId="4" priority="147">
      <formula>AND($M142="Pendente",LEFT($D142,10)&lt;&gt;"Finalizado")</formula>
    </cfRule>
  </conditionalFormatting>
  <conditionalFormatting sqref="A143:N143">
    <cfRule type="expression" dxfId="3" priority="148">
      <formula>OR($M143="Validado",$M143="Finalizado",LEFT($D143,10)="Finalizado")</formula>
    </cfRule>
  </conditionalFormatting>
  <conditionalFormatting sqref="A143:N143">
    <cfRule type="expression" dxfId="4" priority="149">
      <formula>AND($M143="Pendente",LEFT($D143,10)&lt;&gt;"Finalizado")</formula>
    </cfRule>
  </conditionalFormatting>
  <conditionalFormatting sqref="A144:N144">
    <cfRule type="expression" dxfId="3" priority="150">
      <formula>OR($M144="Validado",$M144="Finalizado",LEFT($D144,10)="Finalizado")</formula>
    </cfRule>
  </conditionalFormatting>
  <conditionalFormatting sqref="A144:N144">
    <cfRule type="expression" dxfId="4" priority="151">
      <formula>AND($M144="Pendente",LEFT($D144,10)&lt;&gt;"Finalizado")</formula>
    </cfRule>
  </conditionalFormatting>
  <conditionalFormatting sqref="A145:N145">
    <cfRule type="expression" dxfId="3" priority="152">
      <formula>OR($M145="Validado",$M145="Finalizado",LEFT($D145,10)="Finalizado")</formula>
    </cfRule>
  </conditionalFormatting>
  <conditionalFormatting sqref="A145:N145">
    <cfRule type="expression" dxfId="4" priority="153">
      <formula>AND($M145="Pendente",LEFT($D145,10)&lt;&gt;"Finalizado")</formula>
    </cfRule>
  </conditionalFormatting>
  <conditionalFormatting sqref="A146:N146">
    <cfRule type="expression" dxfId="3" priority="154">
      <formula>OR($M146="Validado",$M146="Finalizado",LEFT($D146,10)="Finalizado")</formula>
    </cfRule>
  </conditionalFormatting>
  <conditionalFormatting sqref="A146:N146">
    <cfRule type="expression" dxfId="4" priority="155">
      <formula>AND($M146="Pendente",LEFT($D146,10)&lt;&gt;"Finalizado")</formula>
    </cfRule>
  </conditionalFormatting>
  <conditionalFormatting sqref="A147:N147">
    <cfRule type="expression" dxfId="3" priority="156">
      <formula>OR($M147="Validado",$M147="Finalizado",LEFT($D147,10)="Finalizado")</formula>
    </cfRule>
  </conditionalFormatting>
  <conditionalFormatting sqref="A147:N147">
    <cfRule type="expression" dxfId="4" priority="157">
      <formula>AND($M147="Pendente",LEFT($D147,10)&lt;&gt;"Finalizado")</formula>
    </cfRule>
  </conditionalFormatting>
  <conditionalFormatting sqref="A148:N148">
    <cfRule type="expression" dxfId="3" priority="158">
      <formula>OR($M148="Validado",$M148="Finalizado",LEFT($D148,10)="Finalizado")</formula>
    </cfRule>
  </conditionalFormatting>
  <conditionalFormatting sqref="A148:N148">
    <cfRule type="expression" dxfId="4" priority="159">
      <formula>AND($M148="Pendente",LEFT($D148,10)&lt;&gt;"Finalizado")</formula>
    </cfRule>
  </conditionalFormatting>
  <conditionalFormatting sqref="A149:N149">
    <cfRule type="expression" dxfId="3" priority="160">
      <formula>OR($M149="Validado",$M149="Finalizado",LEFT($D149,10)="Finalizado")</formula>
    </cfRule>
  </conditionalFormatting>
  <conditionalFormatting sqref="A149:N149">
    <cfRule type="expression" dxfId="4" priority="161">
      <formula>AND($M149="Pendente",LEFT($D149,10)&lt;&gt;"Finalizado")</formula>
    </cfRule>
  </conditionalFormatting>
  <conditionalFormatting sqref="A150:N150">
    <cfRule type="expression" dxfId="3" priority="162">
      <formula>OR($M150="Validado",$M150="Finalizado",LEFT($D150,10)="Finalizado")</formula>
    </cfRule>
  </conditionalFormatting>
  <conditionalFormatting sqref="A150:N150">
    <cfRule type="expression" dxfId="4" priority="163">
      <formula>AND($M150="Pendente",LEFT($D150,10)&lt;&gt;"Finalizado")</formula>
    </cfRule>
  </conditionalFormatting>
  <conditionalFormatting sqref="A151:N151">
    <cfRule type="expression" dxfId="3" priority="164">
      <formula>OR($M151="Validado",$M151="Finalizado",LEFT($D151,10)="Finalizado")</formula>
    </cfRule>
  </conditionalFormatting>
  <conditionalFormatting sqref="A151:N151">
    <cfRule type="expression" dxfId="4" priority="165">
      <formula>AND($M151="Pendente",LEFT($D151,10)&lt;&gt;"Finalizado")</formula>
    </cfRule>
  </conditionalFormatting>
  <conditionalFormatting sqref="A156:N156">
    <cfRule type="expression" dxfId="3" priority="166">
      <formula>OR($M156="Validado",$M156="Finalizado",LEFT($D156,10)="Finalizado")</formula>
    </cfRule>
  </conditionalFormatting>
  <conditionalFormatting sqref="A156:N156">
    <cfRule type="expression" dxfId="4" priority="167">
      <formula>AND($M156="Pendente",LEFT($D156,10)&lt;&gt;"Finalizado")</formula>
    </cfRule>
  </conditionalFormatting>
  <conditionalFormatting sqref="A157:N157">
    <cfRule type="expression" dxfId="3" priority="168">
      <formula>OR($M157="Validado",$M157="Finalizado",LEFT($D157,10)="Finalizado")</formula>
    </cfRule>
  </conditionalFormatting>
  <conditionalFormatting sqref="A157:N157">
    <cfRule type="expression" dxfId="4" priority="169">
      <formula>AND($M157="Pendente",LEFT($D157,10)&lt;&gt;"Finalizado")</formula>
    </cfRule>
  </conditionalFormatting>
  <conditionalFormatting sqref="A158:N158">
    <cfRule type="expression" dxfId="3" priority="170">
      <formula>OR($M158="Validado",$M158="Finalizado",LEFT($D158,10)="Finalizado")</formula>
    </cfRule>
  </conditionalFormatting>
  <conditionalFormatting sqref="A158:N158">
    <cfRule type="expression" dxfId="4" priority="171">
      <formula>AND($M158="Pendente",LEFT($D158,10)&lt;&gt;"Finalizado")</formula>
    </cfRule>
  </conditionalFormatting>
  <conditionalFormatting sqref="A159:N159">
    <cfRule type="expression" dxfId="3" priority="172">
      <formula>OR($M159="Validado",$M159="Finalizado",LEFT($D159,10)="Finalizado")</formula>
    </cfRule>
  </conditionalFormatting>
  <conditionalFormatting sqref="A159:N159">
    <cfRule type="expression" dxfId="4" priority="173">
      <formula>AND($M159="Pendente",LEFT($D159,10)&lt;&gt;"Finalizado")</formula>
    </cfRule>
  </conditionalFormatting>
  <conditionalFormatting sqref="A160:N160">
    <cfRule type="expression" dxfId="3" priority="174">
      <formula>OR($M160="Validado",$M160="Finalizado",LEFT($D160,10)="Finalizado")</formula>
    </cfRule>
  </conditionalFormatting>
  <conditionalFormatting sqref="A160:N160">
    <cfRule type="expression" dxfId="4" priority="175">
      <formula>AND($M160="Pendente",LEFT($D160,10)&lt;&gt;"Finalizado")</formula>
    </cfRule>
  </conditionalFormatting>
  <conditionalFormatting sqref="A161:N161">
    <cfRule type="expression" dxfId="3" priority="176">
      <formula>OR($M161="Validado",$M161="Finalizado",LEFT($D161,10)="Finalizado")</formula>
    </cfRule>
  </conditionalFormatting>
  <conditionalFormatting sqref="A161:N161">
    <cfRule type="expression" dxfId="4" priority="177">
      <formula>AND($M161="Pendente",LEFT($D161,10)&lt;&gt;"Finalizado")</formula>
    </cfRule>
  </conditionalFormatting>
  <conditionalFormatting sqref="A162:N162">
    <cfRule type="expression" dxfId="3" priority="178">
      <formula>OR($M162="Validado",$M162="Finalizado",LEFT($D162,10)="Finalizado")</formula>
    </cfRule>
  </conditionalFormatting>
  <conditionalFormatting sqref="A162:N162">
    <cfRule type="expression" dxfId="4" priority="179">
      <formula>AND($M162="Pendente",LEFT($D162,10)&lt;&gt;"Finalizado")</formula>
    </cfRule>
  </conditionalFormatting>
  <conditionalFormatting sqref="A163:N163">
    <cfRule type="expression" dxfId="3" priority="180">
      <formula>OR($M163="Validado",$M163="Finalizado",LEFT($D163,10)="Finalizado")</formula>
    </cfRule>
  </conditionalFormatting>
  <conditionalFormatting sqref="A163:N163">
    <cfRule type="expression" dxfId="4" priority="181">
      <formula>AND($M163="Pendente",LEFT($D163,10)&lt;&gt;"Finalizado")</formula>
    </cfRule>
  </conditionalFormatting>
  <conditionalFormatting sqref="A164:N164">
    <cfRule type="expression" dxfId="3" priority="182">
      <formula>OR($M164="Validado",$M164="Finalizado",LEFT($D164,10)="Finalizado")</formula>
    </cfRule>
  </conditionalFormatting>
  <conditionalFormatting sqref="A164:N164">
    <cfRule type="expression" dxfId="4" priority="183">
      <formula>AND($M164="Pendente",LEFT($D164,10)&lt;&gt;"Finalizado")</formula>
    </cfRule>
  </conditionalFormatting>
  <conditionalFormatting sqref="A165:N165">
    <cfRule type="expression" dxfId="3" priority="184">
      <formula>OR($M165="Validado",$M165="Finalizado",LEFT($D165,10)="Finalizado")</formula>
    </cfRule>
  </conditionalFormatting>
  <conditionalFormatting sqref="A165:N165">
    <cfRule type="expression" dxfId="4" priority="185">
      <formula>AND($M165="Pendente",LEFT($D165,10)&lt;&gt;"Finalizado")</formula>
    </cfRule>
  </conditionalFormatting>
  <conditionalFormatting sqref="A170:N187">
    <cfRule type="expression" dxfId="5" priority="186">
      <formula>OR($M170="Validado",$M170="Finalizado")</formula>
    </cfRule>
  </conditionalFormatting>
  <conditionalFormatting sqref="A170:N187">
    <cfRule type="expression" dxfId="6" priority="187">
      <formula>AND($M170="Pendente",NOT(ISNUMBER(SEARCH("Falta Justificada",$D170))),NOT(ISNUMBER(SEARCH("Cancelado",$D170))),NOT(ISNUMBER(SEARCH("Desmarcado",$D170))))</formula>
    </cfRule>
  </conditionalFormatting>
  <conditionalFormatting sqref="A192:N204">
    <cfRule type="expression" dxfId="5" priority="188">
      <formula>OR($M192="Validado",$M192="Finalizado")</formula>
    </cfRule>
  </conditionalFormatting>
  <conditionalFormatting sqref="A192:N204">
    <cfRule type="expression" dxfId="6" priority="189">
      <formula>AND($M192="Pendente",NOT(ISNUMBER(SEARCH("Falta Justificada",$D192))),NOT(ISNUMBER(SEARCH("Cancelado",$D192))),NOT(ISNUMBER(SEARCH("Desmarcado",$D192))))</formula>
    </cfRule>
  </conditionalFormatting>
  <dataValidations>
    <dataValidation type="list" allowBlank="1" sqref="M6:M11 M16:M25 M30:M45 M50:M60 M65:M74 M79:M86 M91:M101 M106:M121 M126:M136 M141:M151 M156:M165 M170:M187 M192:M204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0.0"/>
    <col customWidth="1" min="3" max="3" width="14.38"/>
    <col customWidth="1" min="4" max="4" width="22.0"/>
    <col customWidth="1" min="5" max="7" width="37.63"/>
    <col customWidth="1" min="8" max="8" width="13.75"/>
    <col customWidth="1" min="9" max="9" width="20.0"/>
    <col customWidth="1" min="10" max="10" width="22.0"/>
    <col customWidth="1" min="11" max="11" width="50.0"/>
    <col customWidth="1" min="12" max="12" width="22.0"/>
    <col customWidth="1" min="13" max="13" width="18.0"/>
    <col customWidth="1" min="14" max="14" width="32.0"/>
  </cols>
  <sheetData>
    <row r="1">
      <c r="A1" s="1" t="s">
        <v>32</v>
      </c>
    </row>
    <row r="3">
      <c r="A3" s="2" t="s">
        <v>2</v>
      </c>
    </row>
    <row r="4">
      <c r="A4" s="3" t="s">
        <v>45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74</v>
      </c>
      <c r="C6" s="5" t="s">
        <v>21</v>
      </c>
      <c r="D6" s="5" t="s">
        <v>76</v>
      </c>
      <c r="E6" s="5" t="s">
        <v>77</v>
      </c>
      <c r="F6" s="5" t="s">
        <v>78</v>
      </c>
      <c r="G6" s="5" t="s">
        <v>81</v>
      </c>
      <c r="H6" s="5" t="s">
        <v>83</v>
      </c>
      <c r="I6" s="5">
        <v>2.02305004464E12</v>
      </c>
      <c r="J6" s="5"/>
      <c r="K6" s="5" t="s">
        <v>86</v>
      </c>
      <c r="L6" s="5" t="s">
        <v>29</v>
      </c>
      <c r="M6" s="5" t="s">
        <v>30</v>
      </c>
      <c r="N6" s="5"/>
    </row>
    <row r="7">
      <c r="A7" s="5" t="s">
        <v>19</v>
      </c>
      <c r="B7" s="5" t="s">
        <v>92</v>
      </c>
      <c r="C7" s="5" t="s">
        <v>94</v>
      </c>
      <c r="D7" s="5" t="s">
        <v>97</v>
      </c>
      <c r="E7" s="5" t="s">
        <v>77</v>
      </c>
      <c r="F7" s="5" t="s">
        <v>24</v>
      </c>
      <c r="G7" s="5" t="s">
        <v>102</v>
      </c>
      <c r="H7" s="5" t="s">
        <v>104</v>
      </c>
      <c r="I7" s="5">
        <v>2.02503004988E12</v>
      </c>
      <c r="J7" s="5"/>
      <c r="K7" s="5" t="s">
        <v>28</v>
      </c>
      <c r="L7" s="5" t="s">
        <v>29</v>
      </c>
      <c r="M7" s="5" t="s">
        <v>30</v>
      </c>
      <c r="N7" s="5"/>
    </row>
    <row r="8">
      <c r="A8" s="5" t="s">
        <v>19</v>
      </c>
      <c r="B8" s="5" t="s">
        <v>109</v>
      </c>
      <c r="C8" s="5" t="s">
        <v>111</v>
      </c>
      <c r="D8" s="5" t="s">
        <v>115</v>
      </c>
      <c r="E8" s="5" t="s">
        <v>65</v>
      </c>
      <c r="F8" s="5" t="s">
        <v>24</v>
      </c>
      <c r="G8" s="5" t="s">
        <v>119</v>
      </c>
      <c r="H8" s="5" t="s">
        <v>120</v>
      </c>
      <c r="I8" s="5">
        <v>2.02305002751E12</v>
      </c>
      <c r="J8" s="5" t="s">
        <v>121</v>
      </c>
      <c r="K8" s="5" t="s">
        <v>40</v>
      </c>
      <c r="L8" s="5" t="s">
        <v>29</v>
      </c>
      <c r="M8" s="5" t="s">
        <v>30</v>
      </c>
      <c r="N8" s="5"/>
    </row>
    <row r="9">
      <c r="A9" s="5" t="s">
        <v>19</v>
      </c>
      <c r="B9" s="5" t="s">
        <v>129</v>
      </c>
      <c r="C9" s="5" t="s">
        <v>133</v>
      </c>
      <c r="D9" s="5" t="s">
        <v>135</v>
      </c>
      <c r="E9" s="5" t="s">
        <v>37</v>
      </c>
      <c r="F9" s="5" t="s">
        <v>78</v>
      </c>
      <c r="G9" s="5" t="s">
        <v>81</v>
      </c>
      <c r="H9" s="5" t="s">
        <v>137</v>
      </c>
      <c r="I9" s="5">
        <v>2.02311002255E12</v>
      </c>
      <c r="J9" s="5"/>
      <c r="K9" s="5" t="s">
        <v>28</v>
      </c>
      <c r="L9" s="5" t="s">
        <v>29</v>
      </c>
      <c r="M9" s="5" t="s">
        <v>30</v>
      </c>
      <c r="N9" s="5"/>
    </row>
    <row r="10">
      <c r="A10" s="5" t="s">
        <v>19</v>
      </c>
      <c r="B10" s="5" t="s">
        <v>146</v>
      </c>
      <c r="C10" s="5" t="s">
        <v>43</v>
      </c>
      <c r="D10" s="5" t="s">
        <v>135</v>
      </c>
      <c r="E10" s="5" t="s">
        <v>37</v>
      </c>
      <c r="F10" s="5" t="s">
        <v>78</v>
      </c>
      <c r="G10" s="5" t="s">
        <v>81</v>
      </c>
      <c r="H10" s="5" t="s">
        <v>137</v>
      </c>
      <c r="I10" s="5">
        <v>2.0230500172E12</v>
      </c>
      <c r="J10" s="5"/>
      <c r="K10" s="5" t="s">
        <v>28</v>
      </c>
      <c r="L10" s="5" t="s">
        <v>29</v>
      </c>
      <c r="M10" s="5" t="s">
        <v>30</v>
      </c>
      <c r="N10" s="5"/>
    </row>
    <row r="11">
      <c r="A11" s="5" t="s">
        <v>19</v>
      </c>
      <c r="B11" s="5" t="s">
        <v>155</v>
      </c>
      <c r="C11" s="5" t="s">
        <v>94</v>
      </c>
      <c r="D11" s="5" t="s">
        <v>115</v>
      </c>
      <c r="E11" s="5" t="s">
        <v>53</v>
      </c>
      <c r="F11" s="5" t="s">
        <v>78</v>
      </c>
      <c r="G11" s="5" t="s">
        <v>81</v>
      </c>
      <c r="H11" s="5" t="s">
        <v>120</v>
      </c>
      <c r="I11" s="5" t="s">
        <v>159</v>
      </c>
      <c r="J11" s="5"/>
      <c r="K11" s="5" t="s">
        <v>40</v>
      </c>
      <c r="L11" s="5" t="s">
        <v>29</v>
      </c>
      <c r="M11" s="5" t="s">
        <v>30</v>
      </c>
      <c r="N11" s="5"/>
    </row>
    <row r="12">
      <c r="A12" s="5" t="s">
        <v>19</v>
      </c>
      <c r="B12" s="5" t="s">
        <v>165</v>
      </c>
      <c r="C12" s="5" t="s">
        <v>50</v>
      </c>
      <c r="D12" s="5" t="s">
        <v>166</v>
      </c>
      <c r="E12" s="5" t="s">
        <v>77</v>
      </c>
      <c r="F12" s="5" t="s">
        <v>78</v>
      </c>
      <c r="G12" s="5" t="s">
        <v>81</v>
      </c>
      <c r="H12" s="5" t="s">
        <v>168</v>
      </c>
      <c r="I12" s="5">
        <v>2.0240500471E12</v>
      </c>
      <c r="J12" s="5"/>
      <c r="K12" s="5" t="s">
        <v>107</v>
      </c>
      <c r="L12" s="5" t="s">
        <v>29</v>
      </c>
      <c r="M12" s="5" t="s">
        <v>30</v>
      </c>
      <c r="N12" s="5"/>
    </row>
    <row r="13">
      <c r="A13" s="5" t="s">
        <v>19</v>
      </c>
      <c r="B13" s="5" t="s">
        <v>175</v>
      </c>
      <c r="C13" s="5" t="s">
        <v>177</v>
      </c>
      <c r="D13" s="5" t="s">
        <v>178</v>
      </c>
      <c r="E13" s="5" t="s">
        <v>77</v>
      </c>
      <c r="F13" s="5" t="s">
        <v>78</v>
      </c>
      <c r="G13" s="5" t="s">
        <v>81</v>
      </c>
      <c r="H13" s="5" t="s">
        <v>179</v>
      </c>
      <c r="I13" s="5">
        <v>2.02511001605E12</v>
      </c>
      <c r="J13" s="5"/>
      <c r="K13" s="5" t="s">
        <v>28</v>
      </c>
      <c r="L13" s="5" t="s">
        <v>29</v>
      </c>
      <c r="M13" s="5" t="s">
        <v>30</v>
      </c>
      <c r="N13" s="5"/>
    </row>
    <row r="14">
      <c r="A14" s="5" t="s">
        <v>19</v>
      </c>
      <c r="B14" s="5" t="s">
        <v>184</v>
      </c>
      <c r="C14" s="5" t="s">
        <v>50</v>
      </c>
      <c r="D14" s="5" t="s">
        <v>97</v>
      </c>
      <c r="E14" s="5" t="s">
        <v>73</v>
      </c>
      <c r="F14" s="5" t="s">
        <v>24</v>
      </c>
      <c r="G14" s="5" t="s">
        <v>102</v>
      </c>
      <c r="H14" s="5" t="s">
        <v>104</v>
      </c>
      <c r="I14" s="5">
        <v>2.02405007333E12</v>
      </c>
      <c r="J14" s="5" t="s">
        <v>191</v>
      </c>
      <c r="K14" s="5" t="s">
        <v>28</v>
      </c>
      <c r="L14" s="5" t="s">
        <v>29</v>
      </c>
      <c r="M14" s="5" t="s">
        <v>30</v>
      </c>
      <c r="N14" s="5"/>
    </row>
    <row r="15">
      <c r="A15" s="5" t="s">
        <v>19</v>
      </c>
      <c r="B15" s="5" t="s">
        <v>197</v>
      </c>
      <c r="C15" s="5" t="s">
        <v>21</v>
      </c>
      <c r="D15" s="5" t="s">
        <v>135</v>
      </c>
      <c r="E15" s="5" t="s">
        <v>37</v>
      </c>
      <c r="F15" s="5" t="s">
        <v>24</v>
      </c>
      <c r="G15" s="5" t="s">
        <v>102</v>
      </c>
      <c r="H15" s="5" t="s">
        <v>137</v>
      </c>
      <c r="I15" s="5">
        <v>2.02511008621E12</v>
      </c>
      <c r="J15" s="5" t="s">
        <v>206</v>
      </c>
      <c r="K15" s="5" t="s">
        <v>28</v>
      </c>
      <c r="L15" s="5" t="s">
        <v>29</v>
      </c>
      <c r="M15" s="5" t="s">
        <v>30</v>
      </c>
      <c r="N15" s="5"/>
    </row>
    <row r="16">
      <c r="A16" s="5" t="s">
        <v>19</v>
      </c>
      <c r="B16" s="5" t="s">
        <v>212</v>
      </c>
      <c r="C16" s="5" t="s">
        <v>94</v>
      </c>
      <c r="D16" s="5" t="s">
        <v>215</v>
      </c>
      <c r="E16" s="5" t="s">
        <v>73</v>
      </c>
      <c r="F16" s="5" t="s">
        <v>78</v>
      </c>
      <c r="G16" s="5" t="s">
        <v>102</v>
      </c>
      <c r="H16" s="5" t="s">
        <v>219</v>
      </c>
      <c r="I16" s="5">
        <v>2.02604003292E12</v>
      </c>
      <c r="J16" s="5" t="s">
        <v>220</v>
      </c>
      <c r="K16" s="5" t="s">
        <v>40</v>
      </c>
      <c r="L16" s="5" t="s">
        <v>29</v>
      </c>
      <c r="M16" s="5" t="s">
        <v>30</v>
      </c>
      <c r="N16" s="5"/>
    </row>
    <row r="17">
      <c r="A17" s="5" t="s">
        <v>19</v>
      </c>
      <c r="B17" s="5" t="s">
        <v>227</v>
      </c>
      <c r="C17" s="5" t="s">
        <v>62</v>
      </c>
      <c r="D17" s="5" t="s">
        <v>115</v>
      </c>
      <c r="E17" s="5" t="s">
        <v>65</v>
      </c>
      <c r="F17" s="5" t="s">
        <v>78</v>
      </c>
      <c r="G17" s="5" t="s">
        <v>81</v>
      </c>
      <c r="H17" s="5" t="s">
        <v>120</v>
      </c>
      <c r="I17" s="5"/>
      <c r="J17" s="5"/>
      <c r="K17" s="5" t="s">
        <v>40</v>
      </c>
      <c r="L17" s="5" t="s">
        <v>29</v>
      </c>
      <c r="M17" s="5" t="s">
        <v>30</v>
      </c>
      <c r="N17" s="5"/>
    </row>
    <row r="18">
      <c r="A18" s="5" t="s">
        <v>19</v>
      </c>
      <c r="B18" s="5" t="s">
        <v>232</v>
      </c>
      <c r="C18" s="5" t="s">
        <v>112</v>
      </c>
      <c r="D18" s="5" t="s">
        <v>115</v>
      </c>
      <c r="E18" s="5" t="s">
        <v>37</v>
      </c>
      <c r="F18" s="5" t="s">
        <v>98</v>
      </c>
      <c r="G18" s="5" t="s">
        <v>119</v>
      </c>
      <c r="H18" s="5" t="s">
        <v>120</v>
      </c>
      <c r="I18" s="5" t="s">
        <v>159</v>
      </c>
      <c r="J18" s="5" t="s">
        <v>239</v>
      </c>
      <c r="K18" s="5" t="s">
        <v>40</v>
      </c>
      <c r="L18" s="5" t="s">
        <v>29</v>
      </c>
      <c r="M18" s="5" t="s">
        <v>30</v>
      </c>
      <c r="N18" s="5"/>
    </row>
    <row r="19">
      <c r="A19" s="5" t="s">
        <v>19</v>
      </c>
      <c r="B19" s="5" t="s">
        <v>249</v>
      </c>
      <c r="C19" s="5" t="s">
        <v>133</v>
      </c>
      <c r="D19" s="5" t="s">
        <v>215</v>
      </c>
      <c r="E19" s="5" t="s">
        <v>65</v>
      </c>
      <c r="F19" s="5" t="s">
        <v>78</v>
      </c>
      <c r="G19" s="5" t="s">
        <v>81</v>
      </c>
      <c r="H19" s="5" t="s">
        <v>219</v>
      </c>
      <c r="I19" s="5" t="s">
        <v>254</v>
      </c>
      <c r="J19" s="5"/>
      <c r="K19" s="5" t="s">
        <v>40</v>
      </c>
      <c r="L19" s="5" t="s">
        <v>29</v>
      </c>
      <c r="M19" s="5" t="s">
        <v>30</v>
      </c>
      <c r="N19" s="5"/>
    </row>
    <row r="20">
      <c r="A20" s="5" t="s">
        <v>19</v>
      </c>
      <c r="B20" s="5" t="s">
        <v>260</v>
      </c>
      <c r="C20" s="5" t="s">
        <v>62</v>
      </c>
      <c r="D20" s="5" t="s">
        <v>97</v>
      </c>
      <c r="E20" s="5" t="s">
        <v>95</v>
      </c>
      <c r="F20" s="5" t="s">
        <v>24</v>
      </c>
      <c r="G20" s="5" t="s">
        <v>119</v>
      </c>
      <c r="H20" s="5" t="s">
        <v>104</v>
      </c>
      <c r="I20" s="5">
        <v>2.026030040751E12</v>
      </c>
      <c r="J20" s="5"/>
      <c r="K20" s="5" t="s">
        <v>28</v>
      </c>
      <c r="L20" s="5" t="s">
        <v>29</v>
      </c>
      <c r="M20" s="5" t="s">
        <v>30</v>
      </c>
      <c r="N20" s="5"/>
    </row>
    <row r="21" ht="15.75" customHeight="1">
      <c r="A21" s="5" t="s">
        <v>19</v>
      </c>
      <c r="B21" s="5" t="s">
        <v>271</v>
      </c>
      <c r="C21" s="5" t="s">
        <v>94</v>
      </c>
      <c r="D21" s="5" t="s">
        <v>115</v>
      </c>
      <c r="E21" s="5" t="s">
        <v>95</v>
      </c>
      <c r="F21" s="5" t="s">
        <v>98</v>
      </c>
      <c r="G21" s="5" t="s">
        <v>119</v>
      </c>
      <c r="H21" s="5" t="s">
        <v>120</v>
      </c>
      <c r="I21" s="5">
        <v>0.0</v>
      </c>
      <c r="J21" s="5" t="s">
        <v>276</v>
      </c>
      <c r="K21" s="5" t="s">
        <v>40</v>
      </c>
      <c r="L21" s="5" t="s">
        <v>29</v>
      </c>
      <c r="M21" s="5" t="s">
        <v>30</v>
      </c>
      <c r="N21" s="5"/>
    </row>
    <row r="22" ht="15.75" customHeight="1">
      <c r="A22" s="5" t="s">
        <v>19</v>
      </c>
      <c r="B22" s="5" t="s">
        <v>277</v>
      </c>
      <c r="C22" s="5" t="s">
        <v>21</v>
      </c>
      <c r="D22" s="5" t="s">
        <v>166</v>
      </c>
      <c r="E22" s="5" t="s">
        <v>65</v>
      </c>
      <c r="F22" s="5" t="s">
        <v>24</v>
      </c>
      <c r="G22" s="5" t="s">
        <v>102</v>
      </c>
      <c r="H22" s="5" t="s">
        <v>168</v>
      </c>
      <c r="I22" s="5">
        <v>2.02511002561E12</v>
      </c>
      <c r="J22" s="5"/>
      <c r="K22" s="5" t="s">
        <v>107</v>
      </c>
      <c r="L22" s="5" t="s">
        <v>29</v>
      </c>
      <c r="M22" s="5" t="s">
        <v>30</v>
      </c>
      <c r="N22" s="5"/>
    </row>
    <row r="23" ht="15.75" customHeight="1"/>
    <row r="24" ht="15.75" customHeight="1">
      <c r="A24" s="2" t="s">
        <v>170</v>
      </c>
    </row>
    <row r="25" ht="15.75" customHeight="1">
      <c r="A25" s="3" t="s">
        <v>287</v>
      </c>
    </row>
    <row r="26" ht="15.75" customHeight="1">
      <c r="A26" s="4" t="s">
        <v>4</v>
      </c>
      <c r="B26" s="4" t="s">
        <v>6</v>
      </c>
      <c r="C26" s="4" t="s">
        <v>7</v>
      </c>
      <c r="D26" s="4" t="s">
        <v>8</v>
      </c>
      <c r="E26" s="4" t="s">
        <v>9</v>
      </c>
      <c r="F26" s="4" t="s">
        <v>10</v>
      </c>
      <c r="G26" s="4" t="s">
        <v>11</v>
      </c>
      <c r="H26" s="4" t="s">
        <v>12</v>
      </c>
      <c r="I26" s="4" t="s">
        <v>13</v>
      </c>
      <c r="J26" s="4" t="s">
        <v>14</v>
      </c>
      <c r="K26" s="4" t="s">
        <v>15</v>
      </c>
      <c r="L26" s="4" t="s">
        <v>16</v>
      </c>
      <c r="M26" s="4" t="s">
        <v>17</v>
      </c>
      <c r="N26" s="4" t="s">
        <v>18</v>
      </c>
    </row>
    <row r="27" ht="15.75" customHeight="1">
      <c r="A27" s="5" t="s">
        <v>183</v>
      </c>
      <c r="B27" s="5" t="s">
        <v>298</v>
      </c>
      <c r="C27" s="5" t="s">
        <v>50</v>
      </c>
      <c r="D27" s="5" t="s">
        <v>97</v>
      </c>
      <c r="E27" s="5" t="s">
        <v>37</v>
      </c>
      <c r="F27" s="5" t="s">
        <v>78</v>
      </c>
      <c r="G27" s="5" t="s">
        <v>81</v>
      </c>
      <c r="H27" s="5" t="s">
        <v>104</v>
      </c>
      <c r="I27" s="5">
        <v>2.02407007969E12</v>
      </c>
      <c r="J27" s="5"/>
      <c r="K27" s="5" t="s">
        <v>28</v>
      </c>
      <c r="L27" s="5" t="s">
        <v>29</v>
      </c>
      <c r="M27" s="5" t="s">
        <v>30</v>
      </c>
      <c r="N27" s="5"/>
    </row>
    <row r="28" ht="15.75" customHeight="1">
      <c r="A28" s="5" t="s">
        <v>183</v>
      </c>
      <c r="B28" s="5" t="s">
        <v>309</v>
      </c>
      <c r="C28" s="5" t="s">
        <v>62</v>
      </c>
      <c r="D28" s="5" t="s">
        <v>135</v>
      </c>
      <c r="E28" s="5" t="s">
        <v>311</v>
      </c>
      <c r="F28" s="5" t="s">
        <v>78</v>
      </c>
      <c r="G28" s="5" t="s">
        <v>81</v>
      </c>
      <c r="H28" s="5" t="s">
        <v>137</v>
      </c>
      <c r="I28" s="5" t="s">
        <v>314</v>
      </c>
      <c r="J28" s="5"/>
      <c r="K28" s="5" t="s">
        <v>28</v>
      </c>
      <c r="L28" s="5" t="s">
        <v>29</v>
      </c>
      <c r="M28" s="5" t="s">
        <v>30</v>
      </c>
      <c r="N28" s="5"/>
    </row>
    <row r="29" ht="15.75" customHeight="1">
      <c r="A29" s="5" t="s">
        <v>183</v>
      </c>
      <c r="B29" s="5" t="s">
        <v>319</v>
      </c>
      <c r="C29" s="5" t="s">
        <v>62</v>
      </c>
      <c r="D29" s="5" t="s">
        <v>135</v>
      </c>
      <c r="E29" s="5" t="s">
        <v>77</v>
      </c>
      <c r="F29" s="5" t="s">
        <v>78</v>
      </c>
      <c r="G29" s="5" t="s">
        <v>81</v>
      </c>
      <c r="H29" s="5" t="s">
        <v>137</v>
      </c>
      <c r="I29" s="5">
        <v>734179.0</v>
      </c>
      <c r="J29" s="5"/>
      <c r="K29" s="5" t="s">
        <v>28</v>
      </c>
      <c r="L29" s="5" t="s">
        <v>29</v>
      </c>
      <c r="M29" s="5" t="s">
        <v>30</v>
      </c>
      <c r="N29" s="5"/>
    </row>
    <row r="30" ht="15.75" customHeight="1">
      <c r="A30" s="5" t="s">
        <v>183</v>
      </c>
      <c r="B30" s="5" t="s">
        <v>324</v>
      </c>
      <c r="C30" s="5" t="s">
        <v>133</v>
      </c>
      <c r="D30" s="5" t="s">
        <v>97</v>
      </c>
      <c r="E30" s="5" t="s">
        <v>77</v>
      </c>
      <c r="F30" s="5" t="s">
        <v>24</v>
      </c>
      <c r="G30" s="5" t="s">
        <v>102</v>
      </c>
      <c r="H30" s="5" t="s">
        <v>104</v>
      </c>
      <c r="I30" s="5">
        <v>2.02503000413E12</v>
      </c>
      <c r="J30" s="5"/>
      <c r="K30" s="5" t="s">
        <v>28</v>
      </c>
      <c r="L30" s="5" t="s">
        <v>29</v>
      </c>
      <c r="M30" s="5" t="s">
        <v>30</v>
      </c>
      <c r="N30" s="5"/>
    </row>
    <row r="31" ht="15.75" customHeight="1">
      <c r="A31" s="5" t="s">
        <v>183</v>
      </c>
      <c r="B31" s="5" t="s">
        <v>330</v>
      </c>
      <c r="C31" s="5" t="s">
        <v>43</v>
      </c>
      <c r="D31" s="5" t="s">
        <v>332</v>
      </c>
      <c r="E31" s="5" t="s">
        <v>311</v>
      </c>
      <c r="F31" s="5" t="s">
        <v>78</v>
      </c>
      <c r="G31" s="5" t="s">
        <v>81</v>
      </c>
      <c r="H31" s="5" t="s">
        <v>333</v>
      </c>
      <c r="I31" s="5">
        <v>2.025120006092E13</v>
      </c>
      <c r="J31" s="5" t="s">
        <v>335</v>
      </c>
      <c r="K31" s="5" t="s">
        <v>28</v>
      </c>
      <c r="L31" s="5" t="s">
        <v>29</v>
      </c>
      <c r="M31" s="5" t="s">
        <v>30</v>
      </c>
      <c r="N31" s="5"/>
    </row>
    <row r="32" ht="15.75" customHeight="1">
      <c r="A32" s="5" t="s">
        <v>183</v>
      </c>
      <c r="B32" s="5" t="s">
        <v>342</v>
      </c>
      <c r="C32" s="5" t="s">
        <v>111</v>
      </c>
      <c r="D32" s="5" t="s">
        <v>115</v>
      </c>
      <c r="E32" s="5" t="s">
        <v>280</v>
      </c>
      <c r="F32" s="5" t="s">
        <v>24</v>
      </c>
      <c r="G32" s="5" t="s">
        <v>119</v>
      </c>
      <c r="H32" s="5" t="s">
        <v>120</v>
      </c>
      <c r="I32" s="5">
        <v>2.02307003865E12</v>
      </c>
      <c r="J32" s="5" t="s">
        <v>350</v>
      </c>
      <c r="K32" s="5" t="s">
        <v>40</v>
      </c>
      <c r="L32" s="5" t="s">
        <v>29</v>
      </c>
      <c r="M32" s="5" t="s">
        <v>30</v>
      </c>
      <c r="N32" s="5"/>
    </row>
    <row r="33" ht="15.75" customHeight="1">
      <c r="A33" s="5" t="s">
        <v>183</v>
      </c>
      <c r="B33" s="5" t="s">
        <v>354</v>
      </c>
      <c r="C33" s="5" t="s">
        <v>112</v>
      </c>
      <c r="D33" s="5" t="s">
        <v>97</v>
      </c>
      <c r="E33" s="5" t="s">
        <v>73</v>
      </c>
      <c r="F33" s="5" t="s">
        <v>78</v>
      </c>
      <c r="G33" s="5" t="s">
        <v>81</v>
      </c>
      <c r="H33" s="5" t="s">
        <v>104</v>
      </c>
      <c r="I33" s="5">
        <v>0.0</v>
      </c>
      <c r="J33" s="5"/>
      <c r="K33" s="5" t="s">
        <v>28</v>
      </c>
      <c r="L33" s="5" t="s">
        <v>29</v>
      </c>
      <c r="M33" s="5" t="s">
        <v>30</v>
      </c>
      <c r="N33" s="5"/>
    </row>
    <row r="34" ht="15.75" customHeight="1">
      <c r="A34" s="5" t="s">
        <v>183</v>
      </c>
      <c r="B34" s="5" t="s">
        <v>155</v>
      </c>
      <c r="C34" s="5" t="s">
        <v>50</v>
      </c>
      <c r="D34" s="5" t="s">
        <v>215</v>
      </c>
      <c r="E34" s="5" t="s">
        <v>53</v>
      </c>
      <c r="F34" s="5" t="s">
        <v>78</v>
      </c>
      <c r="G34" s="5" t="s">
        <v>81</v>
      </c>
      <c r="H34" s="5" t="s">
        <v>219</v>
      </c>
      <c r="I34" s="5" t="s">
        <v>159</v>
      </c>
      <c r="J34" s="5"/>
      <c r="K34" s="5" t="s">
        <v>40</v>
      </c>
      <c r="L34" s="5" t="s">
        <v>29</v>
      </c>
      <c r="M34" s="5" t="s">
        <v>30</v>
      </c>
      <c r="N34" s="5"/>
    </row>
    <row r="35" ht="15.75" customHeight="1">
      <c r="A35" s="5" t="s">
        <v>183</v>
      </c>
      <c r="B35" s="5" t="s">
        <v>367</v>
      </c>
      <c r="C35" s="5" t="s">
        <v>61</v>
      </c>
      <c r="D35" s="5" t="s">
        <v>97</v>
      </c>
      <c r="E35" s="5" t="s">
        <v>280</v>
      </c>
      <c r="F35" s="5" t="s">
        <v>98</v>
      </c>
      <c r="G35" s="5" t="s">
        <v>119</v>
      </c>
      <c r="H35" s="5" t="s">
        <v>104</v>
      </c>
      <c r="I35" s="5">
        <v>1.0664685E7</v>
      </c>
      <c r="J35" s="5" t="s">
        <v>370</v>
      </c>
      <c r="K35" s="5" t="s">
        <v>28</v>
      </c>
      <c r="L35" s="5" t="s">
        <v>29</v>
      </c>
      <c r="M35" s="5" t="s">
        <v>30</v>
      </c>
      <c r="N35" s="5"/>
    </row>
    <row r="36" ht="15.75" customHeight="1">
      <c r="A36" s="5" t="s">
        <v>183</v>
      </c>
      <c r="B36" s="5" t="s">
        <v>372</v>
      </c>
      <c r="C36" s="5" t="s">
        <v>21</v>
      </c>
      <c r="D36" s="5" t="s">
        <v>97</v>
      </c>
      <c r="E36" s="5" t="s">
        <v>311</v>
      </c>
      <c r="F36" s="5" t="s">
        <v>78</v>
      </c>
      <c r="G36" s="5" t="s">
        <v>81</v>
      </c>
      <c r="H36" s="5" t="s">
        <v>104</v>
      </c>
      <c r="I36" s="5">
        <v>2.02510009487E12</v>
      </c>
      <c r="J36" s="5"/>
      <c r="K36" s="5" t="s">
        <v>28</v>
      </c>
      <c r="L36" s="5" t="s">
        <v>29</v>
      </c>
      <c r="M36" s="5" t="s">
        <v>30</v>
      </c>
      <c r="N36" s="5"/>
    </row>
    <row r="37" ht="15.75" customHeight="1">
      <c r="A37" s="5" t="s">
        <v>183</v>
      </c>
      <c r="B37" s="5" t="s">
        <v>379</v>
      </c>
      <c r="C37" s="5" t="s">
        <v>61</v>
      </c>
      <c r="D37" s="5" t="s">
        <v>166</v>
      </c>
      <c r="E37" s="5" t="s">
        <v>77</v>
      </c>
      <c r="F37" s="5" t="s">
        <v>24</v>
      </c>
      <c r="G37" s="5" t="s">
        <v>102</v>
      </c>
      <c r="H37" s="5" t="s">
        <v>168</v>
      </c>
      <c r="I37" s="5">
        <v>2.026060016201E12</v>
      </c>
      <c r="J37" s="5"/>
      <c r="K37" s="5" t="s">
        <v>107</v>
      </c>
      <c r="L37" s="5" t="s">
        <v>29</v>
      </c>
      <c r="M37" s="5" t="s">
        <v>30</v>
      </c>
      <c r="N37" s="5"/>
    </row>
    <row r="38" ht="15.75" customHeight="1">
      <c r="A38" s="5" t="s">
        <v>183</v>
      </c>
      <c r="B38" s="5" t="s">
        <v>399</v>
      </c>
      <c r="C38" s="5" t="s">
        <v>50</v>
      </c>
      <c r="D38" s="5" t="s">
        <v>76</v>
      </c>
      <c r="E38" s="5" t="s">
        <v>37</v>
      </c>
      <c r="F38" s="5" t="s">
        <v>98</v>
      </c>
      <c r="G38" s="5" t="s">
        <v>119</v>
      </c>
      <c r="H38" s="5" t="s">
        <v>83</v>
      </c>
      <c r="I38" s="5">
        <v>2.0230003267E11</v>
      </c>
      <c r="J38" s="5"/>
      <c r="K38" s="5" t="s">
        <v>408</v>
      </c>
      <c r="L38" s="5" t="s">
        <v>29</v>
      </c>
      <c r="M38" s="5" t="s">
        <v>30</v>
      </c>
      <c r="N38" s="5"/>
    </row>
    <row r="39" ht="15.75" customHeight="1">
      <c r="A39" s="5" t="s">
        <v>183</v>
      </c>
      <c r="B39" s="5" t="s">
        <v>411</v>
      </c>
      <c r="C39" s="5" t="s">
        <v>177</v>
      </c>
      <c r="D39" s="5" t="s">
        <v>166</v>
      </c>
      <c r="E39" s="5" t="s">
        <v>280</v>
      </c>
      <c r="F39" s="5" t="s">
        <v>78</v>
      </c>
      <c r="G39" s="5" t="s">
        <v>81</v>
      </c>
      <c r="H39" s="5" t="s">
        <v>168</v>
      </c>
      <c r="I39" s="5">
        <v>2.02309002624E12</v>
      </c>
      <c r="J39" s="5"/>
      <c r="K39" s="5" t="s">
        <v>107</v>
      </c>
      <c r="L39" s="5" t="s">
        <v>29</v>
      </c>
      <c r="M39" s="5" t="s">
        <v>30</v>
      </c>
      <c r="N39" s="5"/>
    </row>
    <row r="40" ht="15.75" customHeight="1">
      <c r="A40" s="5" t="s">
        <v>183</v>
      </c>
      <c r="B40" s="5" t="s">
        <v>415</v>
      </c>
      <c r="C40" s="5" t="s">
        <v>62</v>
      </c>
      <c r="D40" s="5" t="s">
        <v>332</v>
      </c>
      <c r="E40" s="5" t="s">
        <v>280</v>
      </c>
      <c r="F40" s="5" t="s">
        <v>24</v>
      </c>
      <c r="G40" s="5" t="s">
        <v>119</v>
      </c>
      <c r="H40" s="5" t="s">
        <v>333</v>
      </c>
      <c r="I40" s="5">
        <v>2.0250400261E12</v>
      </c>
      <c r="J40" s="5"/>
      <c r="K40" s="5" t="s">
        <v>28</v>
      </c>
      <c r="L40" s="5" t="s">
        <v>29</v>
      </c>
      <c r="M40" s="5" t="s">
        <v>30</v>
      </c>
      <c r="N40" s="5"/>
    </row>
    <row r="41" ht="15.75" customHeight="1">
      <c r="A41" s="5" t="s">
        <v>183</v>
      </c>
      <c r="B41" s="5" t="s">
        <v>420</v>
      </c>
      <c r="C41" s="5" t="s">
        <v>111</v>
      </c>
      <c r="D41" s="5" t="s">
        <v>215</v>
      </c>
      <c r="E41" s="5" t="s">
        <v>311</v>
      </c>
      <c r="F41" s="5" t="s">
        <v>24</v>
      </c>
      <c r="G41" s="5" t="s">
        <v>102</v>
      </c>
      <c r="H41" s="5" t="s">
        <v>219</v>
      </c>
      <c r="I41" s="5">
        <v>2.02512000287E12</v>
      </c>
      <c r="J41" s="5" t="s">
        <v>422</v>
      </c>
      <c r="K41" s="5" t="s">
        <v>40</v>
      </c>
      <c r="L41" s="5" t="s">
        <v>29</v>
      </c>
      <c r="M41" s="5" t="s">
        <v>30</v>
      </c>
      <c r="N41" s="5"/>
    </row>
    <row r="42" ht="15.75" customHeight="1"/>
    <row r="43" ht="15.75" customHeight="1">
      <c r="A43" s="2" t="s">
        <v>286</v>
      </c>
    </row>
    <row r="44" ht="15.75" customHeight="1">
      <c r="A44" s="3" t="s">
        <v>426</v>
      </c>
    </row>
    <row r="45" ht="15.75" customHeight="1">
      <c r="A45" s="4" t="s">
        <v>4</v>
      </c>
      <c r="B45" s="4" t="s">
        <v>6</v>
      </c>
      <c r="C45" s="4" t="s">
        <v>7</v>
      </c>
      <c r="D45" s="4" t="s">
        <v>8</v>
      </c>
      <c r="E45" s="4" t="s">
        <v>9</v>
      </c>
      <c r="F45" s="4" t="s">
        <v>10</v>
      </c>
      <c r="G45" s="4" t="s">
        <v>11</v>
      </c>
      <c r="H45" s="4" t="s">
        <v>12</v>
      </c>
      <c r="I45" s="4" t="s">
        <v>13</v>
      </c>
      <c r="J45" s="4" t="s">
        <v>14</v>
      </c>
      <c r="K45" s="4" t="s">
        <v>15</v>
      </c>
      <c r="L45" s="4" t="s">
        <v>16</v>
      </c>
      <c r="M45" s="4" t="s">
        <v>17</v>
      </c>
      <c r="N45" s="4" t="s">
        <v>18</v>
      </c>
    </row>
    <row r="46" ht="15.75" customHeight="1">
      <c r="A46" s="5" t="s">
        <v>297</v>
      </c>
      <c r="B46" s="5" t="s">
        <v>436</v>
      </c>
      <c r="C46" s="5" t="s">
        <v>177</v>
      </c>
      <c r="D46" s="5" t="s">
        <v>437</v>
      </c>
      <c r="E46" s="5" t="s">
        <v>280</v>
      </c>
      <c r="F46" s="5" t="s">
        <v>98</v>
      </c>
      <c r="G46" s="5" t="s">
        <v>119</v>
      </c>
      <c r="H46" s="5" t="s">
        <v>137</v>
      </c>
      <c r="I46" s="5">
        <v>2.02506006188E12</v>
      </c>
      <c r="J46" s="5" t="s">
        <v>446</v>
      </c>
      <c r="K46" s="5" t="s">
        <v>302</v>
      </c>
      <c r="L46" s="5" t="s">
        <v>304</v>
      </c>
      <c r="M46" s="5" t="s">
        <v>59</v>
      </c>
      <c r="N46" s="5"/>
    </row>
    <row r="47" ht="15.75" customHeight="1">
      <c r="A47" s="5" t="s">
        <v>297</v>
      </c>
      <c r="B47" s="5" t="s">
        <v>452</v>
      </c>
      <c r="C47" s="5" t="s">
        <v>262</v>
      </c>
      <c r="D47" s="5" t="s">
        <v>115</v>
      </c>
      <c r="E47" s="5" t="s">
        <v>77</v>
      </c>
      <c r="F47" s="5" t="s">
        <v>78</v>
      </c>
      <c r="G47" s="5" t="s">
        <v>102</v>
      </c>
      <c r="H47" s="5" t="s">
        <v>120</v>
      </c>
      <c r="I47" s="5">
        <v>2.02605003677E12</v>
      </c>
      <c r="J47" s="5"/>
      <c r="K47" s="5" t="s">
        <v>40</v>
      </c>
      <c r="L47" s="5" t="s">
        <v>29</v>
      </c>
      <c r="M47" s="5" t="s">
        <v>30</v>
      </c>
      <c r="N47" s="5"/>
    </row>
    <row r="48" ht="15.75" customHeight="1">
      <c r="A48" s="5" t="s">
        <v>297</v>
      </c>
      <c r="B48" s="5" t="s">
        <v>330</v>
      </c>
      <c r="C48" s="5" t="s">
        <v>43</v>
      </c>
      <c r="D48" s="5" t="s">
        <v>115</v>
      </c>
      <c r="E48" s="5" t="s">
        <v>311</v>
      </c>
      <c r="F48" s="5" t="s">
        <v>78</v>
      </c>
      <c r="G48" s="5" t="s">
        <v>81</v>
      </c>
      <c r="H48" s="5" t="s">
        <v>120</v>
      </c>
      <c r="I48" s="5">
        <v>2.025120006092E13</v>
      </c>
      <c r="J48" s="5" t="s">
        <v>335</v>
      </c>
      <c r="K48" s="5" t="s">
        <v>40</v>
      </c>
      <c r="L48" s="5" t="s">
        <v>29</v>
      </c>
      <c r="M48" s="5" t="s">
        <v>30</v>
      </c>
      <c r="N48" s="5"/>
    </row>
    <row r="49" ht="15.75" customHeight="1">
      <c r="A49" s="5" t="s">
        <v>297</v>
      </c>
      <c r="B49" s="5" t="s">
        <v>155</v>
      </c>
      <c r="C49" s="5" t="s">
        <v>50</v>
      </c>
      <c r="D49" s="5" t="s">
        <v>461</v>
      </c>
      <c r="E49" s="5" t="s">
        <v>53</v>
      </c>
      <c r="F49" s="5" t="s">
        <v>78</v>
      </c>
      <c r="G49" s="5" t="s">
        <v>81</v>
      </c>
      <c r="H49" s="5" t="s">
        <v>83</v>
      </c>
      <c r="I49" s="5" t="s">
        <v>159</v>
      </c>
      <c r="J49" s="5"/>
      <c r="K49" s="5" t="s">
        <v>464</v>
      </c>
      <c r="L49" s="5" t="s">
        <v>304</v>
      </c>
      <c r="M49" s="5" t="s">
        <v>59</v>
      </c>
      <c r="N49" s="5"/>
    </row>
    <row r="50" ht="15.75" customHeight="1">
      <c r="A50" s="5" t="s">
        <v>297</v>
      </c>
      <c r="B50" s="5" t="s">
        <v>367</v>
      </c>
      <c r="C50" s="5" t="s">
        <v>61</v>
      </c>
      <c r="D50" s="5" t="s">
        <v>467</v>
      </c>
      <c r="E50" s="5" t="s">
        <v>280</v>
      </c>
      <c r="F50" s="5" t="s">
        <v>98</v>
      </c>
      <c r="G50" s="5" t="s">
        <v>119</v>
      </c>
      <c r="H50" s="5" t="s">
        <v>179</v>
      </c>
      <c r="I50" s="5">
        <v>1.0664685E7</v>
      </c>
      <c r="J50" s="5" t="s">
        <v>370</v>
      </c>
      <c r="K50" s="5" t="s">
        <v>302</v>
      </c>
      <c r="L50" s="5" t="s">
        <v>304</v>
      </c>
      <c r="M50" s="5" t="s">
        <v>59</v>
      </c>
      <c r="N50" s="5"/>
    </row>
    <row r="51" ht="15.75" customHeight="1">
      <c r="A51" s="5" t="s">
        <v>297</v>
      </c>
      <c r="B51" s="5" t="s">
        <v>480</v>
      </c>
      <c r="C51" s="5" t="s">
        <v>112</v>
      </c>
      <c r="D51" s="5" t="s">
        <v>437</v>
      </c>
      <c r="E51" s="5" t="s">
        <v>95</v>
      </c>
      <c r="F51" s="5" t="s">
        <v>24</v>
      </c>
      <c r="G51" s="5" t="s">
        <v>119</v>
      </c>
      <c r="H51" s="5" t="s">
        <v>137</v>
      </c>
      <c r="I51" s="5">
        <v>2.02308004181E12</v>
      </c>
      <c r="J51" s="5" t="s">
        <v>484</v>
      </c>
      <c r="K51" s="5" t="s">
        <v>302</v>
      </c>
      <c r="L51" s="5" t="s">
        <v>304</v>
      </c>
      <c r="M51" s="5" t="s">
        <v>59</v>
      </c>
      <c r="N51" s="5"/>
    </row>
    <row r="52" ht="15.75" customHeight="1">
      <c r="A52" s="5" t="s">
        <v>297</v>
      </c>
      <c r="B52" s="5" t="s">
        <v>165</v>
      </c>
      <c r="C52" s="5" t="s">
        <v>133</v>
      </c>
      <c r="D52" s="5" t="s">
        <v>490</v>
      </c>
      <c r="E52" s="5" t="s">
        <v>77</v>
      </c>
      <c r="F52" s="5" t="s">
        <v>78</v>
      </c>
      <c r="G52" s="5" t="s">
        <v>81</v>
      </c>
      <c r="H52" s="5" t="s">
        <v>104</v>
      </c>
      <c r="I52" s="5">
        <v>2.0240500471E12</v>
      </c>
      <c r="J52" s="5"/>
      <c r="K52" s="5" t="s">
        <v>302</v>
      </c>
      <c r="L52" s="5" t="s">
        <v>304</v>
      </c>
      <c r="M52" s="5" t="s">
        <v>59</v>
      </c>
      <c r="N52" s="5"/>
    </row>
    <row r="53" ht="15.75" customHeight="1">
      <c r="A53" s="5" t="s">
        <v>297</v>
      </c>
      <c r="B53" s="5" t="s">
        <v>495</v>
      </c>
      <c r="C53" s="5" t="s">
        <v>43</v>
      </c>
      <c r="D53" s="5" t="s">
        <v>467</v>
      </c>
      <c r="E53" s="5" t="s">
        <v>280</v>
      </c>
      <c r="F53" s="5" t="s">
        <v>24</v>
      </c>
      <c r="G53" s="5" t="s">
        <v>119</v>
      </c>
      <c r="H53" s="5" t="s">
        <v>179</v>
      </c>
      <c r="I53" s="5">
        <v>2.02502003708E12</v>
      </c>
      <c r="J53" s="5"/>
      <c r="K53" s="5" t="s">
        <v>302</v>
      </c>
      <c r="L53" s="5" t="s">
        <v>304</v>
      </c>
      <c r="M53" s="5" t="s">
        <v>59</v>
      </c>
      <c r="N53" s="5"/>
    </row>
    <row r="54" ht="15.75" customHeight="1">
      <c r="A54" s="5" t="s">
        <v>297</v>
      </c>
      <c r="B54" s="5" t="s">
        <v>372</v>
      </c>
      <c r="C54" s="5" t="s">
        <v>21</v>
      </c>
      <c r="D54" s="5" t="s">
        <v>467</v>
      </c>
      <c r="E54" s="5" t="s">
        <v>311</v>
      </c>
      <c r="F54" s="5" t="s">
        <v>78</v>
      </c>
      <c r="G54" s="5" t="s">
        <v>81</v>
      </c>
      <c r="H54" s="5" t="s">
        <v>179</v>
      </c>
      <c r="I54" s="5">
        <v>2.02510009487E12</v>
      </c>
      <c r="J54" s="5"/>
      <c r="K54" s="5" t="s">
        <v>302</v>
      </c>
      <c r="L54" s="5" t="s">
        <v>304</v>
      </c>
      <c r="M54" s="5" t="s">
        <v>59</v>
      </c>
      <c r="N54" s="5"/>
    </row>
    <row r="55" ht="15.75" customHeight="1">
      <c r="A55" s="5" t="s">
        <v>297</v>
      </c>
      <c r="B55" s="5" t="s">
        <v>503</v>
      </c>
      <c r="C55" s="5" t="s">
        <v>62</v>
      </c>
      <c r="D55" s="5" t="s">
        <v>332</v>
      </c>
      <c r="E55" s="5" t="s">
        <v>77</v>
      </c>
      <c r="F55" s="5" t="s">
        <v>78</v>
      </c>
      <c r="G55" s="5" t="s">
        <v>81</v>
      </c>
      <c r="H55" s="5" t="s">
        <v>333</v>
      </c>
      <c r="I55" s="5">
        <v>2.02507003326E12</v>
      </c>
      <c r="J55" s="5"/>
      <c r="K55" s="5" t="s">
        <v>28</v>
      </c>
      <c r="L55" s="5" t="s">
        <v>29</v>
      </c>
      <c r="M55" s="5" t="s">
        <v>30</v>
      </c>
      <c r="N55" s="5"/>
    </row>
    <row r="56" ht="15.75" customHeight="1">
      <c r="A56" s="5" t="s">
        <v>297</v>
      </c>
      <c r="B56" s="5" t="s">
        <v>411</v>
      </c>
      <c r="C56" s="5" t="s">
        <v>177</v>
      </c>
      <c r="D56" s="5" t="s">
        <v>490</v>
      </c>
      <c r="E56" s="5" t="s">
        <v>280</v>
      </c>
      <c r="F56" s="5" t="s">
        <v>78</v>
      </c>
      <c r="G56" s="5" t="s">
        <v>81</v>
      </c>
      <c r="H56" s="5" t="s">
        <v>104</v>
      </c>
      <c r="I56" s="5">
        <v>2.02309002624E12</v>
      </c>
      <c r="J56" s="5"/>
      <c r="K56" s="5" t="s">
        <v>302</v>
      </c>
      <c r="L56" s="5" t="s">
        <v>304</v>
      </c>
      <c r="M56" s="5" t="s">
        <v>59</v>
      </c>
      <c r="N56" s="5"/>
    </row>
    <row r="57" ht="15.75" customHeight="1">
      <c r="A57" s="5" t="s">
        <v>297</v>
      </c>
      <c r="B57" s="5" t="s">
        <v>512</v>
      </c>
      <c r="C57" s="5" t="s">
        <v>124</v>
      </c>
      <c r="D57" s="5" t="s">
        <v>437</v>
      </c>
      <c r="E57" s="5" t="s">
        <v>77</v>
      </c>
      <c r="F57" s="5" t="s">
        <v>24</v>
      </c>
      <c r="G57" s="5" t="s">
        <v>102</v>
      </c>
      <c r="H57" s="5" t="s">
        <v>137</v>
      </c>
      <c r="I57" s="5">
        <v>2.02504004247E12</v>
      </c>
      <c r="J57" s="5" t="s">
        <v>517</v>
      </c>
      <c r="K57" s="5" t="s">
        <v>302</v>
      </c>
      <c r="L57" s="5" t="s">
        <v>304</v>
      </c>
      <c r="M57" s="5" t="s">
        <v>59</v>
      </c>
      <c r="N57" s="5"/>
    </row>
    <row r="58" ht="15.75" customHeight="1">
      <c r="A58" s="5" t="s">
        <v>297</v>
      </c>
      <c r="B58" s="5" t="s">
        <v>518</v>
      </c>
      <c r="C58" s="5" t="s">
        <v>94</v>
      </c>
      <c r="D58" s="5" t="s">
        <v>519</v>
      </c>
      <c r="E58" s="5" t="s">
        <v>65</v>
      </c>
      <c r="F58" s="5" t="s">
        <v>78</v>
      </c>
      <c r="G58" s="5" t="s">
        <v>81</v>
      </c>
      <c r="H58" s="5" t="s">
        <v>219</v>
      </c>
      <c r="I58" s="5" t="s">
        <v>520</v>
      </c>
      <c r="J58" s="5"/>
      <c r="K58" s="5" t="s">
        <v>348</v>
      </c>
      <c r="L58" s="5" t="s">
        <v>304</v>
      </c>
      <c r="M58" s="5" t="s">
        <v>59</v>
      </c>
      <c r="N58" s="5"/>
    </row>
    <row r="59" ht="15.75" customHeight="1">
      <c r="A59" s="5" t="s">
        <v>297</v>
      </c>
      <c r="B59" s="5" t="s">
        <v>415</v>
      </c>
      <c r="C59" s="5" t="s">
        <v>62</v>
      </c>
      <c r="D59" s="5" t="s">
        <v>522</v>
      </c>
      <c r="E59" s="5" t="s">
        <v>280</v>
      </c>
      <c r="F59" s="5" t="s">
        <v>24</v>
      </c>
      <c r="G59" s="5" t="s">
        <v>119</v>
      </c>
      <c r="H59" s="5" t="s">
        <v>120</v>
      </c>
      <c r="I59" s="5">
        <v>2.0250400261E12</v>
      </c>
      <c r="J59" s="5"/>
      <c r="K59" s="5" t="s">
        <v>348</v>
      </c>
      <c r="L59" s="5" t="s">
        <v>304</v>
      </c>
      <c r="M59" s="5" t="s">
        <v>59</v>
      </c>
      <c r="N59" s="5"/>
    </row>
    <row r="60" ht="15.75" customHeight="1">
      <c r="A60" s="5" t="s">
        <v>297</v>
      </c>
      <c r="B60" s="5" t="s">
        <v>529</v>
      </c>
      <c r="C60" s="5" t="s">
        <v>177</v>
      </c>
      <c r="D60" s="5" t="s">
        <v>519</v>
      </c>
      <c r="E60" s="5" t="s">
        <v>65</v>
      </c>
      <c r="F60" s="5" t="s">
        <v>78</v>
      </c>
      <c r="G60" s="5" t="s">
        <v>81</v>
      </c>
      <c r="H60" s="5" t="s">
        <v>219</v>
      </c>
      <c r="I60" s="5">
        <v>0.0</v>
      </c>
      <c r="J60" s="5"/>
      <c r="K60" s="5" t="s">
        <v>348</v>
      </c>
      <c r="L60" s="5" t="s">
        <v>304</v>
      </c>
      <c r="M60" s="5" t="s">
        <v>59</v>
      </c>
      <c r="N60" s="5"/>
    </row>
    <row r="61" ht="15.75" customHeight="1">
      <c r="A61" s="5" t="s">
        <v>297</v>
      </c>
      <c r="B61" s="5" t="s">
        <v>534</v>
      </c>
      <c r="C61" s="5" t="s">
        <v>145</v>
      </c>
      <c r="D61" s="5" t="s">
        <v>467</v>
      </c>
      <c r="E61" s="5" t="s">
        <v>311</v>
      </c>
      <c r="F61" s="5" t="s">
        <v>78</v>
      </c>
      <c r="G61" s="5" t="s">
        <v>81</v>
      </c>
      <c r="H61" s="5" t="s">
        <v>179</v>
      </c>
      <c r="I61" s="5">
        <v>2.02401003279E12</v>
      </c>
      <c r="J61" s="5"/>
      <c r="K61" s="5" t="s">
        <v>302</v>
      </c>
      <c r="L61" s="5" t="s">
        <v>304</v>
      </c>
      <c r="M61" s="5" t="s">
        <v>59</v>
      </c>
      <c r="N61" s="5"/>
    </row>
    <row r="62" ht="15.75" customHeight="1">
      <c r="A62" s="5" t="s">
        <v>297</v>
      </c>
      <c r="B62" s="5" t="s">
        <v>540</v>
      </c>
      <c r="C62" s="5" t="s">
        <v>177</v>
      </c>
      <c r="D62" s="5" t="s">
        <v>437</v>
      </c>
      <c r="E62" s="5" t="s">
        <v>311</v>
      </c>
      <c r="F62" s="5" t="s">
        <v>24</v>
      </c>
      <c r="G62" s="5" t="s">
        <v>102</v>
      </c>
      <c r="H62" s="5" t="s">
        <v>137</v>
      </c>
      <c r="I62" s="5">
        <v>2.02312003242E12</v>
      </c>
      <c r="J62" s="5" t="s">
        <v>545</v>
      </c>
      <c r="K62" s="5" t="s">
        <v>302</v>
      </c>
      <c r="L62" s="5" t="s">
        <v>304</v>
      </c>
      <c r="M62" s="5" t="s">
        <v>59</v>
      </c>
      <c r="N62" s="5"/>
    </row>
    <row r="63" ht="15.75" customHeight="1">
      <c r="A63" s="5" t="s">
        <v>297</v>
      </c>
      <c r="B63" s="5" t="s">
        <v>546</v>
      </c>
      <c r="C63" s="5" t="s">
        <v>94</v>
      </c>
      <c r="D63" s="5" t="s">
        <v>548</v>
      </c>
      <c r="E63" s="5" t="s">
        <v>53</v>
      </c>
      <c r="F63" s="5" t="s">
        <v>78</v>
      </c>
      <c r="G63" s="5" t="s">
        <v>81</v>
      </c>
      <c r="H63" s="5" t="s">
        <v>168</v>
      </c>
      <c r="I63" s="5">
        <v>2.0240900758E12</v>
      </c>
      <c r="J63" s="5"/>
      <c r="K63" s="5" t="s">
        <v>363</v>
      </c>
      <c r="L63" s="5" t="s">
        <v>304</v>
      </c>
      <c r="M63" s="5" t="s">
        <v>59</v>
      </c>
      <c r="N63" s="5"/>
    </row>
    <row r="64" ht="15.75" customHeight="1"/>
    <row r="65" ht="15.75" customHeight="1">
      <c r="A65" s="6" t="s">
        <v>414</v>
      </c>
    </row>
    <row r="66" ht="15.75" customHeight="1">
      <c r="A66" s="6" t="s">
        <v>555</v>
      </c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5.75" customHeight="1">
      <c r="A68" s="6" t="s">
        <v>4</v>
      </c>
      <c r="B68" s="6" t="s">
        <v>6</v>
      </c>
      <c r="C68" s="6" t="s">
        <v>7</v>
      </c>
      <c r="D68" s="6" t="s">
        <v>8</v>
      </c>
      <c r="E68" s="6" t="s">
        <v>9</v>
      </c>
      <c r="F68" s="6" t="s">
        <v>10</v>
      </c>
      <c r="G68" s="6" t="s">
        <v>11</v>
      </c>
      <c r="H68" s="9" t="s">
        <v>12</v>
      </c>
      <c r="I68" s="6" t="s">
        <v>13</v>
      </c>
      <c r="J68" s="6" t="s">
        <v>14</v>
      </c>
      <c r="K68" s="6" t="s">
        <v>15</v>
      </c>
      <c r="L68" s="10" t="s">
        <v>16</v>
      </c>
      <c r="M68" s="6" t="s">
        <v>17</v>
      </c>
      <c r="N68" s="6" t="s">
        <v>18</v>
      </c>
    </row>
    <row r="69" ht="15.75" customHeight="1">
      <c r="A69" s="8" t="s">
        <v>424</v>
      </c>
      <c r="B69" s="8" t="s">
        <v>573</v>
      </c>
      <c r="C69" s="8" t="s">
        <v>428</v>
      </c>
      <c r="D69" s="8" t="s">
        <v>429</v>
      </c>
      <c r="E69" s="8" t="s">
        <v>541</v>
      </c>
      <c r="F69" s="8" t="s">
        <v>24</v>
      </c>
      <c r="G69" s="8" t="s">
        <v>577</v>
      </c>
      <c r="H69" s="11" t="s">
        <v>168</v>
      </c>
      <c r="I69" s="8" t="s">
        <v>582</v>
      </c>
      <c r="J69" s="8"/>
      <c r="K69" s="8"/>
      <c r="L69" s="12"/>
      <c r="M69" s="8" t="s">
        <v>30</v>
      </c>
      <c r="N69" s="8"/>
    </row>
    <row r="70" ht="15.75" customHeight="1">
      <c r="A70" s="8" t="s">
        <v>424</v>
      </c>
      <c r="B70" s="8" t="s">
        <v>586</v>
      </c>
      <c r="C70" s="8" t="s">
        <v>588</v>
      </c>
      <c r="D70" s="8" t="s">
        <v>429</v>
      </c>
      <c r="E70" s="8" t="s">
        <v>541</v>
      </c>
      <c r="F70" s="8" t="s">
        <v>24</v>
      </c>
      <c r="G70" s="8" t="s">
        <v>577</v>
      </c>
      <c r="H70" s="11" t="s">
        <v>179</v>
      </c>
      <c r="I70" s="8" t="s">
        <v>590</v>
      </c>
      <c r="J70" s="8"/>
      <c r="K70" s="8"/>
      <c r="L70" s="12"/>
      <c r="M70" s="8" t="s">
        <v>30</v>
      </c>
      <c r="N70" s="8"/>
    </row>
    <row r="71" ht="15.75" customHeight="1">
      <c r="A71" s="8" t="s">
        <v>424</v>
      </c>
      <c r="B71" s="8" t="s">
        <v>298</v>
      </c>
      <c r="C71" s="8" t="s">
        <v>596</v>
      </c>
      <c r="D71" s="8" t="s">
        <v>429</v>
      </c>
      <c r="E71" s="8" t="s">
        <v>459</v>
      </c>
      <c r="F71" s="8" t="s">
        <v>78</v>
      </c>
      <c r="G71" s="8" t="s">
        <v>600</v>
      </c>
      <c r="H71" s="11" t="s">
        <v>179</v>
      </c>
      <c r="I71" s="8" t="s">
        <v>601</v>
      </c>
      <c r="J71" s="8"/>
      <c r="K71" s="8"/>
      <c r="L71" s="12"/>
      <c r="M71" s="8" t="s">
        <v>30</v>
      </c>
      <c r="N71" s="8"/>
    </row>
    <row r="72" ht="15.75" customHeight="1">
      <c r="A72" s="13" t="s">
        <v>424</v>
      </c>
      <c r="B72" s="13" t="s">
        <v>109</v>
      </c>
      <c r="C72" s="13" t="s">
        <v>608</v>
      </c>
      <c r="D72" s="13" t="s">
        <v>30</v>
      </c>
      <c r="E72" s="13" t="s">
        <v>556</v>
      </c>
      <c r="F72" s="13" t="s">
        <v>24</v>
      </c>
      <c r="G72" s="13" t="s">
        <v>610</v>
      </c>
      <c r="H72" s="14" t="s">
        <v>219</v>
      </c>
      <c r="I72" s="13" t="s">
        <v>612</v>
      </c>
      <c r="J72" s="13" t="s">
        <v>121</v>
      </c>
      <c r="K72" s="13"/>
      <c r="L72" s="15"/>
      <c r="M72" s="13" t="s">
        <v>30</v>
      </c>
      <c r="N72" s="13"/>
    </row>
    <row r="73" ht="15.75" customHeight="1">
      <c r="A73" s="8" t="s">
        <v>424</v>
      </c>
      <c r="B73" s="8" t="s">
        <v>615</v>
      </c>
      <c r="C73" s="8" t="s">
        <v>616</v>
      </c>
      <c r="D73" s="8" t="s">
        <v>429</v>
      </c>
      <c r="E73" s="8" t="s">
        <v>459</v>
      </c>
      <c r="F73" s="8" t="s">
        <v>78</v>
      </c>
      <c r="G73" s="8" t="s">
        <v>600</v>
      </c>
      <c r="H73" s="11" t="s">
        <v>168</v>
      </c>
      <c r="I73" s="8" t="s">
        <v>617</v>
      </c>
      <c r="J73" s="8"/>
      <c r="K73" s="8"/>
      <c r="L73" s="12"/>
      <c r="M73" s="8" t="s">
        <v>30</v>
      </c>
      <c r="N73" s="8" t="s">
        <v>618</v>
      </c>
    </row>
    <row r="74" ht="15.75" customHeight="1">
      <c r="A74" s="8" t="s">
        <v>424</v>
      </c>
      <c r="B74" s="8" t="s">
        <v>129</v>
      </c>
      <c r="C74" s="8" t="s">
        <v>445</v>
      </c>
      <c r="D74" s="8" t="s">
        <v>429</v>
      </c>
      <c r="E74" s="8" t="s">
        <v>459</v>
      </c>
      <c r="F74" s="8" t="s">
        <v>78</v>
      </c>
      <c r="G74" s="8" t="s">
        <v>600</v>
      </c>
      <c r="H74" s="11" t="s">
        <v>333</v>
      </c>
      <c r="I74" s="8" t="s">
        <v>620</v>
      </c>
      <c r="J74" s="8"/>
      <c r="K74" s="8"/>
      <c r="L74" s="12"/>
      <c r="M74" s="8" t="s">
        <v>30</v>
      </c>
      <c r="N74" s="8"/>
    </row>
    <row r="75" ht="15.75" customHeight="1">
      <c r="A75" s="8" t="s">
        <v>424</v>
      </c>
      <c r="B75" s="8" t="s">
        <v>324</v>
      </c>
      <c r="C75" s="8" t="s">
        <v>445</v>
      </c>
      <c r="D75" s="8" t="s">
        <v>429</v>
      </c>
      <c r="E75" s="8" t="s">
        <v>541</v>
      </c>
      <c r="F75" s="8" t="s">
        <v>24</v>
      </c>
      <c r="G75" s="8" t="s">
        <v>577</v>
      </c>
      <c r="H75" s="11" t="s">
        <v>179</v>
      </c>
      <c r="I75" s="8" t="s">
        <v>625</v>
      </c>
      <c r="J75" s="8"/>
      <c r="K75" s="8"/>
      <c r="L75" s="12"/>
      <c r="M75" s="8" t="s">
        <v>30</v>
      </c>
      <c r="N75" s="8"/>
    </row>
    <row r="76" ht="15.75" customHeight="1">
      <c r="A76" s="8" t="s">
        <v>424</v>
      </c>
      <c r="B76" s="8" t="s">
        <v>354</v>
      </c>
      <c r="C76" s="8" t="s">
        <v>482</v>
      </c>
      <c r="D76" s="8" t="s">
        <v>429</v>
      </c>
      <c r="E76" s="8" t="s">
        <v>524</v>
      </c>
      <c r="F76" s="8" t="s">
        <v>78</v>
      </c>
      <c r="G76" s="8" t="s">
        <v>600</v>
      </c>
      <c r="H76" s="11" t="s">
        <v>179</v>
      </c>
      <c r="I76" s="8" t="s">
        <v>497</v>
      </c>
      <c r="J76" s="8"/>
      <c r="K76" s="8"/>
      <c r="L76" s="12"/>
      <c r="M76" s="8" t="s">
        <v>30</v>
      </c>
      <c r="N76" s="8"/>
    </row>
    <row r="77" ht="15.75" customHeight="1">
      <c r="A77" s="8" t="s">
        <v>424</v>
      </c>
      <c r="B77" s="8" t="s">
        <v>146</v>
      </c>
      <c r="C77" s="8" t="s">
        <v>565</v>
      </c>
      <c r="D77" s="8" t="s">
        <v>429</v>
      </c>
      <c r="E77" s="8" t="s">
        <v>459</v>
      </c>
      <c r="F77" s="8" t="s">
        <v>78</v>
      </c>
      <c r="G77" s="8" t="s">
        <v>600</v>
      </c>
      <c r="H77" s="11" t="s">
        <v>333</v>
      </c>
      <c r="I77" s="8" t="s">
        <v>632</v>
      </c>
      <c r="J77" s="8"/>
      <c r="K77" s="8"/>
      <c r="L77" s="12"/>
      <c r="M77" s="8" t="s">
        <v>30</v>
      </c>
      <c r="N77" s="8"/>
    </row>
    <row r="78" ht="15.75" customHeight="1">
      <c r="A78" s="8" t="s">
        <v>424</v>
      </c>
      <c r="B78" s="8" t="s">
        <v>633</v>
      </c>
      <c r="C78" s="8" t="s">
        <v>501</v>
      </c>
      <c r="D78" s="8" t="s">
        <v>429</v>
      </c>
      <c r="E78" s="8" t="s">
        <v>541</v>
      </c>
      <c r="F78" s="8" t="s">
        <v>78</v>
      </c>
      <c r="G78" s="8" t="s">
        <v>600</v>
      </c>
      <c r="H78" s="11" t="s">
        <v>168</v>
      </c>
      <c r="I78" s="8" t="s">
        <v>635</v>
      </c>
      <c r="J78" s="8" t="s">
        <v>636</v>
      </c>
      <c r="K78" s="8"/>
      <c r="L78" s="12"/>
      <c r="M78" s="8" t="s">
        <v>30</v>
      </c>
      <c r="N78" s="8"/>
    </row>
    <row r="79" ht="15.75" customHeight="1">
      <c r="A79" s="8" t="s">
        <v>424</v>
      </c>
      <c r="B79" s="8" t="s">
        <v>637</v>
      </c>
      <c r="C79" s="8" t="s">
        <v>639</v>
      </c>
      <c r="D79" s="8" t="s">
        <v>429</v>
      </c>
      <c r="E79" s="8" t="s">
        <v>541</v>
      </c>
      <c r="F79" s="8" t="s">
        <v>78</v>
      </c>
      <c r="G79" s="8" t="s">
        <v>600</v>
      </c>
      <c r="H79" s="11" t="s">
        <v>137</v>
      </c>
      <c r="I79" s="8" t="s">
        <v>643</v>
      </c>
      <c r="J79" s="8"/>
      <c r="K79" s="8"/>
      <c r="L79" s="12"/>
      <c r="M79" s="8" t="s">
        <v>30</v>
      </c>
      <c r="N79" s="8"/>
    </row>
    <row r="80" ht="15.75" customHeight="1">
      <c r="A80" s="8" t="s">
        <v>424</v>
      </c>
      <c r="B80" s="8" t="s">
        <v>184</v>
      </c>
      <c r="C80" s="8" t="s">
        <v>596</v>
      </c>
      <c r="D80" s="8" t="s">
        <v>429</v>
      </c>
      <c r="E80" s="8" t="s">
        <v>524</v>
      </c>
      <c r="F80" s="8" t="s">
        <v>24</v>
      </c>
      <c r="G80" s="8" t="s">
        <v>577</v>
      </c>
      <c r="H80" s="11" t="s">
        <v>179</v>
      </c>
      <c r="I80" s="8" t="s">
        <v>648</v>
      </c>
      <c r="J80" s="8" t="s">
        <v>191</v>
      </c>
      <c r="K80" s="8"/>
      <c r="L80" s="12"/>
      <c r="M80" s="8" t="s">
        <v>30</v>
      </c>
      <c r="N80" s="8"/>
    </row>
    <row r="81" ht="15.75" customHeight="1">
      <c r="A81" s="8" t="s">
        <v>424</v>
      </c>
      <c r="B81" s="8" t="s">
        <v>651</v>
      </c>
      <c r="C81" s="8" t="s">
        <v>428</v>
      </c>
      <c r="D81" s="8" t="s">
        <v>429</v>
      </c>
      <c r="E81" s="8" t="s">
        <v>459</v>
      </c>
      <c r="F81" s="8" t="s">
        <v>24</v>
      </c>
      <c r="G81" s="8" t="s">
        <v>577</v>
      </c>
      <c r="H81" s="11" t="s">
        <v>333</v>
      </c>
      <c r="I81" s="8" t="s">
        <v>655</v>
      </c>
      <c r="J81" s="8" t="s">
        <v>206</v>
      </c>
      <c r="K81" s="8"/>
      <c r="L81" s="12"/>
      <c r="M81" s="8" t="s">
        <v>30</v>
      </c>
      <c r="N81" s="8"/>
    </row>
    <row r="82" ht="15.75" customHeight="1">
      <c r="A82" s="8" t="s">
        <v>424</v>
      </c>
      <c r="B82" s="8" t="s">
        <v>212</v>
      </c>
      <c r="C82" s="8" t="s">
        <v>588</v>
      </c>
      <c r="D82" s="8" t="s">
        <v>429</v>
      </c>
      <c r="E82" s="8" t="s">
        <v>524</v>
      </c>
      <c r="F82" s="8" t="s">
        <v>78</v>
      </c>
      <c r="G82" s="8" t="s">
        <v>577</v>
      </c>
      <c r="H82" s="11" t="s">
        <v>83</v>
      </c>
      <c r="I82" s="8" t="s">
        <v>659</v>
      </c>
      <c r="J82" s="8" t="s">
        <v>220</v>
      </c>
      <c r="K82" s="8"/>
      <c r="L82" s="12"/>
      <c r="M82" s="8" t="s">
        <v>30</v>
      </c>
      <c r="N82" s="8"/>
    </row>
    <row r="83" ht="15.75" customHeight="1">
      <c r="A83" s="8" t="s">
        <v>424</v>
      </c>
      <c r="B83" s="8" t="s">
        <v>663</v>
      </c>
      <c r="C83" s="8" t="s">
        <v>501</v>
      </c>
      <c r="D83" s="8" t="s">
        <v>429</v>
      </c>
      <c r="E83" s="8" t="s">
        <v>556</v>
      </c>
      <c r="F83" s="8" t="s">
        <v>78</v>
      </c>
      <c r="G83" s="8" t="s">
        <v>600</v>
      </c>
      <c r="H83" s="11" t="s">
        <v>219</v>
      </c>
      <c r="I83" s="8"/>
      <c r="J83" s="8"/>
      <c r="K83" s="8"/>
      <c r="L83" s="12"/>
      <c r="M83" s="8" t="s">
        <v>30</v>
      </c>
      <c r="N83" s="8"/>
    </row>
    <row r="84" ht="15.75" customHeight="1">
      <c r="A84" s="8" t="s">
        <v>424</v>
      </c>
      <c r="B84" s="8" t="s">
        <v>232</v>
      </c>
      <c r="C84" s="8" t="s">
        <v>576</v>
      </c>
      <c r="D84" s="8" t="s">
        <v>429</v>
      </c>
      <c r="E84" s="8" t="s">
        <v>459</v>
      </c>
      <c r="F84" s="8" t="s">
        <v>98</v>
      </c>
      <c r="G84" s="8" t="s">
        <v>610</v>
      </c>
      <c r="H84" s="11" t="s">
        <v>219</v>
      </c>
      <c r="I84" s="8" t="s">
        <v>159</v>
      </c>
      <c r="J84" s="8" t="s">
        <v>239</v>
      </c>
      <c r="K84" s="8"/>
      <c r="L84" s="12"/>
      <c r="M84" s="8" t="s">
        <v>30</v>
      </c>
      <c r="N84" s="8"/>
    </row>
    <row r="85" ht="15.75" customHeight="1">
      <c r="A85" s="8" t="s">
        <v>424</v>
      </c>
      <c r="B85" s="8" t="s">
        <v>249</v>
      </c>
      <c r="C85" s="8" t="s">
        <v>445</v>
      </c>
      <c r="D85" s="8" t="s">
        <v>429</v>
      </c>
      <c r="E85" s="8" t="s">
        <v>556</v>
      </c>
      <c r="F85" s="8" t="s">
        <v>78</v>
      </c>
      <c r="G85" s="8" t="s">
        <v>600</v>
      </c>
      <c r="H85" s="11" t="s">
        <v>83</v>
      </c>
      <c r="I85" s="8" t="s">
        <v>254</v>
      </c>
      <c r="J85" s="8"/>
      <c r="K85" s="8"/>
      <c r="L85" s="12"/>
      <c r="M85" s="8" t="s">
        <v>30</v>
      </c>
      <c r="N85" s="8"/>
    </row>
    <row r="86" ht="15.75" customHeight="1">
      <c r="A86" s="8" t="s">
        <v>424</v>
      </c>
      <c r="B86" s="8" t="s">
        <v>260</v>
      </c>
      <c r="C86" s="8" t="s">
        <v>445</v>
      </c>
      <c r="D86" s="8" t="s">
        <v>429</v>
      </c>
      <c r="E86" s="8" t="s">
        <v>438</v>
      </c>
      <c r="F86" s="8" t="s">
        <v>24</v>
      </c>
      <c r="G86" s="8" t="s">
        <v>610</v>
      </c>
      <c r="H86" s="11" t="s">
        <v>179</v>
      </c>
      <c r="I86" s="8" t="s">
        <v>671</v>
      </c>
      <c r="J86" s="8"/>
      <c r="K86" s="8"/>
      <c r="L86" s="12"/>
      <c r="M86" s="8" t="s">
        <v>30</v>
      </c>
      <c r="N86" s="8"/>
    </row>
    <row r="87" ht="15.75" customHeight="1">
      <c r="A87" s="8" t="s">
        <v>424</v>
      </c>
      <c r="B87" s="8" t="s">
        <v>271</v>
      </c>
      <c r="C87" s="8" t="s">
        <v>588</v>
      </c>
      <c r="D87" s="8" t="s">
        <v>429</v>
      </c>
      <c r="E87" s="8" t="s">
        <v>438</v>
      </c>
      <c r="F87" s="8" t="s">
        <v>98</v>
      </c>
      <c r="G87" s="8" t="s">
        <v>610</v>
      </c>
      <c r="H87" s="11" t="s">
        <v>219</v>
      </c>
      <c r="I87" s="8" t="s">
        <v>497</v>
      </c>
      <c r="J87" s="8" t="s">
        <v>276</v>
      </c>
      <c r="K87" s="8"/>
      <c r="L87" s="12"/>
      <c r="M87" s="8" t="s">
        <v>30</v>
      </c>
      <c r="N87" s="8"/>
    </row>
    <row r="88" ht="15.75" customHeight="1">
      <c r="A88" s="8" t="s">
        <v>424</v>
      </c>
      <c r="B88" s="8" t="s">
        <v>682</v>
      </c>
      <c r="C88" s="8" t="s">
        <v>428</v>
      </c>
      <c r="D88" s="8" t="s">
        <v>429</v>
      </c>
      <c r="E88" s="8" t="s">
        <v>556</v>
      </c>
      <c r="F88" s="8" t="s">
        <v>24</v>
      </c>
      <c r="G88" s="8" t="s">
        <v>577</v>
      </c>
      <c r="H88" s="11" t="s">
        <v>104</v>
      </c>
      <c r="I88" s="8" t="s">
        <v>683</v>
      </c>
      <c r="J88" s="8"/>
      <c r="K88" s="8"/>
      <c r="L88" s="12"/>
      <c r="M88" s="8" t="s">
        <v>30</v>
      </c>
      <c r="N88" s="8"/>
    </row>
    <row r="89" ht="15.75" customHeight="1">
      <c r="C89" s="6"/>
      <c r="D89" s="6"/>
      <c r="H89" s="6"/>
      <c r="L89" s="6"/>
      <c r="M89" s="6"/>
    </row>
    <row r="90" ht="15.75" customHeight="1">
      <c r="A90" s="6" t="s">
        <v>515</v>
      </c>
      <c r="C90" s="6"/>
      <c r="D90" s="6"/>
      <c r="H90" s="6"/>
      <c r="L90" s="6"/>
      <c r="M90" s="6"/>
    </row>
    <row r="91" ht="15.75" customHeight="1">
      <c r="A91" s="6" t="s">
        <v>31</v>
      </c>
      <c r="C91" s="6"/>
      <c r="D91" s="6"/>
      <c r="H91" s="6"/>
      <c r="L91" s="6"/>
      <c r="M91" s="6"/>
    </row>
    <row r="92" ht="15.75" customHeight="1">
      <c r="A92" s="6" t="s">
        <v>4</v>
      </c>
      <c r="B92" s="6" t="s">
        <v>6</v>
      </c>
      <c r="C92" s="6" t="s">
        <v>7</v>
      </c>
      <c r="D92" s="6" t="s">
        <v>8</v>
      </c>
      <c r="E92" s="6" t="s">
        <v>9</v>
      </c>
      <c r="F92" s="6" t="s">
        <v>10</v>
      </c>
      <c r="G92" s="6" t="s">
        <v>11</v>
      </c>
      <c r="H92" s="6" t="s">
        <v>12</v>
      </c>
      <c r="I92" s="6" t="s">
        <v>13</v>
      </c>
      <c r="J92" s="6" t="s">
        <v>14</v>
      </c>
      <c r="K92" s="6" t="s">
        <v>15</v>
      </c>
      <c r="L92" s="6" t="s">
        <v>16</v>
      </c>
      <c r="M92" s="6" t="s">
        <v>17</v>
      </c>
      <c r="N92" s="6" t="s">
        <v>18</v>
      </c>
    </row>
    <row r="93" ht="15.75" customHeight="1">
      <c r="A93" s="8" t="s">
        <v>521</v>
      </c>
      <c r="B93" s="8" t="s">
        <v>309</v>
      </c>
      <c r="C93" s="8" t="s">
        <v>482</v>
      </c>
      <c r="D93" s="8" t="s">
        <v>429</v>
      </c>
      <c r="E93" s="8" t="s">
        <v>592</v>
      </c>
      <c r="F93" s="8" t="s">
        <v>78</v>
      </c>
      <c r="G93" s="8" t="s">
        <v>600</v>
      </c>
      <c r="H93" s="8" t="s">
        <v>333</v>
      </c>
      <c r="I93" s="8" t="s">
        <v>314</v>
      </c>
      <c r="J93" s="8"/>
      <c r="K93" s="8"/>
      <c r="L93" s="8"/>
      <c r="M93" s="8" t="s">
        <v>30</v>
      </c>
      <c r="N93" s="8"/>
    </row>
    <row r="94" ht="15.75" customHeight="1">
      <c r="A94" s="8" t="s">
        <v>521</v>
      </c>
      <c r="B94" s="8" t="s">
        <v>703</v>
      </c>
      <c r="C94" s="8" t="s">
        <v>501</v>
      </c>
      <c r="D94" s="8" t="s">
        <v>429</v>
      </c>
      <c r="E94" s="8" t="s">
        <v>541</v>
      </c>
      <c r="F94" s="8" t="s">
        <v>78</v>
      </c>
      <c r="G94" s="8" t="s">
        <v>600</v>
      </c>
      <c r="H94" s="8" t="s">
        <v>333</v>
      </c>
      <c r="I94" s="8" t="s">
        <v>707</v>
      </c>
      <c r="J94" s="8"/>
      <c r="K94" s="8"/>
      <c r="L94" s="8"/>
      <c r="M94" s="8" t="s">
        <v>30</v>
      </c>
      <c r="N94" s="8"/>
    </row>
    <row r="95" ht="15.75" customHeight="1">
      <c r="A95" s="6" t="s">
        <v>521</v>
      </c>
      <c r="B95" s="6" t="s">
        <v>709</v>
      </c>
      <c r="C95" s="6" t="s">
        <v>445</v>
      </c>
      <c r="D95" s="6" t="s">
        <v>553</v>
      </c>
      <c r="E95" s="6" t="s">
        <v>459</v>
      </c>
      <c r="F95" s="6" t="s">
        <v>78</v>
      </c>
      <c r="G95" s="6" t="s">
        <v>600</v>
      </c>
      <c r="H95" s="6" t="s">
        <v>710</v>
      </c>
      <c r="I95" s="6" t="s">
        <v>711</v>
      </c>
      <c r="L95" s="6"/>
      <c r="M95" s="6" t="s">
        <v>561</v>
      </c>
    </row>
    <row r="96" ht="15.75" customHeight="1">
      <c r="A96" s="8" t="s">
        <v>521</v>
      </c>
      <c r="B96" s="8" t="s">
        <v>713</v>
      </c>
      <c r="C96" s="8" t="s">
        <v>608</v>
      </c>
      <c r="D96" s="8" t="s">
        <v>429</v>
      </c>
      <c r="E96" s="8" t="s">
        <v>714</v>
      </c>
      <c r="F96" s="8" t="s">
        <v>24</v>
      </c>
      <c r="G96" s="8" t="s">
        <v>610</v>
      </c>
      <c r="H96" s="8" t="s">
        <v>219</v>
      </c>
      <c r="I96" s="8" t="s">
        <v>715</v>
      </c>
      <c r="J96" s="8" t="s">
        <v>350</v>
      </c>
      <c r="K96" s="8"/>
      <c r="L96" s="8"/>
      <c r="M96" s="8" t="s">
        <v>30</v>
      </c>
      <c r="N96" s="8"/>
    </row>
    <row r="97" ht="15.75" customHeight="1">
      <c r="A97" s="8" t="s">
        <v>521</v>
      </c>
      <c r="B97" s="8" t="s">
        <v>480</v>
      </c>
      <c r="C97" s="8" t="s">
        <v>576</v>
      </c>
      <c r="D97" s="8" t="s">
        <v>429</v>
      </c>
      <c r="E97" s="8" t="s">
        <v>438</v>
      </c>
      <c r="F97" s="8" t="s">
        <v>24</v>
      </c>
      <c r="G97" s="8" t="s">
        <v>610</v>
      </c>
      <c r="H97" s="8" t="s">
        <v>333</v>
      </c>
      <c r="I97" s="8" t="s">
        <v>720</v>
      </c>
      <c r="J97" s="8" t="s">
        <v>484</v>
      </c>
      <c r="K97" s="8"/>
      <c r="L97" s="8"/>
      <c r="M97" s="8" t="s">
        <v>30</v>
      </c>
      <c r="N97" s="8"/>
    </row>
    <row r="98" ht="15.75" customHeight="1">
      <c r="A98" s="8" t="s">
        <v>521</v>
      </c>
      <c r="B98" s="8" t="s">
        <v>165</v>
      </c>
      <c r="C98" s="8" t="s">
        <v>445</v>
      </c>
      <c r="D98" s="8" t="s">
        <v>429</v>
      </c>
      <c r="E98" s="8" t="s">
        <v>541</v>
      </c>
      <c r="F98" s="8" t="s">
        <v>78</v>
      </c>
      <c r="G98" s="8" t="s">
        <v>600</v>
      </c>
      <c r="H98" s="8" t="s">
        <v>179</v>
      </c>
      <c r="I98" s="8" t="s">
        <v>726</v>
      </c>
      <c r="J98" s="8"/>
      <c r="K98" s="8"/>
      <c r="L98" s="8"/>
      <c r="M98" s="8" t="s">
        <v>30</v>
      </c>
      <c r="N98" s="8"/>
    </row>
    <row r="99" ht="15.75" customHeight="1">
      <c r="A99" s="8" t="s">
        <v>521</v>
      </c>
      <c r="B99" s="8" t="s">
        <v>495</v>
      </c>
      <c r="C99" s="8" t="s">
        <v>565</v>
      </c>
      <c r="D99" s="8" t="s">
        <v>429</v>
      </c>
      <c r="E99" s="8" t="s">
        <v>714</v>
      </c>
      <c r="F99" s="8" t="s">
        <v>24</v>
      </c>
      <c r="G99" s="8" t="s">
        <v>610</v>
      </c>
      <c r="H99" s="8" t="s">
        <v>137</v>
      </c>
      <c r="I99" s="8" t="s">
        <v>730</v>
      </c>
      <c r="J99" s="8"/>
      <c r="K99" s="8"/>
      <c r="L99" s="8"/>
      <c r="M99" s="8" t="s">
        <v>30</v>
      </c>
      <c r="N99" s="8"/>
    </row>
    <row r="100" ht="15.75" customHeight="1">
      <c r="A100" s="8" t="s">
        <v>521</v>
      </c>
      <c r="B100" s="8" t="s">
        <v>379</v>
      </c>
      <c r="C100" s="8" t="s">
        <v>616</v>
      </c>
      <c r="D100" s="8" t="s">
        <v>429</v>
      </c>
      <c r="E100" s="8" t="s">
        <v>541</v>
      </c>
      <c r="F100" s="8" t="s">
        <v>24</v>
      </c>
      <c r="G100" s="8" t="s">
        <v>577</v>
      </c>
      <c r="H100" s="8" t="s">
        <v>104</v>
      </c>
      <c r="I100" s="8" t="s">
        <v>737</v>
      </c>
      <c r="J100" s="8"/>
      <c r="K100" s="8"/>
      <c r="L100" s="8"/>
      <c r="M100" s="8" t="s">
        <v>30</v>
      </c>
      <c r="N100" s="8"/>
    </row>
    <row r="101" ht="15.75" customHeight="1">
      <c r="A101" s="8" t="s">
        <v>521</v>
      </c>
      <c r="B101" s="8" t="s">
        <v>512</v>
      </c>
      <c r="C101" s="8" t="s">
        <v>457</v>
      </c>
      <c r="D101" s="8" t="s">
        <v>429</v>
      </c>
      <c r="E101" s="8" t="s">
        <v>541</v>
      </c>
      <c r="F101" s="8" t="s">
        <v>24</v>
      </c>
      <c r="G101" s="8" t="s">
        <v>577</v>
      </c>
      <c r="H101" s="8" t="s">
        <v>333</v>
      </c>
      <c r="I101" s="8" t="s">
        <v>739</v>
      </c>
      <c r="J101" s="8" t="s">
        <v>517</v>
      </c>
      <c r="K101" s="8"/>
      <c r="L101" s="8"/>
      <c r="M101" s="8" t="s">
        <v>30</v>
      </c>
      <c r="N101" s="8"/>
    </row>
    <row r="102" ht="15.75" customHeight="1">
      <c r="A102" s="8" t="s">
        <v>521</v>
      </c>
      <c r="B102" s="8" t="s">
        <v>740</v>
      </c>
      <c r="C102" s="8" t="s">
        <v>588</v>
      </c>
      <c r="D102" s="8" t="s">
        <v>429</v>
      </c>
      <c r="E102" s="8" t="s">
        <v>556</v>
      </c>
      <c r="F102" s="8" t="s">
        <v>78</v>
      </c>
      <c r="G102" s="8" t="s">
        <v>600</v>
      </c>
      <c r="H102" s="8" t="s">
        <v>83</v>
      </c>
      <c r="I102" s="8" t="s">
        <v>520</v>
      </c>
      <c r="J102" s="8"/>
      <c r="K102" s="8"/>
      <c r="L102" s="8"/>
      <c r="M102" s="8" t="s">
        <v>30</v>
      </c>
      <c r="N102" s="8"/>
    </row>
    <row r="103" ht="15.75" customHeight="1">
      <c r="A103" s="8" t="s">
        <v>521</v>
      </c>
      <c r="B103" s="8" t="s">
        <v>529</v>
      </c>
      <c r="C103" s="8" t="s">
        <v>639</v>
      </c>
      <c r="D103" s="8" t="s">
        <v>429</v>
      </c>
      <c r="E103" s="8" t="s">
        <v>556</v>
      </c>
      <c r="F103" s="8" t="s">
        <v>78</v>
      </c>
      <c r="G103" s="8" t="s">
        <v>600</v>
      </c>
      <c r="H103" s="8" t="s">
        <v>83</v>
      </c>
      <c r="I103" s="8" t="s">
        <v>497</v>
      </c>
      <c r="J103" s="8"/>
      <c r="K103" s="8"/>
      <c r="L103" s="8"/>
      <c r="M103" s="8" t="s">
        <v>30</v>
      </c>
      <c r="N103" s="8"/>
    </row>
    <row r="104" ht="15.75" customHeight="1">
      <c r="A104" s="13" t="s">
        <v>521</v>
      </c>
      <c r="B104" s="13" t="s">
        <v>749</v>
      </c>
      <c r="C104" s="13" t="s">
        <v>539</v>
      </c>
      <c r="D104" s="13" t="s">
        <v>30</v>
      </c>
      <c r="E104" s="13" t="s">
        <v>592</v>
      </c>
      <c r="F104" s="13" t="s">
        <v>24</v>
      </c>
      <c r="G104" s="13" t="s">
        <v>577</v>
      </c>
      <c r="H104" s="13" t="s">
        <v>83</v>
      </c>
      <c r="I104" s="13" t="s">
        <v>752</v>
      </c>
      <c r="J104" s="13" t="s">
        <v>422</v>
      </c>
      <c r="K104" s="13"/>
      <c r="L104" s="13"/>
      <c r="M104" s="13" t="s">
        <v>30</v>
      </c>
      <c r="N104" s="13"/>
    </row>
    <row r="105" ht="15.75" customHeight="1">
      <c r="A105" s="8" t="s">
        <v>521</v>
      </c>
      <c r="B105" s="8" t="s">
        <v>534</v>
      </c>
      <c r="C105" s="8" t="s">
        <v>588</v>
      </c>
      <c r="D105" s="8" t="s">
        <v>429</v>
      </c>
      <c r="E105" s="8" t="s">
        <v>592</v>
      </c>
      <c r="F105" s="8" t="s">
        <v>78</v>
      </c>
      <c r="G105" s="8" t="s">
        <v>600</v>
      </c>
      <c r="H105" s="8" t="s">
        <v>137</v>
      </c>
      <c r="I105" s="8" t="s">
        <v>755</v>
      </c>
      <c r="J105" s="8"/>
      <c r="K105" s="8"/>
      <c r="L105" s="8"/>
      <c r="M105" s="8" t="s">
        <v>30</v>
      </c>
      <c r="N105" s="8"/>
    </row>
    <row r="106" ht="15.75" customHeight="1">
      <c r="A106" s="8" t="s">
        <v>521</v>
      </c>
      <c r="B106" s="8" t="s">
        <v>759</v>
      </c>
      <c r="C106" s="8" t="s">
        <v>639</v>
      </c>
      <c r="D106" s="8" t="s">
        <v>429</v>
      </c>
      <c r="E106" s="8" t="s">
        <v>592</v>
      </c>
      <c r="F106" s="8" t="s">
        <v>24</v>
      </c>
      <c r="G106" s="8" t="s">
        <v>577</v>
      </c>
      <c r="H106" s="8" t="s">
        <v>333</v>
      </c>
      <c r="I106" s="8" t="s">
        <v>763</v>
      </c>
      <c r="J106" s="8" t="s">
        <v>545</v>
      </c>
      <c r="K106" s="8"/>
      <c r="L106" s="8"/>
      <c r="M106" s="8" t="s">
        <v>30</v>
      </c>
      <c r="N106" s="8"/>
    </row>
    <row r="107" ht="15.75" customHeight="1">
      <c r="C107" s="6"/>
      <c r="D107" s="6"/>
      <c r="H107" s="6"/>
      <c r="L107" s="6"/>
      <c r="M107" s="6"/>
    </row>
    <row r="108" ht="15.75" customHeight="1">
      <c r="A108" s="6" t="s">
        <v>605</v>
      </c>
      <c r="C108" s="6"/>
      <c r="D108" s="6"/>
      <c r="H108" s="6"/>
      <c r="L108" s="6"/>
      <c r="M108" s="6"/>
    </row>
    <row r="109" ht="15.75" customHeight="1">
      <c r="A109" s="6" t="s">
        <v>287</v>
      </c>
      <c r="C109" s="6"/>
      <c r="D109" s="6"/>
      <c r="H109" s="6"/>
      <c r="L109" s="6"/>
      <c r="M109" s="6"/>
    </row>
    <row r="110" ht="15.75" customHeight="1">
      <c r="A110" s="6" t="s">
        <v>4</v>
      </c>
      <c r="B110" s="6" t="s">
        <v>6</v>
      </c>
      <c r="C110" s="6" t="s">
        <v>7</v>
      </c>
      <c r="D110" s="6" t="s">
        <v>8</v>
      </c>
      <c r="E110" s="6" t="s">
        <v>9</v>
      </c>
      <c r="F110" s="6" t="s">
        <v>10</v>
      </c>
      <c r="G110" s="6" t="s">
        <v>11</v>
      </c>
      <c r="H110" s="6" t="s">
        <v>12</v>
      </c>
      <c r="I110" s="6" t="s">
        <v>13</v>
      </c>
      <c r="J110" s="6" t="s">
        <v>14</v>
      </c>
      <c r="K110" s="6" t="s">
        <v>15</v>
      </c>
      <c r="L110" s="6" t="s">
        <v>16</v>
      </c>
      <c r="M110" s="6" t="s">
        <v>17</v>
      </c>
      <c r="N110" s="6" t="s">
        <v>18</v>
      </c>
    </row>
    <row r="111" ht="15.75" customHeight="1">
      <c r="A111" s="6" t="s">
        <v>613</v>
      </c>
      <c r="B111" s="6" t="s">
        <v>573</v>
      </c>
      <c r="C111" s="6" t="s">
        <v>428</v>
      </c>
      <c r="D111" s="6" t="s">
        <v>490</v>
      </c>
      <c r="E111" s="6" t="s">
        <v>541</v>
      </c>
      <c r="F111" s="6" t="s">
        <v>24</v>
      </c>
      <c r="G111" s="6" t="s">
        <v>102</v>
      </c>
      <c r="H111" s="6" t="s">
        <v>104</v>
      </c>
      <c r="I111" s="6" t="s">
        <v>582</v>
      </c>
      <c r="J111" s="6" t="s">
        <v>771</v>
      </c>
      <c r="K111" s="6"/>
      <c r="L111" s="6" t="s">
        <v>304</v>
      </c>
      <c r="M111" s="6" t="s">
        <v>59</v>
      </c>
      <c r="N111" s="6"/>
    </row>
    <row r="112" ht="15.75" customHeight="1">
      <c r="A112" s="6" t="s">
        <v>613</v>
      </c>
      <c r="B112" s="6" t="s">
        <v>586</v>
      </c>
      <c r="C112" s="6" t="s">
        <v>588</v>
      </c>
      <c r="D112" s="6" t="s">
        <v>437</v>
      </c>
      <c r="E112" s="6" t="s">
        <v>541</v>
      </c>
      <c r="F112" s="6" t="s">
        <v>24</v>
      </c>
      <c r="G112" s="6" t="s">
        <v>102</v>
      </c>
      <c r="H112" s="6" t="s">
        <v>137</v>
      </c>
      <c r="I112" s="6" t="s">
        <v>590</v>
      </c>
      <c r="J112" s="6" t="s">
        <v>774</v>
      </c>
      <c r="K112" s="6"/>
      <c r="L112" s="6" t="s">
        <v>304</v>
      </c>
      <c r="M112" s="6" t="s">
        <v>59</v>
      </c>
      <c r="N112" s="6"/>
    </row>
    <row r="113" ht="15.75" customHeight="1">
      <c r="A113" s="6" t="s">
        <v>613</v>
      </c>
      <c r="B113" s="6" t="s">
        <v>452</v>
      </c>
      <c r="C113" s="6" t="s">
        <v>539</v>
      </c>
      <c r="D113" s="6" t="s">
        <v>519</v>
      </c>
      <c r="E113" s="6" t="s">
        <v>541</v>
      </c>
      <c r="F113" s="6" t="s">
        <v>78</v>
      </c>
      <c r="G113" s="6" t="s">
        <v>102</v>
      </c>
      <c r="H113" s="6" t="s">
        <v>219</v>
      </c>
      <c r="I113" s="6" t="s">
        <v>775</v>
      </c>
      <c r="J113" s="6"/>
      <c r="K113" s="6" t="s">
        <v>638</v>
      </c>
      <c r="L113" s="6" t="s">
        <v>304</v>
      </c>
      <c r="M113" s="6" t="s">
        <v>30</v>
      </c>
      <c r="N113" s="6"/>
    </row>
    <row r="114" ht="15.75" customHeight="1">
      <c r="A114" s="6" t="s">
        <v>613</v>
      </c>
      <c r="B114" s="6" t="s">
        <v>129</v>
      </c>
      <c r="C114" s="6" t="s">
        <v>445</v>
      </c>
      <c r="D114" s="6" t="s">
        <v>522</v>
      </c>
      <c r="E114" s="6" t="s">
        <v>459</v>
      </c>
      <c r="F114" s="6" t="s">
        <v>78</v>
      </c>
      <c r="G114" s="6" t="s">
        <v>81</v>
      </c>
      <c r="H114" s="6" t="s">
        <v>120</v>
      </c>
      <c r="I114" s="6" t="s">
        <v>620</v>
      </c>
      <c r="J114" s="6"/>
      <c r="K114" s="6" t="s">
        <v>638</v>
      </c>
      <c r="L114" s="6" t="s">
        <v>304</v>
      </c>
      <c r="M114" s="6" t="s">
        <v>59</v>
      </c>
      <c r="N114" s="6"/>
    </row>
    <row r="115" ht="15.75" customHeight="1">
      <c r="A115" s="6" t="s">
        <v>613</v>
      </c>
      <c r="B115" s="6" t="s">
        <v>146</v>
      </c>
      <c r="C115" s="6" t="s">
        <v>565</v>
      </c>
      <c r="D115" s="6" t="s">
        <v>522</v>
      </c>
      <c r="E115" s="6" t="s">
        <v>459</v>
      </c>
      <c r="F115" s="6" t="s">
        <v>78</v>
      </c>
      <c r="G115" s="6" t="s">
        <v>81</v>
      </c>
      <c r="H115" s="6" t="s">
        <v>120</v>
      </c>
      <c r="I115" s="6" t="s">
        <v>632</v>
      </c>
      <c r="J115" s="6"/>
      <c r="K115" s="6" t="s">
        <v>638</v>
      </c>
      <c r="L115" s="6" t="s">
        <v>304</v>
      </c>
      <c r="M115" s="6" t="s">
        <v>59</v>
      </c>
      <c r="N115" s="6"/>
    </row>
    <row r="116" ht="15.75" customHeight="1">
      <c r="A116" s="6" t="s">
        <v>613</v>
      </c>
      <c r="B116" s="6" t="s">
        <v>637</v>
      </c>
      <c r="C116" s="6" t="s">
        <v>639</v>
      </c>
      <c r="D116" s="6" t="s">
        <v>784</v>
      </c>
      <c r="E116" s="6" t="s">
        <v>541</v>
      </c>
      <c r="F116" s="6" t="s">
        <v>78</v>
      </c>
      <c r="G116" s="6" t="s">
        <v>81</v>
      </c>
      <c r="H116" s="6" t="s">
        <v>333</v>
      </c>
      <c r="I116" s="6" t="s">
        <v>643</v>
      </c>
      <c r="J116" s="6"/>
      <c r="K116" s="6"/>
      <c r="L116" s="6" t="s">
        <v>304</v>
      </c>
      <c r="M116" s="6" t="s">
        <v>59</v>
      </c>
      <c r="N116" s="6"/>
    </row>
    <row r="117" ht="15.75" customHeight="1">
      <c r="A117" s="6" t="s">
        <v>613</v>
      </c>
      <c r="B117" s="6" t="s">
        <v>503</v>
      </c>
      <c r="C117" s="6" t="s">
        <v>639</v>
      </c>
      <c r="D117" s="6" t="s">
        <v>522</v>
      </c>
      <c r="E117" s="6" t="s">
        <v>430</v>
      </c>
      <c r="F117" s="6" t="s">
        <v>78</v>
      </c>
      <c r="G117" s="6" t="s">
        <v>81</v>
      </c>
      <c r="H117" s="6" t="s">
        <v>120</v>
      </c>
      <c r="I117" s="6" t="s">
        <v>794</v>
      </c>
      <c r="K117" s="6" t="s">
        <v>638</v>
      </c>
      <c r="L117" s="6" t="s">
        <v>304</v>
      </c>
      <c r="M117" s="6" t="s">
        <v>373</v>
      </c>
    </row>
    <row r="118" ht="15.75" customHeight="1">
      <c r="A118" s="6" t="s">
        <v>613</v>
      </c>
      <c r="B118" s="6" t="s">
        <v>184</v>
      </c>
      <c r="C118" s="6" t="s">
        <v>596</v>
      </c>
      <c r="D118" s="6" t="s">
        <v>437</v>
      </c>
      <c r="E118" s="6" t="s">
        <v>524</v>
      </c>
      <c r="F118" s="6" t="s">
        <v>24</v>
      </c>
      <c r="G118" s="6" t="s">
        <v>102</v>
      </c>
      <c r="H118" s="6" t="s">
        <v>137</v>
      </c>
      <c r="I118" s="6" t="s">
        <v>648</v>
      </c>
      <c r="J118" s="6" t="s">
        <v>191</v>
      </c>
      <c r="K118" s="6"/>
      <c r="L118" s="6" t="s">
        <v>304</v>
      </c>
      <c r="M118" s="6" t="s">
        <v>30</v>
      </c>
      <c r="N118" s="6"/>
    </row>
    <row r="119" ht="15.75" customHeight="1">
      <c r="A119" s="6" t="s">
        <v>613</v>
      </c>
      <c r="B119" s="6" t="s">
        <v>651</v>
      </c>
      <c r="C119" s="6" t="s">
        <v>428</v>
      </c>
      <c r="D119" s="6" t="s">
        <v>522</v>
      </c>
      <c r="E119" s="6" t="s">
        <v>459</v>
      </c>
      <c r="F119" s="6" t="s">
        <v>24</v>
      </c>
      <c r="G119" s="6" t="s">
        <v>102</v>
      </c>
      <c r="H119" s="6" t="s">
        <v>120</v>
      </c>
      <c r="I119" s="6" t="s">
        <v>655</v>
      </c>
      <c r="J119" s="6" t="s">
        <v>206</v>
      </c>
      <c r="K119" s="6" t="s">
        <v>638</v>
      </c>
      <c r="L119" s="6" t="s">
        <v>304</v>
      </c>
      <c r="M119" s="6" t="s">
        <v>59</v>
      </c>
      <c r="N119" s="6"/>
    </row>
    <row r="120" ht="15.75" customHeight="1">
      <c r="A120" s="6" t="s">
        <v>613</v>
      </c>
      <c r="B120" s="6" t="s">
        <v>232</v>
      </c>
      <c r="C120" s="6" t="s">
        <v>576</v>
      </c>
      <c r="D120" s="6" t="s">
        <v>461</v>
      </c>
      <c r="E120" s="6" t="s">
        <v>459</v>
      </c>
      <c r="F120" s="6" t="s">
        <v>98</v>
      </c>
      <c r="G120" s="6" t="s">
        <v>119</v>
      </c>
      <c r="H120" s="6" t="s">
        <v>83</v>
      </c>
      <c r="I120" s="6" t="s">
        <v>159</v>
      </c>
      <c r="J120" s="6" t="s">
        <v>239</v>
      </c>
      <c r="K120" s="6" t="s">
        <v>811</v>
      </c>
      <c r="L120" s="6" t="s">
        <v>304</v>
      </c>
      <c r="M120" s="6" t="s">
        <v>30</v>
      </c>
      <c r="N120" s="6"/>
    </row>
    <row r="121" ht="15.75" customHeight="1">
      <c r="A121" s="6" t="s">
        <v>613</v>
      </c>
      <c r="B121" s="6" t="s">
        <v>249</v>
      </c>
      <c r="C121" s="6" t="s">
        <v>445</v>
      </c>
      <c r="D121" s="6" t="s">
        <v>548</v>
      </c>
      <c r="E121" s="6" t="s">
        <v>556</v>
      </c>
      <c r="F121" s="6" t="s">
        <v>24</v>
      </c>
      <c r="G121" s="6" t="s">
        <v>102</v>
      </c>
      <c r="H121" s="6" t="s">
        <v>168</v>
      </c>
      <c r="I121" s="6" t="s">
        <v>254</v>
      </c>
      <c r="J121" s="6" t="s">
        <v>815</v>
      </c>
      <c r="K121" s="6" t="s">
        <v>724</v>
      </c>
      <c r="L121" s="6" t="s">
        <v>304</v>
      </c>
      <c r="M121" s="6" t="s">
        <v>59</v>
      </c>
      <c r="N121" s="6"/>
    </row>
    <row r="122" ht="15.75" customHeight="1">
      <c r="A122" s="6" t="s">
        <v>613</v>
      </c>
      <c r="B122" s="6" t="s">
        <v>260</v>
      </c>
      <c r="C122" s="6" t="s">
        <v>501</v>
      </c>
      <c r="D122" s="6" t="s">
        <v>437</v>
      </c>
      <c r="E122" s="6" t="s">
        <v>438</v>
      </c>
      <c r="F122" s="6" t="s">
        <v>24</v>
      </c>
      <c r="G122" s="6" t="s">
        <v>119</v>
      </c>
      <c r="H122" s="6" t="s">
        <v>137</v>
      </c>
      <c r="I122" s="6" t="s">
        <v>671</v>
      </c>
      <c r="J122" s="6"/>
      <c r="K122" s="6"/>
      <c r="L122" s="6" t="s">
        <v>304</v>
      </c>
      <c r="M122" s="6" t="s">
        <v>59</v>
      </c>
      <c r="N122" s="6"/>
    </row>
    <row r="123" ht="15.75" customHeight="1">
      <c r="A123" s="6" t="s">
        <v>613</v>
      </c>
      <c r="B123" s="6" t="s">
        <v>682</v>
      </c>
      <c r="C123" s="6" t="s">
        <v>428</v>
      </c>
      <c r="D123" s="6" t="s">
        <v>467</v>
      </c>
      <c r="E123" s="6" t="s">
        <v>556</v>
      </c>
      <c r="F123" s="6" t="s">
        <v>24</v>
      </c>
      <c r="G123" s="6" t="s">
        <v>102</v>
      </c>
      <c r="H123" s="6" t="s">
        <v>179</v>
      </c>
      <c r="I123" s="6" t="s">
        <v>683</v>
      </c>
      <c r="J123" s="6"/>
      <c r="K123" s="6"/>
      <c r="L123" s="6" t="s">
        <v>304</v>
      </c>
      <c r="M123" s="6" t="s">
        <v>59</v>
      </c>
      <c r="N123" s="6"/>
    </row>
    <row r="124" ht="15.75" customHeight="1">
      <c r="A124" s="6" t="s">
        <v>613</v>
      </c>
      <c r="B124" s="6" t="s">
        <v>546</v>
      </c>
      <c r="C124" s="6" t="s">
        <v>588</v>
      </c>
      <c r="D124" s="6" t="s">
        <v>490</v>
      </c>
      <c r="E124" s="6" t="s">
        <v>508</v>
      </c>
      <c r="F124" s="6" t="s">
        <v>78</v>
      </c>
      <c r="G124" s="6" t="s">
        <v>81</v>
      </c>
      <c r="H124" s="6" t="s">
        <v>104</v>
      </c>
      <c r="I124" s="6" t="s">
        <v>827</v>
      </c>
      <c r="J124" s="6" t="s">
        <v>828</v>
      </c>
      <c r="K124" s="6"/>
      <c r="L124" s="6" t="s">
        <v>304</v>
      </c>
      <c r="M124" s="6" t="s">
        <v>59</v>
      </c>
      <c r="N124" s="6"/>
    </row>
    <row r="125" ht="15.75" customHeight="1">
      <c r="A125" s="6" t="s">
        <v>613</v>
      </c>
      <c r="B125" s="6" t="s">
        <v>829</v>
      </c>
      <c r="C125" s="6" t="s">
        <v>501</v>
      </c>
      <c r="D125" s="6" t="s">
        <v>548</v>
      </c>
      <c r="E125" s="6" t="s">
        <v>541</v>
      </c>
      <c r="F125" s="6" t="s">
        <v>78</v>
      </c>
      <c r="G125" s="6" t="s">
        <v>81</v>
      </c>
      <c r="H125" s="6" t="s">
        <v>168</v>
      </c>
      <c r="I125" s="6" t="s">
        <v>831</v>
      </c>
      <c r="J125" s="6" t="s">
        <v>832</v>
      </c>
      <c r="K125" s="6" t="s">
        <v>724</v>
      </c>
      <c r="L125" s="6" t="s">
        <v>304</v>
      </c>
      <c r="M125" s="6" t="s">
        <v>59</v>
      </c>
      <c r="N125" s="6"/>
    </row>
    <row r="126" ht="15.75" customHeight="1"/>
    <row r="127" ht="15.75" customHeight="1">
      <c r="A127" s="16" t="s">
        <v>661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ht="15.75" customHeight="1">
      <c r="A128" s="17" t="s">
        <v>174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ht="15.75" customHeight="1">
      <c r="A129" s="18" t="s">
        <v>4</v>
      </c>
      <c r="B129" s="18" t="s">
        <v>6</v>
      </c>
      <c r="C129" s="18" t="s">
        <v>7</v>
      </c>
      <c r="D129" s="18" t="s">
        <v>8</v>
      </c>
      <c r="E129" s="18" t="s">
        <v>9</v>
      </c>
      <c r="F129" s="18" t="s">
        <v>10</v>
      </c>
      <c r="G129" s="18" t="s">
        <v>11</v>
      </c>
      <c r="H129" s="18" t="s">
        <v>12</v>
      </c>
      <c r="I129" s="18" t="s">
        <v>13</v>
      </c>
      <c r="J129" s="18" t="s">
        <v>14</v>
      </c>
      <c r="K129" s="18" t="s">
        <v>15</v>
      </c>
      <c r="L129" s="18" t="s">
        <v>16</v>
      </c>
      <c r="M129" s="18" t="s">
        <v>17</v>
      </c>
      <c r="N129" s="18" t="s">
        <v>18</v>
      </c>
    </row>
    <row r="130" ht="15.75" customHeight="1">
      <c r="A130" s="6" t="s">
        <v>669</v>
      </c>
      <c r="B130" s="6" t="s">
        <v>309</v>
      </c>
      <c r="C130" s="6" t="s">
        <v>679</v>
      </c>
      <c r="D130" s="6" t="s">
        <v>429</v>
      </c>
      <c r="E130" s="6" t="s">
        <v>592</v>
      </c>
      <c r="F130" s="6" t="s">
        <v>78</v>
      </c>
      <c r="G130" s="6" t="s">
        <v>600</v>
      </c>
      <c r="H130" s="6" t="s">
        <v>120</v>
      </c>
      <c r="I130" s="6" t="s">
        <v>314</v>
      </c>
      <c r="J130" s="6"/>
      <c r="K130" s="6" t="s">
        <v>674</v>
      </c>
      <c r="L130" s="6" t="s">
        <v>304</v>
      </c>
      <c r="M130" s="6" t="s">
        <v>59</v>
      </c>
      <c r="N130" s="6"/>
    </row>
    <row r="131" ht="15.75" customHeight="1">
      <c r="A131" s="6" t="s">
        <v>669</v>
      </c>
      <c r="B131" s="6" t="s">
        <v>703</v>
      </c>
      <c r="C131" s="6" t="s">
        <v>781</v>
      </c>
      <c r="D131" s="6" t="s">
        <v>553</v>
      </c>
      <c r="E131" s="6" t="s">
        <v>541</v>
      </c>
      <c r="F131" s="6" t="s">
        <v>78</v>
      </c>
      <c r="G131" s="6" t="s">
        <v>600</v>
      </c>
      <c r="H131" s="6" t="s">
        <v>710</v>
      </c>
      <c r="I131" s="6" t="s">
        <v>707</v>
      </c>
      <c r="K131" s="6" t="s">
        <v>753</v>
      </c>
      <c r="M131" s="6"/>
    </row>
    <row r="132" ht="15.75" customHeight="1">
      <c r="A132" s="6" t="s">
        <v>669</v>
      </c>
      <c r="B132" s="6" t="s">
        <v>615</v>
      </c>
      <c r="C132" s="6" t="s">
        <v>848</v>
      </c>
      <c r="D132" s="6" t="s">
        <v>429</v>
      </c>
      <c r="E132" s="6" t="s">
        <v>459</v>
      </c>
      <c r="F132" s="6" t="s">
        <v>78</v>
      </c>
      <c r="G132" s="6" t="s">
        <v>600</v>
      </c>
      <c r="H132" s="6" t="s">
        <v>104</v>
      </c>
      <c r="I132" s="6" t="s">
        <v>617</v>
      </c>
      <c r="J132" s="6" t="s">
        <v>850</v>
      </c>
      <c r="K132" s="6"/>
      <c r="L132" s="6" t="s">
        <v>304</v>
      </c>
      <c r="M132" s="6" t="s">
        <v>59</v>
      </c>
      <c r="N132" s="6"/>
    </row>
    <row r="133" ht="15.75" customHeight="1">
      <c r="A133" s="6" t="s">
        <v>669</v>
      </c>
      <c r="B133" s="6" t="s">
        <v>324</v>
      </c>
      <c r="C133" s="6" t="s">
        <v>764</v>
      </c>
      <c r="D133" s="6" t="s">
        <v>429</v>
      </c>
      <c r="E133" s="6" t="s">
        <v>541</v>
      </c>
      <c r="F133" s="6" t="s">
        <v>24</v>
      </c>
      <c r="G133" s="6" t="s">
        <v>577</v>
      </c>
      <c r="H133" s="6" t="s">
        <v>137</v>
      </c>
      <c r="I133" s="6" t="s">
        <v>625</v>
      </c>
      <c r="J133" s="6"/>
      <c r="K133" s="6"/>
      <c r="L133" s="6" t="s">
        <v>304</v>
      </c>
      <c r="M133" s="6" t="s">
        <v>59</v>
      </c>
      <c r="N133" s="6"/>
    </row>
    <row r="134" ht="15.75" customHeight="1">
      <c r="A134" s="6" t="s">
        <v>669</v>
      </c>
      <c r="B134" s="6" t="s">
        <v>330</v>
      </c>
      <c r="C134" s="6" t="s">
        <v>837</v>
      </c>
      <c r="D134" s="6" t="s">
        <v>429</v>
      </c>
      <c r="E134" s="6" t="s">
        <v>592</v>
      </c>
      <c r="F134" s="6" t="s">
        <v>78</v>
      </c>
      <c r="G134" s="6" t="s">
        <v>600</v>
      </c>
      <c r="H134" s="6" t="s">
        <v>219</v>
      </c>
      <c r="I134" s="6" t="s">
        <v>858</v>
      </c>
      <c r="J134" s="6" t="s">
        <v>335</v>
      </c>
      <c r="K134" s="6" t="s">
        <v>674</v>
      </c>
      <c r="L134" s="6" t="s">
        <v>304</v>
      </c>
      <c r="M134" s="6" t="s">
        <v>59</v>
      </c>
      <c r="N134" s="6"/>
    </row>
    <row r="135" ht="15.75" customHeight="1">
      <c r="A135" s="6" t="s">
        <v>669</v>
      </c>
      <c r="B135" s="6" t="s">
        <v>713</v>
      </c>
      <c r="C135" s="6" t="s">
        <v>670</v>
      </c>
      <c r="D135" s="6" t="s">
        <v>429</v>
      </c>
      <c r="E135" s="6" t="s">
        <v>714</v>
      </c>
      <c r="F135" s="6" t="s">
        <v>24</v>
      </c>
      <c r="G135" s="6" t="s">
        <v>610</v>
      </c>
      <c r="H135" s="6" t="s">
        <v>83</v>
      </c>
      <c r="I135" s="6" t="s">
        <v>715</v>
      </c>
      <c r="J135" s="6" t="s">
        <v>350</v>
      </c>
      <c r="K135" s="6" t="s">
        <v>864</v>
      </c>
      <c r="L135" s="6" t="s">
        <v>304</v>
      </c>
      <c r="M135" s="6" t="s">
        <v>59</v>
      </c>
      <c r="N135" s="6"/>
    </row>
    <row r="136" ht="15.75" customHeight="1">
      <c r="A136" s="6" t="s">
        <v>669</v>
      </c>
      <c r="B136" s="6" t="s">
        <v>155</v>
      </c>
      <c r="C136" s="6" t="s">
        <v>866</v>
      </c>
      <c r="D136" s="6" t="s">
        <v>429</v>
      </c>
      <c r="E136" s="6" t="s">
        <v>508</v>
      </c>
      <c r="F136" s="6" t="s">
        <v>24</v>
      </c>
      <c r="G136" s="6" t="s">
        <v>577</v>
      </c>
      <c r="H136" s="6" t="s">
        <v>168</v>
      </c>
      <c r="I136" s="6" t="s">
        <v>159</v>
      </c>
      <c r="J136" s="6" t="s">
        <v>868</v>
      </c>
      <c r="K136" s="6" t="s">
        <v>724</v>
      </c>
      <c r="L136" s="6" t="s">
        <v>304</v>
      </c>
      <c r="M136" s="6" t="s">
        <v>59</v>
      </c>
      <c r="N136" s="6"/>
    </row>
    <row r="137" ht="15.75" customHeight="1">
      <c r="A137" s="6" t="s">
        <v>669</v>
      </c>
      <c r="B137" s="6" t="s">
        <v>372</v>
      </c>
      <c r="C137" s="6" t="s">
        <v>672</v>
      </c>
      <c r="D137" s="6" t="s">
        <v>429</v>
      </c>
      <c r="E137" s="6" t="s">
        <v>592</v>
      </c>
      <c r="F137" s="6" t="s">
        <v>78</v>
      </c>
      <c r="G137" s="6" t="s">
        <v>600</v>
      </c>
      <c r="H137" s="6" t="s">
        <v>137</v>
      </c>
      <c r="I137" s="6" t="s">
        <v>869</v>
      </c>
      <c r="J137" s="6"/>
      <c r="K137" s="6"/>
      <c r="L137" s="6" t="s">
        <v>304</v>
      </c>
      <c r="M137" s="6" t="s">
        <v>59</v>
      </c>
      <c r="N137" s="6"/>
    </row>
    <row r="138" ht="15.75" customHeight="1">
      <c r="A138" s="6" t="s">
        <v>669</v>
      </c>
      <c r="B138" s="6" t="s">
        <v>871</v>
      </c>
      <c r="C138" s="6" t="s">
        <v>870</v>
      </c>
      <c r="D138" s="6" t="s">
        <v>429</v>
      </c>
      <c r="E138" s="6" t="s">
        <v>714</v>
      </c>
      <c r="F138" s="6" t="s">
        <v>78</v>
      </c>
      <c r="G138" s="6" t="s">
        <v>600</v>
      </c>
      <c r="H138" s="6" t="s">
        <v>179</v>
      </c>
      <c r="I138" s="6" t="s">
        <v>872</v>
      </c>
      <c r="J138" s="6" t="s">
        <v>873</v>
      </c>
      <c r="K138" s="6"/>
      <c r="L138" s="6" t="s">
        <v>304</v>
      </c>
      <c r="M138" s="6" t="s">
        <v>59</v>
      </c>
      <c r="N138" s="6"/>
    </row>
    <row r="139" ht="15.75" customHeight="1">
      <c r="A139" s="6" t="s">
        <v>669</v>
      </c>
      <c r="B139" s="6" t="s">
        <v>749</v>
      </c>
      <c r="C139" s="6" t="s">
        <v>670</v>
      </c>
      <c r="D139" s="6" t="s">
        <v>429</v>
      </c>
      <c r="E139" s="6" t="s">
        <v>714</v>
      </c>
      <c r="F139" s="6" t="s">
        <v>98</v>
      </c>
      <c r="G139" s="6" t="s">
        <v>610</v>
      </c>
      <c r="H139" s="6" t="s">
        <v>168</v>
      </c>
      <c r="I139" s="6" t="s">
        <v>752</v>
      </c>
      <c r="J139" s="6" t="s">
        <v>875</v>
      </c>
      <c r="K139" s="6" t="s">
        <v>724</v>
      </c>
      <c r="L139" s="6" t="s">
        <v>304</v>
      </c>
      <c r="M139" s="6" t="s">
        <v>373</v>
      </c>
    </row>
    <row r="140" ht="15.75" customHeight="1"/>
    <row r="141" ht="15.75" customHeight="1">
      <c r="A141" s="16" t="s">
        <v>738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ht="15.75" customHeight="1">
      <c r="A142" s="17" t="s">
        <v>876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 ht="15.75" customHeight="1">
      <c r="A143" s="18" t="s">
        <v>4</v>
      </c>
      <c r="B143" s="18" t="s">
        <v>6</v>
      </c>
      <c r="C143" s="18" t="s">
        <v>7</v>
      </c>
      <c r="D143" s="18" t="s">
        <v>8</v>
      </c>
      <c r="E143" s="18" t="s">
        <v>9</v>
      </c>
      <c r="F143" s="18" t="s">
        <v>10</v>
      </c>
      <c r="G143" s="18" t="s">
        <v>11</v>
      </c>
      <c r="H143" s="18" t="s">
        <v>12</v>
      </c>
      <c r="I143" s="18" t="s">
        <v>13</v>
      </c>
      <c r="J143" s="18" t="s">
        <v>14</v>
      </c>
      <c r="K143" s="18" t="s">
        <v>15</v>
      </c>
      <c r="L143" s="18" t="s">
        <v>16</v>
      </c>
      <c r="M143" s="18" t="s">
        <v>17</v>
      </c>
      <c r="N143" s="18" t="s">
        <v>18</v>
      </c>
    </row>
    <row r="144" ht="15.75" customHeight="1">
      <c r="A144" s="6" t="s">
        <v>745</v>
      </c>
      <c r="B144" s="6" t="s">
        <v>573</v>
      </c>
      <c r="C144" s="6" t="s">
        <v>672</v>
      </c>
      <c r="D144" s="6" t="s">
        <v>429</v>
      </c>
      <c r="E144" s="6" t="s">
        <v>541</v>
      </c>
      <c r="F144" s="6" t="s">
        <v>24</v>
      </c>
      <c r="G144" s="6" t="s">
        <v>577</v>
      </c>
      <c r="H144" s="6" t="s">
        <v>179</v>
      </c>
      <c r="I144" s="6" t="s">
        <v>582</v>
      </c>
      <c r="J144" s="6" t="s">
        <v>771</v>
      </c>
      <c r="K144" s="6"/>
      <c r="L144" s="6" t="s">
        <v>304</v>
      </c>
      <c r="M144" s="6" t="s">
        <v>59</v>
      </c>
      <c r="N144" s="6"/>
    </row>
    <row r="145" ht="15.75" customHeight="1">
      <c r="A145" s="6" t="s">
        <v>745</v>
      </c>
      <c r="B145" s="6" t="s">
        <v>586</v>
      </c>
      <c r="C145" s="6" t="s">
        <v>700</v>
      </c>
      <c r="D145" s="6" t="s">
        <v>429</v>
      </c>
      <c r="E145" s="6" t="s">
        <v>541</v>
      </c>
      <c r="F145" s="6" t="s">
        <v>24</v>
      </c>
      <c r="G145" s="6" t="s">
        <v>577</v>
      </c>
      <c r="H145" s="6" t="s">
        <v>333</v>
      </c>
      <c r="I145" s="6" t="s">
        <v>590</v>
      </c>
      <c r="J145" s="6" t="s">
        <v>774</v>
      </c>
      <c r="K145" s="6"/>
      <c r="L145" s="6" t="s">
        <v>304</v>
      </c>
      <c r="M145" s="6" t="s">
        <v>59</v>
      </c>
      <c r="N145" s="6"/>
    </row>
    <row r="146" ht="15.75" customHeight="1">
      <c r="A146" s="6" t="s">
        <v>745</v>
      </c>
      <c r="B146" s="6" t="s">
        <v>298</v>
      </c>
      <c r="C146" s="6" t="s">
        <v>840</v>
      </c>
      <c r="D146" s="6" t="s">
        <v>429</v>
      </c>
      <c r="E146" s="6" t="s">
        <v>459</v>
      </c>
      <c r="F146" s="6" t="s">
        <v>78</v>
      </c>
      <c r="G146" s="6" t="s">
        <v>600</v>
      </c>
      <c r="H146" s="6" t="s">
        <v>137</v>
      </c>
      <c r="I146" s="6" t="s">
        <v>601</v>
      </c>
      <c r="J146" s="6"/>
      <c r="K146" s="6"/>
      <c r="L146" s="6" t="s">
        <v>304</v>
      </c>
      <c r="M146" s="6" t="s">
        <v>59</v>
      </c>
      <c r="N146" s="6"/>
    </row>
    <row r="147" ht="15.75" customHeight="1">
      <c r="A147" s="6" t="s">
        <v>745</v>
      </c>
      <c r="B147" s="6" t="s">
        <v>615</v>
      </c>
      <c r="C147" s="6" t="s">
        <v>848</v>
      </c>
      <c r="D147" s="6" t="s">
        <v>429</v>
      </c>
      <c r="E147" s="6" t="s">
        <v>459</v>
      </c>
      <c r="F147" s="6" t="s">
        <v>78</v>
      </c>
      <c r="G147" s="6" t="s">
        <v>600</v>
      </c>
      <c r="H147" s="6" t="s">
        <v>179</v>
      </c>
      <c r="I147" s="6" t="s">
        <v>617</v>
      </c>
      <c r="J147" s="6" t="s">
        <v>850</v>
      </c>
      <c r="K147" s="6"/>
      <c r="L147" s="6" t="s">
        <v>304</v>
      </c>
      <c r="M147" s="6" t="s">
        <v>59</v>
      </c>
      <c r="N147" s="6"/>
    </row>
    <row r="148" ht="15.75" customHeight="1">
      <c r="A148" s="6" t="s">
        <v>745</v>
      </c>
      <c r="B148" s="6" t="s">
        <v>129</v>
      </c>
      <c r="C148" s="6" t="s">
        <v>764</v>
      </c>
      <c r="D148" s="6" t="s">
        <v>429</v>
      </c>
      <c r="E148" s="6" t="s">
        <v>459</v>
      </c>
      <c r="F148" s="6" t="s">
        <v>78</v>
      </c>
      <c r="G148" s="6" t="s">
        <v>600</v>
      </c>
      <c r="H148" s="6" t="s">
        <v>219</v>
      </c>
      <c r="I148" s="6" t="s">
        <v>620</v>
      </c>
      <c r="J148" s="6"/>
      <c r="K148" s="6" t="s">
        <v>674</v>
      </c>
      <c r="L148" s="6" t="s">
        <v>304</v>
      </c>
      <c r="M148" s="6" t="s">
        <v>59</v>
      </c>
      <c r="N148" s="6"/>
    </row>
    <row r="149" ht="15.75" customHeight="1">
      <c r="A149" s="6" t="s">
        <v>745</v>
      </c>
      <c r="B149" s="6" t="s">
        <v>324</v>
      </c>
      <c r="C149" s="6" t="s">
        <v>764</v>
      </c>
      <c r="D149" s="6" t="s">
        <v>429</v>
      </c>
      <c r="E149" s="6" t="s">
        <v>541</v>
      </c>
      <c r="F149" s="6" t="s">
        <v>24</v>
      </c>
      <c r="G149" s="6" t="s">
        <v>577</v>
      </c>
      <c r="H149" s="6" t="s">
        <v>333</v>
      </c>
      <c r="I149" s="6" t="s">
        <v>625</v>
      </c>
      <c r="J149" s="6"/>
      <c r="K149" s="6"/>
      <c r="L149" s="6" t="s">
        <v>304</v>
      </c>
      <c r="M149" s="6" t="s">
        <v>59</v>
      </c>
      <c r="N149" s="6"/>
    </row>
    <row r="150" ht="15.75" customHeight="1">
      <c r="A150" s="6" t="s">
        <v>745</v>
      </c>
      <c r="B150" s="6" t="s">
        <v>354</v>
      </c>
      <c r="C150" s="6" t="s">
        <v>899</v>
      </c>
      <c r="D150" s="6" t="s">
        <v>429</v>
      </c>
      <c r="E150" s="6" t="s">
        <v>524</v>
      </c>
      <c r="F150" s="6" t="s">
        <v>78</v>
      </c>
      <c r="G150" s="6" t="s">
        <v>600</v>
      </c>
      <c r="H150" s="6" t="s">
        <v>137</v>
      </c>
      <c r="I150" s="6" t="s">
        <v>497</v>
      </c>
      <c r="J150" s="6"/>
      <c r="K150" s="6"/>
      <c r="L150" s="6" t="s">
        <v>304</v>
      </c>
      <c r="M150" s="6" t="s">
        <v>30</v>
      </c>
      <c r="N150" s="6"/>
    </row>
    <row r="151" ht="15.75" customHeight="1">
      <c r="A151" s="6" t="s">
        <v>745</v>
      </c>
      <c r="B151" s="6" t="s">
        <v>146</v>
      </c>
      <c r="C151" s="6" t="s">
        <v>837</v>
      </c>
      <c r="D151" s="6" t="s">
        <v>429</v>
      </c>
      <c r="E151" s="6" t="s">
        <v>459</v>
      </c>
      <c r="F151" s="6" t="s">
        <v>78</v>
      </c>
      <c r="G151" s="6" t="s">
        <v>600</v>
      </c>
      <c r="H151" s="6" t="s">
        <v>219</v>
      </c>
      <c r="I151" s="6" t="s">
        <v>632</v>
      </c>
      <c r="J151" s="6"/>
      <c r="K151" s="6" t="s">
        <v>674</v>
      </c>
      <c r="L151" s="6" t="s">
        <v>304</v>
      </c>
      <c r="M151" s="6" t="s">
        <v>59</v>
      </c>
      <c r="N151" s="6"/>
    </row>
    <row r="152" ht="15.75" customHeight="1">
      <c r="A152" s="6" t="s">
        <v>745</v>
      </c>
      <c r="B152" s="6" t="s">
        <v>155</v>
      </c>
      <c r="C152" s="6" t="s">
        <v>840</v>
      </c>
      <c r="D152" s="6" t="s">
        <v>429</v>
      </c>
      <c r="E152" s="6" t="s">
        <v>508</v>
      </c>
      <c r="F152" s="6" t="s">
        <v>24</v>
      </c>
      <c r="G152" s="6" t="s">
        <v>577</v>
      </c>
      <c r="H152" s="6" t="s">
        <v>104</v>
      </c>
      <c r="I152" s="6" t="s">
        <v>159</v>
      </c>
      <c r="J152" s="6" t="s">
        <v>868</v>
      </c>
      <c r="K152" s="6"/>
      <c r="L152" s="6" t="s">
        <v>304</v>
      </c>
      <c r="M152" s="6" t="s">
        <v>59</v>
      </c>
      <c r="N152" s="6"/>
    </row>
    <row r="153" ht="15.75" customHeight="1">
      <c r="A153" s="6" t="s">
        <v>745</v>
      </c>
      <c r="B153" s="6" t="s">
        <v>480</v>
      </c>
      <c r="C153" s="6" t="s">
        <v>690</v>
      </c>
      <c r="D153" s="6" t="s">
        <v>429</v>
      </c>
      <c r="E153" s="6" t="s">
        <v>438</v>
      </c>
      <c r="F153" s="6" t="s">
        <v>24</v>
      </c>
      <c r="G153" s="6" t="s">
        <v>610</v>
      </c>
      <c r="H153" s="6" t="s">
        <v>120</v>
      </c>
      <c r="I153" s="6" t="s">
        <v>720</v>
      </c>
      <c r="J153" s="6" t="s">
        <v>484</v>
      </c>
      <c r="K153" s="6" t="s">
        <v>674</v>
      </c>
      <c r="L153" s="6" t="s">
        <v>304</v>
      </c>
      <c r="M153" s="6" t="s">
        <v>59</v>
      </c>
      <c r="N153" s="6"/>
    </row>
    <row r="154" ht="15.75" customHeight="1">
      <c r="A154" s="6" t="s">
        <v>745</v>
      </c>
      <c r="B154" s="6" t="s">
        <v>637</v>
      </c>
      <c r="C154" s="6" t="s">
        <v>870</v>
      </c>
      <c r="D154" s="6" t="s">
        <v>429</v>
      </c>
      <c r="E154" s="6" t="s">
        <v>541</v>
      </c>
      <c r="F154" s="6" t="s">
        <v>78</v>
      </c>
      <c r="G154" s="6" t="s">
        <v>600</v>
      </c>
      <c r="H154" s="6" t="s">
        <v>120</v>
      </c>
      <c r="I154" s="6" t="s">
        <v>643</v>
      </c>
      <c r="J154" s="6"/>
      <c r="K154" s="6" t="s">
        <v>674</v>
      </c>
      <c r="L154" s="6" t="s">
        <v>304</v>
      </c>
      <c r="M154" s="6" t="s">
        <v>59</v>
      </c>
      <c r="N154" s="6"/>
    </row>
    <row r="155" ht="15.75" customHeight="1">
      <c r="A155" s="6" t="s">
        <v>745</v>
      </c>
      <c r="B155" s="6" t="s">
        <v>503</v>
      </c>
      <c r="C155" s="6" t="s">
        <v>914</v>
      </c>
      <c r="D155" s="6" t="s">
        <v>553</v>
      </c>
      <c r="E155" s="6" t="s">
        <v>430</v>
      </c>
      <c r="F155" s="6" t="s">
        <v>78</v>
      </c>
      <c r="G155" s="6" t="s">
        <v>600</v>
      </c>
      <c r="H155" s="6" t="s">
        <v>710</v>
      </c>
      <c r="I155" s="6" t="s">
        <v>794</v>
      </c>
      <c r="K155" s="6" t="s">
        <v>753</v>
      </c>
      <c r="M155" s="6"/>
    </row>
    <row r="156" ht="15.75" customHeight="1">
      <c r="A156" s="6" t="s">
        <v>745</v>
      </c>
      <c r="B156" s="6" t="s">
        <v>184</v>
      </c>
      <c r="C156" s="6" t="s">
        <v>840</v>
      </c>
      <c r="D156" s="6" t="s">
        <v>429</v>
      </c>
      <c r="E156" s="6" t="s">
        <v>524</v>
      </c>
      <c r="F156" s="6" t="s">
        <v>24</v>
      </c>
      <c r="G156" s="6" t="s">
        <v>577</v>
      </c>
      <c r="H156" s="6" t="s">
        <v>333</v>
      </c>
      <c r="I156" s="6" t="s">
        <v>648</v>
      </c>
      <c r="J156" s="6" t="s">
        <v>191</v>
      </c>
      <c r="K156" s="6"/>
      <c r="L156" s="6" t="s">
        <v>304</v>
      </c>
      <c r="M156" s="6" t="s">
        <v>59</v>
      </c>
      <c r="N156" s="6"/>
    </row>
    <row r="157" ht="15.75" customHeight="1">
      <c r="A157" s="6" t="s">
        <v>745</v>
      </c>
      <c r="B157" s="6" t="s">
        <v>651</v>
      </c>
      <c r="C157" s="6" t="s">
        <v>672</v>
      </c>
      <c r="D157" s="6" t="s">
        <v>429</v>
      </c>
      <c r="E157" s="6" t="s">
        <v>459</v>
      </c>
      <c r="F157" s="6" t="s">
        <v>24</v>
      </c>
      <c r="G157" s="6" t="s">
        <v>577</v>
      </c>
      <c r="H157" s="6" t="s">
        <v>219</v>
      </c>
      <c r="I157" s="6" t="s">
        <v>655</v>
      </c>
      <c r="J157" s="6" t="s">
        <v>206</v>
      </c>
      <c r="K157" s="6" t="s">
        <v>674</v>
      </c>
      <c r="L157" s="6" t="s">
        <v>304</v>
      </c>
      <c r="M157" s="6" t="s">
        <v>59</v>
      </c>
      <c r="N157" s="6"/>
    </row>
    <row r="158" ht="15.75" customHeight="1">
      <c r="A158" s="6" t="s">
        <v>745</v>
      </c>
      <c r="B158" s="6" t="s">
        <v>212</v>
      </c>
      <c r="C158" s="6" t="s">
        <v>700</v>
      </c>
      <c r="D158" s="6" t="s">
        <v>429</v>
      </c>
      <c r="E158" s="6" t="s">
        <v>524</v>
      </c>
      <c r="F158" s="6" t="s">
        <v>24</v>
      </c>
      <c r="G158" s="6" t="s">
        <v>610</v>
      </c>
      <c r="H158" s="6" t="s">
        <v>168</v>
      </c>
      <c r="I158" s="6" t="s">
        <v>659</v>
      </c>
      <c r="J158" s="6" t="s">
        <v>920</v>
      </c>
      <c r="K158" s="6" t="s">
        <v>724</v>
      </c>
      <c r="L158" s="6" t="s">
        <v>304</v>
      </c>
      <c r="M158" s="6" t="s">
        <v>373</v>
      </c>
    </row>
    <row r="159" ht="15.75" customHeight="1">
      <c r="A159" s="6" t="s">
        <v>745</v>
      </c>
      <c r="B159" s="6" t="s">
        <v>249</v>
      </c>
      <c r="C159" s="6" t="s">
        <v>764</v>
      </c>
      <c r="D159" s="6" t="s">
        <v>429</v>
      </c>
      <c r="E159" s="6" t="s">
        <v>556</v>
      </c>
      <c r="F159" s="6" t="s">
        <v>24</v>
      </c>
      <c r="G159" s="6" t="s">
        <v>577</v>
      </c>
      <c r="H159" s="6" t="s">
        <v>104</v>
      </c>
      <c r="I159" s="6" t="s">
        <v>254</v>
      </c>
      <c r="J159" s="6" t="s">
        <v>815</v>
      </c>
      <c r="K159" s="6"/>
      <c r="L159" s="6" t="s">
        <v>304</v>
      </c>
      <c r="M159" s="6" t="s">
        <v>59</v>
      </c>
      <c r="N159" s="6"/>
    </row>
    <row r="160" ht="15.75" customHeight="1">
      <c r="A160" s="6" t="s">
        <v>745</v>
      </c>
      <c r="B160" s="6" t="s">
        <v>260</v>
      </c>
      <c r="C160" s="6" t="s">
        <v>781</v>
      </c>
      <c r="D160" s="6" t="s">
        <v>429</v>
      </c>
      <c r="E160" s="6" t="s">
        <v>438</v>
      </c>
      <c r="F160" s="6" t="s">
        <v>24</v>
      </c>
      <c r="G160" s="6" t="s">
        <v>610</v>
      </c>
      <c r="H160" s="6" t="s">
        <v>333</v>
      </c>
      <c r="I160" s="6" t="s">
        <v>671</v>
      </c>
      <c r="L160" s="6" t="s">
        <v>304</v>
      </c>
      <c r="M160" s="6" t="s">
        <v>373</v>
      </c>
    </row>
    <row r="161" ht="15.75" customHeight="1">
      <c r="A161" s="6" t="s">
        <v>745</v>
      </c>
      <c r="B161" s="6" t="s">
        <v>271</v>
      </c>
      <c r="C161" s="6" t="s">
        <v>700</v>
      </c>
      <c r="D161" s="6" t="s">
        <v>429</v>
      </c>
      <c r="E161" s="6" t="s">
        <v>438</v>
      </c>
      <c r="F161" s="6" t="s">
        <v>98</v>
      </c>
      <c r="G161" s="6" t="s">
        <v>610</v>
      </c>
      <c r="H161" s="6" t="s">
        <v>83</v>
      </c>
      <c r="I161" s="6" t="s">
        <v>497</v>
      </c>
      <c r="J161" s="6" t="s">
        <v>276</v>
      </c>
      <c r="K161" s="6" t="s">
        <v>864</v>
      </c>
      <c r="L161" s="6" t="s">
        <v>304</v>
      </c>
      <c r="M161" s="6" t="s">
        <v>59</v>
      </c>
      <c r="N161" s="6"/>
    </row>
    <row r="162" ht="15.75" customHeight="1">
      <c r="A162" s="6" t="s">
        <v>745</v>
      </c>
      <c r="B162" s="6" t="s">
        <v>682</v>
      </c>
      <c r="C162" s="6" t="s">
        <v>781</v>
      </c>
      <c r="D162" s="6" t="s">
        <v>429</v>
      </c>
      <c r="E162" s="6" t="s">
        <v>556</v>
      </c>
      <c r="F162" s="6" t="s">
        <v>24</v>
      </c>
      <c r="G162" s="6" t="s">
        <v>577</v>
      </c>
      <c r="H162" s="6" t="s">
        <v>137</v>
      </c>
      <c r="I162" s="6" t="s">
        <v>683</v>
      </c>
      <c r="J162" s="6"/>
      <c r="K162" s="6"/>
      <c r="L162" s="6" t="s">
        <v>304</v>
      </c>
      <c r="M162" s="6" t="s">
        <v>59</v>
      </c>
      <c r="N162" s="6"/>
    </row>
    <row r="163" ht="15.75" customHeight="1">
      <c r="A163" s="19"/>
    </row>
    <row r="164" ht="15.75" customHeight="1">
      <c r="A164" s="16" t="s">
        <v>809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ht="15.75" customHeight="1">
      <c r="A165" s="17" t="s">
        <v>45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 ht="15.75" customHeight="1">
      <c r="A166" s="18" t="s">
        <v>4</v>
      </c>
      <c r="B166" s="18" t="s">
        <v>6</v>
      </c>
      <c r="C166" s="18" t="s">
        <v>7</v>
      </c>
      <c r="D166" s="18" t="s">
        <v>8</v>
      </c>
      <c r="E166" s="18" t="s">
        <v>9</v>
      </c>
      <c r="F166" s="18" t="s">
        <v>10</v>
      </c>
      <c r="G166" s="18" t="s">
        <v>11</v>
      </c>
      <c r="H166" s="18" t="s">
        <v>12</v>
      </c>
      <c r="I166" s="18" t="s">
        <v>13</v>
      </c>
      <c r="J166" s="18" t="s">
        <v>14</v>
      </c>
      <c r="K166" s="18" t="s">
        <v>15</v>
      </c>
      <c r="L166" s="18" t="s">
        <v>16</v>
      </c>
      <c r="M166" s="18" t="s">
        <v>17</v>
      </c>
      <c r="N166" s="18" t="s">
        <v>18</v>
      </c>
    </row>
    <row r="167" ht="15.75" customHeight="1">
      <c r="A167" s="6" t="s">
        <v>818</v>
      </c>
      <c r="B167" s="6" t="s">
        <v>309</v>
      </c>
      <c r="C167" s="6" t="s">
        <v>899</v>
      </c>
      <c r="D167" s="6" t="s">
        <v>429</v>
      </c>
      <c r="E167" s="6" t="s">
        <v>592</v>
      </c>
      <c r="F167" s="6" t="s">
        <v>78</v>
      </c>
      <c r="G167" s="6" t="s">
        <v>600</v>
      </c>
      <c r="H167" s="6" t="s">
        <v>219</v>
      </c>
      <c r="I167" s="6" t="s">
        <v>314</v>
      </c>
      <c r="J167" s="6"/>
      <c r="K167" s="6" t="s">
        <v>820</v>
      </c>
      <c r="L167" s="6" t="s">
        <v>304</v>
      </c>
      <c r="M167" s="6" t="s">
        <v>59</v>
      </c>
      <c r="N167" s="6"/>
    </row>
    <row r="168" ht="15.75" customHeight="1">
      <c r="A168" s="6" t="s">
        <v>818</v>
      </c>
      <c r="B168" s="6" t="s">
        <v>703</v>
      </c>
      <c r="C168" s="6" t="s">
        <v>781</v>
      </c>
      <c r="D168" s="6" t="s">
        <v>429</v>
      </c>
      <c r="E168" s="6" t="s">
        <v>541</v>
      </c>
      <c r="F168" s="6" t="s">
        <v>78</v>
      </c>
      <c r="G168" s="6" t="s">
        <v>600</v>
      </c>
      <c r="H168" s="6" t="s">
        <v>120</v>
      </c>
      <c r="I168" s="6" t="s">
        <v>707</v>
      </c>
      <c r="J168" s="6"/>
      <c r="K168" s="6" t="s">
        <v>820</v>
      </c>
      <c r="L168" s="6" t="s">
        <v>304</v>
      </c>
      <c r="M168" s="6" t="s">
        <v>59</v>
      </c>
      <c r="N168" s="6"/>
    </row>
    <row r="169" ht="15.75" customHeight="1">
      <c r="A169" s="6" t="s">
        <v>818</v>
      </c>
      <c r="B169" s="6" t="s">
        <v>330</v>
      </c>
      <c r="C169" s="6" t="s">
        <v>670</v>
      </c>
      <c r="D169" s="6" t="s">
        <v>553</v>
      </c>
      <c r="E169" s="6" t="s">
        <v>592</v>
      </c>
      <c r="F169" s="6" t="s">
        <v>78</v>
      </c>
      <c r="G169" s="6" t="s">
        <v>600</v>
      </c>
      <c r="H169" s="6" t="s">
        <v>710</v>
      </c>
      <c r="I169" s="6" t="s">
        <v>858</v>
      </c>
      <c r="J169" s="6" t="s">
        <v>335</v>
      </c>
      <c r="K169" s="6" t="s">
        <v>824</v>
      </c>
      <c r="M169" s="6"/>
    </row>
    <row r="170" ht="15.75" customHeight="1">
      <c r="A170" s="6" t="s">
        <v>818</v>
      </c>
      <c r="B170" s="6" t="s">
        <v>709</v>
      </c>
      <c r="C170" s="6" t="s">
        <v>672</v>
      </c>
      <c r="D170" s="6" t="s">
        <v>429</v>
      </c>
      <c r="E170" s="6" t="s">
        <v>459</v>
      </c>
      <c r="F170" s="6" t="s">
        <v>78</v>
      </c>
      <c r="G170" s="6" t="s">
        <v>600</v>
      </c>
      <c r="H170" s="6" t="s">
        <v>83</v>
      </c>
      <c r="I170" s="6" t="s">
        <v>711</v>
      </c>
      <c r="J170" s="6"/>
      <c r="K170" s="6" t="s">
        <v>948</v>
      </c>
      <c r="L170" s="6" t="s">
        <v>304</v>
      </c>
      <c r="M170" s="6" t="s">
        <v>59</v>
      </c>
      <c r="N170" s="6"/>
    </row>
    <row r="171" ht="15.75" customHeight="1">
      <c r="A171" s="6" t="s">
        <v>818</v>
      </c>
      <c r="B171" s="6" t="s">
        <v>165</v>
      </c>
      <c r="C171" s="6" t="s">
        <v>764</v>
      </c>
      <c r="D171" s="6" t="s">
        <v>429</v>
      </c>
      <c r="E171" s="6" t="s">
        <v>541</v>
      </c>
      <c r="F171" s="6" t="s">
        <v>78</v>
      </c>
      <c r="G171" s="6" t="s">
        <v>600</v>
      </c>
      <c r="H171" s="6" t="s">
        <v>137</v>
      </c>
      <c r="I171" s="6" t="s">
        <v>726</v>
      </c>
      <c r="J171" s="6"/>
      <c r="K171" s="6"/>
      <c r="L171" s="6" t="s">
        <v>304</v>
      </c>
      <c r="M171" s="6" t="s">
        <v>59</v>
      </c>
      <c r="N171" s="6"/>
    </row>
    <row r="172" ht="15.75" customHeight="1">
      <c r="A172" s="6" t="s">
        <v>818</v>
      </c>
      <c r="B172" s="6" t="s">
        <v>495</v>
      </c>
      <c r="C172" s="6" t="s">
        <v>670</v>
      </c>
      <c r="D172" s="6" t="s">
        <v>429</v>
      </c>
      <c r="E172" s="6" t="s">
        <v>714</v>
      </c>
      <c r="F172" s="6" t="s">
        <v>24</v>
      </c>
      <c r="G172" s="6" t="s">
        <v>610</v>
      </c>
      <c r="H172" s="6" t="s">
        <v>333</v>
      </c>
      <c r="I172" s="6" t="s">
        <v>730</v>
      </c>
      <c r="L172" s="6" t="s">
        <v>304</v>
      </c>
      <c r="M172" s="6" t="s">
        <v>373</v>
      </c>
    </row>
    <row r="173" ht="15.75" customHeight="1">
      <c r="A173" s="6" t="s">
        <v>818</v>
      </c>
      <c r="B173" s="6" t="s">
        <v>372</v>
      </c>
      <c r="C173" s="6" t="s">
        <v>700</v>
      </c>
      <c r="D173" s="6" t="s">
        <v>429</v>
      </c>
      <c r="E173" s="6" t="s">
        <v>592</v>
      </c>
      <c r="F173" s="6" t="s">
        <v>78</v>
      </c>
      <c r="G173" s="6" t="s">
        <v>600</v>
      </c>
      <c r="H173" s="6" t="s">
        <v>333</v>
      </c>
      <c r="I173" s="6" t="s">
        <v>869</v>
      </c>
      <c r="J173" s="6"/>
      <c r="K173" s="6"/>
      <c r="L173" s="6" t="s">
        <v>304</v>
      </c>
      <c r="M173" s="6" t="s">
        <v>59</v>
      </c>
      <c r="N173" s="6"/>
    </row>
    <row r="174" ht="15.75" customHeight="1">
      <c r="A174" s="6" t="s">
        <v>818</v>
      </c>
      <c r="B174" s="6" t="s">
        <v>633</v>
      </c>
      <c r="C174" s="6" t="s">
        <v>672</v>
      </c>
      <c r="D174" s="6" t="s">
        <v>429</v>
      </c>
      <c r="E174" s="6" t="s">
        <v>541</v>
      </c>
      <c r="F174" s="6" t="s">
        <v>78</v>
      </c>
      <c r="G174" s="6" t="s">
        <v>600</v>
      </c>
      <c r="H174" s="6" t="s">
        <v>104</v>
      </c>
      <c r="I174" s="6" t="s">
        <v>635</v>
      </c>
      <c r="J174" s="6" t="s">
        <v>636</v>
      </c>
      <c r="L174" s="6" t="s">
        <v>304</v>
      </c>
      <c r="M174" s="6" t="s">
        <v>373</v>
      </c>
    </row>
    <row r="175" ht="15.75" customHeight="1">
      <c r="A175" s="6" t="s">
        <v>818</v>
      </c>
      <c r="B175" s="6" t="s">
        <v>379</v>
      </c>
      <c r="C175" s="6" t="s">
        <v>848</v>
      </c>
      <c r="D175" s="6" t="s">
        <v>429</v>
      </c>
      <c r="E175" s="6" t="s">
        <v>541</v>
      </c>
      <c r="F175" s="6" t="s">
        <v>24</v>
      </c>
      <c r="G175" s="6" t="s">
        <v>577</v>
      </c>
      <c r="H175" s="6" t="s">
        <v>137</v>
      </c>
      <c r="I175" s="6" t="s">
        <v>737</v>
      </c>
      <c r="J175" s="6" t="s">
        <v>959</v>
      </c>
      <c r="K175" s="6"/>
      <c r="L175" s="6" t="s">
        <v>304</v>
      </c>
      <c r="M175" s="6" t="s">
        <v>59</v>
      </c>
      <c r="N175" s="6"/>
    </row>
    <row r="176" ht="15.75" customHeight="1">
      <c r="A176" s="6" t="s">
        <v>818</v>
      </c>
      <c r="B176" s="6" t="s">
        <v>871</v>
      </c>
      <c r="C176" s="6" t="s">
        <v>848</v>
      </c>
      <c r="D176" s="6" t="s">
        <v>429</v>
      </c>
      <c r="E176" s="6" t="s">
        <v>714</v>
      </c>
      <c r="F176" s="6" t="s">
        <v>78</v>
      </c>
      <c r="G176" s="6" t="s">
        <v>600</v>
      </c>
      <c r="H176" s="6" t="s">
        <v>137</v>
      </c>
      <c r="I176" s="6" t="s">
        <v>872</v>
      </c>
      <c r="J176" s="6" t="s">
        <v>873</v>
      </c>
      <c r="K176" s="6"/>
      <c r="L176" s="6" t="s">
        <v>304</v>
      </c>
      <c r="M176" s="6" t="s">
        <v>59</v>
      </c>
      <c r="N176" s="6"/>
    </row>
    <row r="177" ht="15.75" customHeight="1">
      <c r="A177" s="6" t="s">
        <v>818</v>
      </c>
      <c r="B177" s="6" t="s">
        <v>512</v>
      </c>
      <c r="C177" s="6" t="s">
        <v>684</v>
      </c>
      <c r="D177" s="6" t="s">
        <v>429</v>
      </c>
      <c r="E177" s="6" t="s">
        <v>541</v>
      </c>
      <c r="F177" s="6" t="s">
        <v>24</v>
      </c>
      <c r="G177" s="6" t="s">
        <v>577</v>
      </c>
      <c r="H177" s="6" t="s">
        <v>120</v>
      </c>
      <c r="I177" s="6" t="s">
        <v>739</v>
      </c>
      <c r="J177" s="6" t="s">
        <v>517</v>
      </c>
      <c r="K177" s="6" t="s">
        <v>820</v>
      </c>
      <c r="L177" s="6" t="s">
        <v>304</v>
      </c>
      <c r="M177" s="6" t="s">
        <v>59</v>
      </c>
      <c r="N177" s="6"/>
    </row>
    <row r="178" ht="15.75" customHeight="1">
      <c r="A178" s="6" t="s">
        <v>818</v>
      </c>
      <c r="B178" s="6" t="s">
        <v>740</v>
      </c>
      <c r="C178" s="6" t="s">
        <v>700</v>
      </c>
      <c r="D178" s="6" t="s">
        <v>429</v>
      </c>
      <c r="E178" s="6" t="s">
        <v>556</v>
      </c>
      <c r="F178" s="6" t="s">
        <v>24</v>
      </c>
      <c r="G178" s="6" t="s">
        <v>577</v>
      </c>
      <c r="H178" s="6" t="s">
        <v>168</v>
      </c>
      <c r="I178" s="6" t="s">
        <v>520</v>
      </c>
      <c r="J178" s="6" t="s">
        <v>966</v>
      </c>
      <c r="K178" s="6" t="s">
        <v>724</v>
      </c>
      <c r="L178" s="6" t="s">
        <v>304</v>
      </c>
      <c r="M178" s="6" t="s">
        <v>59</v>
      </c>
      <c r="N178" s="6"/>
    </row>
    <row r="179" ht="15.75" customHeight="1">
      <c r="A179" s="6" t="s">
        <v>818</v>
      </c>
      <c r="B179" s="6" t="s">
        <v>415</v>
      </c>
      <c r="C179" s="6" t="s">
        <v>781</v>
      </c>
      <c r="D179" s="6" t="s">
        <v>429</v>
      </c>
      <c r="E179" s="6" t="s">
        <v>714</v>
      </c>
      <c r="F179" s="6" t="s">
        <v>24</v>
      </c>
      <c r="G179" s="6" t="s">
        <v>610</v>
      </c>
      <c r="H179" s="6" t="s">
        <v>83</v>
      </c>
      <c r="I179" s="6" t="s">
        <v>968</v>
      </c>
      <c r="K179" s="6" t="s">
        <v>948</v>
      </c>
      <c r="L179" s="6" t="s">
        <v>304</v>
      </c>
      <c r="M179" s="6" t="s">
        <v>373</v>
      </c>
    </row>
    <row r="180" ht="15.75" customHeight="1">
      <c r="A180" s="6" t="s">
        <v>818</v>
      </c>
      <c r="B180" s="6" t="s">
        <v>529</v>
      </c>
      <c r="C180" s="6" t="s">
        <v>870</v>
      </c>
      <c r="D180" s="6" t="s">
        <v>429</v>
      </c>
      <c r="E180" s="6" t="s">
        <v>556</v>
      </c>
      <c r="F180" s="6" t="s">
        <v>24</v>
      </c>
      <c r="G180" s="6" t="s">
        <v>577</v>
      </c>
      <c r="H180" s="6" t="s">
        <v>168</v>
      </c>
      <c r="I180" s="6" t="s">
        <v>497</v>
      </c>
      <c r="J180" s="6" t="s">
        <v>970</v>
      </c>
      <c r="K180" s="6" t="s">
        <v>724</v>
      </c>
      <c r="L180" s="6" t="s">
        <v>304</v>
      </c>
      <c r="M180" s="6" t="s">
        <v>59</v>
      </c>
      <c r="N180" s="6"/>
    </row>
    <row r="181" ht="15.75" customHeight="1">
      <c r="A181" s="6" t="s">
        <v>818</v>
      </c>
      <c r="B181" s="6" t="s">
        <v>749</v>
      </c>
      <c r="C181" s="6" t="s">
        <v>670</v>
      </c>
      <c r="D181" s="6" t="s">
        <v>429</v>
      </c>
      <c r="E181" s="6" t="s">
        <v>714</v>
      </c>
      <c r="F181" s="6" t="s">
        <v>98</v>
      </c>
      <c r="G181" s="6" t="s">
        <v>610</v>
      </c>
      <c r="H181" s="6" t="s">
        <v>168</v>
      </c>
      <c r="I181" s="6" t="s">
        <v>752</v>
      </c>
      <c r="J181" s="6" t="s">
        <v>875</v>
      </c>
      <c r="K181" s="6" t="s">
        <v>724</v>
      </c>
      <c r="L181" s="6" t="s">
        <v>304</v>
      </c>
      <c r="M181" s="6" t="s">
        <v>373</v>
      </c>
    </row>
    <row r="182" ht="15.75" customHeight="1">
      <c r="A182" s="6" t="s">
        <v>818</v>
      </c>
      <c r="B182" s="6" t="s">
        <v>534</v>
      </c>
      <c r="C182" s="6" t="s">
        <v>840</v>
      </c>
      <c r="D182" s="6" t="s">
        <v>429</v>
      </c>
      <c r="E182" s="6" t="s">
        <v>592</v>
      </c>
      <c r="F182" s="6" t="s">
        <v>78</v>
      </c>
      <c r="G182" s="6" t="s">
        <v>600</v>
      </c>
      <c r="H182" s="6" t="s">
        <v>333</v>
      </c>
      <c r="I182" s="6" t="s">
        <v>755</v>
      </c>
      <c r="J182" s="6"/>
      <c r="K182" s="6"/>
      <c r="L182" s="6" t="s">
        <v>304</v>
      </c>
      <c r="M182" s="6" t="s">
        <v>59</v>
      </c>
      <c r="N182" s="6"/>
    </row>
    <row r="183" ht="15.75" customHeight="1">
      <c r="A183" s="6" t="s">
        <v>818</v>
      </c>
      <c r="B183" s="6" t="s">
        <v>759</v>
      </c>
      <c r="C183" s="6" t="s">
        <v>870</v>
      </c>
      <c r="D183" s="6" t="s">
        <v>429</v>
      </c>
      <c r="E183" s="6" t="s">
        <v>592</v>
      </c>
      <c r="F183" s="6" t="s">
        <v>24</v>
      </c>
      <c r="G183" s="6" t="s">
        <v>577</v>
      </c>
      <c r="H183" s="6" t="s">
        <v>120</v>
      </c>
      <c r="I183" s="6" t="s">
        <v>763</v>
      </c>
      <c r="J183" s="6" t="s">
        <v>545</v>
      </c>
      <c r="K183" s="6" t="s">
        <v>820</v>
      </c>
      <c r="L183" s="6" t="s">
        <v>304</v>
      </c>
      <c r="M183" s="6" t="s">
        <v>59</v>
      </c>
      <c r="N183" s="6"/>
    </row>
    <row r="184" ht="15.75" customHeight="1"/>
    <row r="185" ht="15.75" customHeight="1">
      <c r="A185" s="16" t="s">
        <v>855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ht="15.75" customHeight="1">
      <c r="A186" s="17" t="s">
        <v>287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 ht="15.75" customHeight="1">
      <c r="A187" s="18" t="s">
        <v>4</v>
      </c>
      <c r="B187" s="18" t="s">
        <v>6</v>
      </c>
      <c r="C187" s="18" t="s">
        <v>7</v>
      </c>
      <c r="D187" s="18" t="s">
        <v>8</v>
      </c>
      <c r="E187" s="18" t="s">
        <v>9</v>
      </c>
      <c r="F187" s="18" t="s">
        <v>10</v>
      </c>
      <c r="G187" s="18" t="s">
        <v>11</v>
      </c>
      <c r="H187" s="18" t="s">
        <v>12</v>
      </c>
      <c r="I187" s="18" t="s">
        <v>13</v>
      </c>
      <c r="J187" s="18" t="s">
        <v>14</v>
      </c>
      <c r="K187" s="18" t="s">
        <v>15</v>
      </c>
      <c r="L187" s="18" t="s">
        <v>16</v>
      </c>
      <c r="M187" s="18" t="s">
        <v>17</v>
      </c>
      <c r="N187" s="18" t="s">
        <v>18</v>
      </c>
    </row>
    <row r="188" ht="15.75" customHeight="1">
      <c r="A188" s="6" t="s">
        <v>863</v>
      </c>
      <c r="B188" s="6" t="s">
        <v>573</v>
      </c>
      <c r="C188" s="6" t="s">
        <v>672</v>
      </c>
      <c r="D188" s="6" t="s">
        <v>429</v>
      </c>
      <c r="E188" s="6" t="s">
        <v>541</v>
      </c>
      <c r="F188" s="6" t="s">
        <v>24</v>
      </c>
      <c r="G188" s="6" t="s">
        <v>577</v>
      </c>
      <c r="H188" s="6" t="s">
        <v>137</v>
      </c>
      <c r="I188" s="6" t="s">
        <v>582</v>
      </c>
      <c r="J188" s="6" t="s">
        <v>771</v>
      </c>
      <c r="K188" s="6"/>
      <c r="L188" s="6" t="s">
        <v>304</v>
      </c>
      <c r="M188" s="6" t="s">
        <v>59</v>
      </c>
      <c r="N188" s="6"/>
    </row>
    <row r="189" ht="15.75" customHeight="1">
      <c r="A189" s="6" t="s">
        <v>863</v>
      </c>
      <c r="B189" s="6" t="s">
        <v>586</v>
      </c>
      <c r="C189" s="6" t="s">
        <v>700</v>
      </c>
      <c r="D189" s="6" t="s">
        <v>429</v>
      </c>
      <c r="E189" s="6" t="s">
        <v>541</v>
      </c>
      <c r="F189" s="6" t="s">
        <v>24</v>
      </c>
      <c r="G189" s="6" t="s">
        <v>577</v>
      </c>
      <c r="H189" s="6" t="s">
        <v>120</v>
      </c>
      <c r="I189" s="6" t="s">
        <v>590</v>
      </c>
      <c r="J189" s="6" t="s">
        <v>774</v>
      </c>
      <c r="K189" s="6" t="s">
        <v>820</v>
      </c>
      <c r="L189" s="6" t="s">
        <v>304</v>
      </c>
      <c r="M189" s="6" t="s">
        <v>59</v>
      </c>
      <c r="N189" s="6"/>
    </row>
    <row r="190" ht="15.75" customHeight="1">
      <c r="A190" s="6" t="s">
        <v>863</v>
      </c>
      <c r="B190" s="6" t="s">
        <v>452</v>
      </c>
      <c r="C190" s="6" t="s">
        <v>825</v>
      </c>
      <c r="D190" s="6" t="s">
        <v>553</v>
      </c>
      <c r="E190" s="6" t="s">
        <v>541</v>
      </c>
      <c r="F190" s="6" t="s">
        <v>78</v>
      </c>
      <c r="G190" s="6" t="s">
        <v>577</v>
      </c>
      <c r="H190" s="6" t="s">
        <v>710</v>
      </c>
      <c r="I190" s="6" t="s">
        <v>775</v>
      </c>
      <c r="K190" s="6" t="s">
        <v>824</v>
      </c>
      <c r="M190" s="6"/>
    </row>
    <row r="191" ht="15.75" customHeight="1">
      <c r="A191" s="6" t="s">
        <v>863</v>
      </c>
      <c r="B191" s="6" t="s">
        <v>129</v>
      </c>
      <c r="C191" s="6" t="s">
        <v>764</v>
      </c>
      <c r="D191" s="6" t="s">
        <v>429</v>
      </c>
      <c r="E191" s="6" t="s">
        <v>459</v>
      </c>
      <c r="F191" s="6" t="s">
        <v>78</v>
      </c>
      <c r="G191" s="6" t="s">
        <v>600</v>
      </c>
      <c r="H191" s="6" t="s">
        <v>83</v>
      </c>
      <c r="I191" s="6" t="s">
        <v>620</v>
      </c>
      <c r="J191" s="6"/>
      <c r="K191" s="6" t="s">
        <v>948</v>
      </c>
      <c r="L191" s="6" t="s">
        <v>304</v>
      </c>
      <c r="M191" s="6" t="s">
        <v>59</v>
      </c>
      <c r="N191" s="6"/>
    </row>
    <row r="192" ht="15.75" customHeight="1">
      <c r="A192" s="6" t="s">
        <v>863</v>
      </c>
      <c r="B192" s="6" t="s">
        <v>146</v>
      </c>
      <c r="C192" s="6" t="s">
        <v>837</v>
      </c>
      <c r="D192" s="6" t="s">
        <v>429</v>
      </c>
      <c r="E192" s="6" t="s">
        <v>459</v>
      </c>
      <c r="F192" s="6" t="s">
        <v>78</v>
      </c>
      <c r="G192" s="6" t="s">
        <v>600</v>
      </c>
      <c r="H192" s="6" t="s">
        <v>83</v>
      </c>
      <c r="I192" s="6" t="s">
        <v>632</v>
      </c>
      <c r="J192" s="6"/>
      <c r="K192" s="6" t="s">
        <v>948</v>
      </c>
      <c r="L192" s="6" t="s">
        <v>304</v>
      </c>
      <c r="M192" s="6" t="s">
        <v>59</v>
      </c>
      <c r="N192" s="6"/>
    </row>
    <row r="193" ht="15.75" customHeight="1">
      <c r="A193" s="6" t="s">
        <v>863</v>
      </c>
      <c r="B193" s="6" t="s">
        <v>637</v>
      </c>
      <c r="C193" s="6" t="s">
        <v>870</v>
      </c>
      <c r="D193" s="6" t="s">
        <v>429</v>
      </c>
      <c r="E193" s="6" t="s">
        <v>541</v>
      </c>
      <c r="F193" s="6" t="s">
        <v>78</v>
      </c>
      <c r="G193" s="6" t="s">
        <v>600</v>
      </c>
      <c r="H193" s="6" t="s">
        <v>219</v>
      </c>
      <c r="I193" s="6" t="s">
        <v>643</v>
      </c>
      <c r="J193" s="6"/>
      <c r="K193" s="6" t="s">
        <v>820</v>
      </c>
      <c r="L193" s="6" t="s">
        <v>304</v>
      </c>
      <c r="M193" s="6" t="s">
        <v>59</v>
      </c>
      <c r="N193" s="6"/>
    </row>
    <row r="194" ht="15.75" customHeight="1">
      <c r="A194" s="6" t="s">
        <v>863</v>
      </c>
      <c r="B194" s="6" t="s">
        <v>503</v>
      </c>
      <c r="C194" s="6" t="s">
        <v>870</v>
      </c>
      <c r="D194" s="6" t="s">
        <v>429</v>
      </c>
      <c r="E194" s="6" t="s">
        <v>541</v>
      </c>
      <c r="F194" s="6" t="s">
        <v>78</v>
      </c>
      <c r="G194" s="6" t="s">
        <v>600</v>
      </c>
      <c r="H194" s="6" t="s">
        <v>120</v>
      </c>
      <c r="I194" s="6" t="s">
        <v>794</v>
      </c>
      <c r="J194" s="6"/>
      <c r="K194" s="6" t="s">
        <v>820</v>
      </c>
      <c r="L194" s="6" t="s">
        <v>304</v>
      </c>
      <c r="M194" s="6" t="s">
        <v>59</v>
      </c>
      <c r="N194" s="6"/>
    </row>
    <row r="195" ht="15.75" customHeight="1">
      <c r="A195" s="6" t="s">
        <v>863</v>
      </c>
      <c r="B195" s="6" t="s">
        <v>184</v>
      </c>
      <c r="C195" s="6" t="s">
        <v>840</v>
      </c>
      <c r="D195" s="6" t="s">
        <v>429</v>
      </c>
      <c r="E195" s="6" t="s">
        <v>524</v>
      </c>
      <c r="F195" s="6" t="s">
        <v>24</v>
      </c>
      <c r="G195" s="6" t="s">
        <v>577</v>
      </c>
      <c r="H195" s="6" t="s">
        <v>120</v>
      </c>
      <c r="I195" s="6" t="s">
        <v>648</v>
      </c>
      <c r="J195" s="6" t="s">
        <v>191</v>
      </c>
      <c r="K195" s="6" t="s">
        <v>820</v>
      </c>
      <c r="L195" s="6" t="s">
        <v>304</v>
      </c>
      <c r="M195" s="6" t="s">
        <v>59</v>
      </c>
      <c r="N195" s="6"/>
    </row>
    <row r="196" ht="15.75" customHeight="1">
      <c r="A196" s="6" t="s">
        <v>863</v>
      </c>
      <c r="B196" s="6" t="s">
        <v>651</v>
      </c>
      <c r="C196" s="6" t="s">
        <v>672</v>
      </c>
      <c r="D196" s="6" t="s">
        <v>429</v>
      </c>
      <c r="E196" s="6" t="s">
        <v>459</v>
      </c>
      <c r="F196" s="6" t="s">
        <v>24</v>
      </c>
      <c r="G196" s="6" t="s">
        <v>577</v>
      </c>
      <c r="H196" s="6" t="s">
        <v>83</v>
      </c>
      <c r="I196" s="6" t="s">
        <v>655</v>
      </c>
      <c r="J196" s="6" t="s">
        <v>206</v>
      </c>
      <c r="K196" s="6" t="s">
        <v>948</v>
      </c>
      <c r="L196" s="6" t="s">
        <v>304</v>
      </c>
      <c r="M196" s="6" t="s">
        <v>59</v>
      </c>
      <c r="N196" s="6"/>
    </row>
    <row r="197" ht="15.75" customHeight="1">
      <c r="A197" s="6" t="s">
        <v>863</v>
      </c>
      <c r="B197" s="6" t="s">
        <v>249</v>
      </c>
      <c r="C197" s="6" t="s">
        <v>764</v>
      </c>
      <c r="D197" s="6" t="s">
        <v>429</v>
      </c>
      <c r="E197" s="6" t="s">
        <v>541</v>
      </c>
      <c r="F197" s="6" t="s">
        <v>24</v>
      </c>
      <c r="G197" s="6" t="s">
        <v>577</v>
      </c>
      <c r="H197" s="6" t="s">
        <v>179</v>
      </c>
      <c r="I197" s="6" t="s">
        <v>254</v>
      </c>
      <c r="J197" s="6" t="s">
        <v>815</v>
      </c>
      <c r="K197" s="6"/>
      <c r="L197" s="6" t="s">
        <v>304</v>
      </c>
      <c r="M197" s="6" t="s">
        <v>59</v>
      </c>
      <c r="N197" s="6"/>
    </row>
    <row r="198" ht="15.75" customHeight="1">
      <c r="A198" s="6" t="s">
        <v>863</v>
      </c>
      <c r="B198" s="6" t="s">
        <v>249</v>
      </c>
      <c r="C198" s="6" t="s">
        <v>764</v>
      </c>
      <c r="D198" s="6" t="s">
        <v>1000</v>
      </c>
      <c r="E198" s="6" t="s">
        <v>556</v>
      </c>
      <c r="F198" s="6" t="s">
        <v>24</v>
      </c>
      <c r="G198" s="6" t="s">
        <v>577</v>
      </c>
      <c r="H198" s="6" t="s">
        <v>710</v>
      </c>
      <c r="I198" s="6" t="s">
        <v>254</v>
      </c>
      <c r="J198" s="6" t="s">
        <v>815</v>
      </c>
      <c r="K198" s="6" t="s">
        <v>824</v>
      </c>
      <c r="M198" s="6" t="s">
        <v>373</v>
      </c>
    </row>
    <row r="199" ht="15.75" customHeight="1">
      <c r="A199" s="6" t="s">
        <v>863</v>
      </c>
      <c r="B199" s="6" t="s">
        <v>260</v>
      </c>
      <c r="C199" s="6" t="s">
        <v>781</v>
      </c>
      <c r="D199" s="6" t="s">
        <v>429</v>
      </c>
      <c r="E199" s="6" t="s">
        <v>438</v>
      </c>
      <c r="F199" s="6" t="s">
        <v>24</v>
      </c>
      <c r="G199" s="6" t="s">
        <v>610</v>
      </c>
      <c r="H199" s="6" t="s">
        <v>333</v>
      </c>
      <c r="I199" s="6" t="s">
        <v>671</v>
      </c>
      <c r="J199" s="6"/>
      <c r="K199" s="6"/>
      <c r="L199" s="6" t="s">
        <v>304</v>
      </c>
      <c r="M199" s="6" t="s">
        <v>59</v>
      </c>
      <c r="N199" s="6"/>
    </row>
    <row r="200" ht="15.75" customHeight="1">
      <c r="A200" s="6" t="s">
        <v>863</v>
      </c>
      <c r="B200" s="6" t="s">
        <v>682</v>
      </c>
      <c r="C200" s="6" t="s">
        <v>672</v>
      </c>
      <c r="D200" s="6" t="s">
        <v>1000</v>
      </c>
      <c r="E200" s="6" t="s">
        <v>556</v>
      </c>
      <c r="F200" s="6" t="s">
        <v>24</v>
      </c>
      <c r="G200" s="6" t="s">
        <v>577</v>
      </c>
      <c r="H200" s="6" t="s">
        <v>710</v>
      </c>
      <c r="I200" s="6" t="s">
        <v>683</v>
      </c>
      <c r="K200" s="6" t="s">
        <v>824</v>
      </c>
      <c r="M200" s="6"/>
    </row>
    <row r="201" ht="15.75" customHeight="1">
      <c r="A201" s="6" t="s">
        <v>863</v>
      </c>
      <c r="B201" s="6" t="s">
        <v>546</v>
      </c>
      <c r="C201" s="6" t="s">
        <v>700</v>
      </c>
      <c r="D201" s="6" t="s">
        <v>429</v>
      </c>
      <c r="E201" s="6" t="s">
        <v>508</v>
      </c>
      <c r="F201" s="6" t="s">
        <v>78</v>
      </c>
      <c r="G201" s="6" t="s">
        <v>600</v>
      </c>
      <c r="H201" s="6" t="s">
        <v>179</v>
      </c>
      <c r="I201" s="6" t="s">
        <v>827</v>
      </c>
      <c r="J201" s="6" t="s">
        <v>828</v>
      </c>
      <c r="K201" s="6"/>
      <c r="L201" s="6" t="s">
        <v>304</v>
      </c>
      <c r="M201" s="6" t="s">
        <v>59</v>
      </c>
      <c r="N201" s="6"/>
    </row>
    <row r="202" ht="15.75" customHeight="1">
      <c r="A202" s="6" t="s">
        <v>863</v>
      </c>
      <c r="B202" s="6" t="s">
        <v>829</v>
      </c>
      <c r="C202" s="6" t="s">
        <v>781</v>
      </c>
      <c r="D202" s="6" t="s">
        <v>429</v>
      </c>
      <c r="E202" s="6" t="s">
        <v>541</v>
      </c>
      <c r="F202" s="6" t="s">
        <v>78</v>
      </c>
      <c r="G202" s="6" t="s">
        <v>600</v>
      </c>
      <c r="H202" s="6" t="s">
        <v>179</v>
      </c>
      <c r="I202" s="6" t="s">
        <v>831</v>
      </c>
      <c r="J202" s="6" t="s">
        <v>832</v>
      </c>
      <c r="K202" s="6"/>
      <c r="L202" s="6" t="s">
        <v>304</v>
      </c>
      <c r="M202" s="6" t="s">
        <v>59</v>
      </c>
      <c r="N202" s="6"/>
    </row>
    <row r="203" ht="15.75" customHeight="1"/>
    <row r="204" ht="15.75" customHeight="1">
      <c r="A204" s="16" t="s">
        <v>900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ht="15.75" customHeight="1">
      <c r="A205" s="17" t="s">
        <v>31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</row>
    <row r="206" ht="15.75" customHeight="1">
      <c r="A206" s="18" t="s">
        <v>4</v>
      </c>
      <c r="B206" s="18" t="s">
        <v>6</v>
      </c>
      <c r="C206" s="18" t="s">
        <v>7</v>
      </c>
      <c r="D206" s="18" t="s">
        <v>8</v>
      </c>
      <c r="E206" s="18" t="s">
        <v>9</v>
      </c>
      <c r="F206" s="18" t="s">
        <v>10</v>
      </c>
      <c r="G206" s="18" t="s">
        <v>11</v>
      </c>
      <c r="H206" s="18" t="s">
        <v>12</v>
      </c>
      <c r="I206" s="18" t="s">
        <v>13</v>
      </c>
      <c r="J206" s="18" t="s">
        <v>14</v>
      </c>
      <c r="K206" s="18" t="s">
        <v>15</v>
      </c>
      <c r="L206" s="18" t="s">
        <v>16</v>
      </c>
      <c r="M206" s="18" t="s">
        <v>17</v>
      </c>
      <c r="N206" s="18" t="s">
        <v>18</v>
      </c>
    </row>
    <row r="207" ht="15.75" customHeight="1">
      <c r="A207" s="6" t="s">
        <v>903</v>
      </c>
      <c r="B207" s="6" t="s">
        <v>309</v>
      </c>
      <c r="C207" s="6" t="s">
        <v>62</v>
      </c>
      <c r="D207" s="6" t="s">
        <v>461</v>
      </c>
      <c r="E207" s="6" t="s">
        <v>311</v>
      </c>
      <c r="F207" s="6" t="s">
        <v>78</v>
      </c>
      <c r="G207" s="6" t="s">
        <v>81</v>
      </c>
      <c r="H207" s="6" t="s">
        <v>83</v>
      </c>
      <c r="I207" s="6" t="s">
        <v>314</v>
      </c>
      <c r="J207" s="6"/>
      <c r="K207" s="6" t="s">
        <v>948</v>
      </c>
      <c r="L207" s="6" t="s">
        <v>304</v>
      </c>
      <c r="M207" s="6" t="s">
        <v>59</v>
      </c>
      <c r="N207" s="6"/>
    </row>
    <row r="208" ht="15.75" customHeight="1">
      <c r="A208" s="6" t="s">
        <v>903</v>
      </c>
      <c r="B208" s="6" t="s">
        <v>615</v>
      </c>
      <c r="C208" s="6" t="s">
        <v>61</v>
      </c>
      <c r="D208" s="6" t="s">
        <v>437</v>
      </c>
      <c r="E208" s="6" t="s">
        <v>37</v>
      </c>
      <c r="F208" s="6" t="s">
        <v>78</v>
      </c>
      <c r="G208" s="6" t="s">
        <v>81</v>
      </c>
      <c r="H208" s="6" t="s">
        <v>137</v>
      </c>
      <c r="I208" s="6" t="s">
        <v>617</v>
      </c>
      <c r="J208" s="6" t="s">
        <v>850</v>
      </c>
      <c r="K208" s="6"/>
      <c r="L208" s="6" t="s">
        <v>304</v>
      </c>
      <c r="M208" s="6" t="s">
        <v>59</v>
      </c>
      <c r="N208" s="6"/>
    </row>
    <row r="209" ht="15.75" customHeight="1">
      <c r="A209" s="6" t="s">
        <v>903</v>
      </c>
      <c r="B209" s="6" t="s">
        <v>324</v>
      </c>
      <c r="C209" s="6" t="s">
        <v>133</v>
      </c>
      <c r="D209" s="6" t="s">
        <v>522</v>
      </c>
      <c r="E209" s="6" t="s">
        <v>77</v>
      </c>
      <c r="F209" s="6" t="s">
        <v>24</v>
      </c>
      <c r="G209" s="6" t="s">
        <v>102</v>
      </c>
      <c r="H209" s="6" t="s">
        <v>120</v>
      </c>
      <c r="I209" s="6" t="s">
        <v>625</v>
      </c>
      <c r="J209" s="6"/>
      <c r="K209" s="6" t="s">
        <v>820</v>
      </c>
      <c r="L209" s="6" t="s">
        <v>304</v>
      </c>
      <c r="M209" s="6" t="s">
        <v>59</v>
      </c>
      <c r="N209" s="6"/>
    </row>
    <row r="210" ht="15.75" customHeight="1">
      <c r="A210" s="6" t="s">
        <v>903</v>
      </c>
      <c r="B210" s="6" t="s">
        <v>330</v>
      </c>
      <c r="C210" s="6" t="s">
        <v>43</v>
      </c>
      <c r="D210" s="6" t="s">
        <v>461</v>
      </c>
      <c r="E210" s="6" t="s">
        <v>311</v>
      </c>
      <c r="F210" s="6" t="s">
        <v>78</v>
      </c>
      <c r="G210" s="6" t="s">
        <v>81</v>
      </c>
      <c r="H210" s="6" t="s">
        <v>83</v>
      </c>
      <c r="I210" s="6" t="s">
        <v>858</v>
      </c>
      <c r="J210" s="6" t="s">
        <v>335</v>
      </c>
      <c r="K210" s="6" t="s">
        <v>948</v>
      </c>
      <c r="L210" s="6" t="s">
        <v>304</v>
      </c>
      <c r="M210" s="6" t="s">
        <v>59</v>
      </c>
      <c r="N210" s="6"/>
    </row>
    <row r="211" ht="15.75" customHeight="1">
      <c r="A211" s="6" t="s">
        <v>903</v>
      </c>
      <c r="B211" s="6" t="s">
        <v>354</v>
      </c>
      <c r="C211" s="6" t="s">
        <v>112</v>
      </c>
      <c r="D211" s="6" t="s">
        <v>784</v>
      </c>
      <c r="E211" s="6" t="s">
        <v>73</v>
      </c>
      <c r="F211" s="6" t="s">
        <v>78</v>
      </c>
      <c r="G211" s="6" t="s">
        <v>81</v>
      </c>
      <c r="H211" s="6" t="s">
        <v>333</v>
      </c>
      <c r="I211" s="6" t="s">
        <v>497</v>
      </c>
      <c r="J211" s="6"/>
      <c r="K211" s="6"/>
      <c r="L211" s="6" t="s">
        <v>304</v>
      </c>
      <c r="M211" s="6" t="s">
        <v>59</v>
      </c>
      <c r="N211" s="6"/>
    </row>
    <row r="212" ht="15.75" customHeight="1">
      <c r="A212" s="6" t="s">
        <v>903</v>
      </c>
      <c r="B212" s="6" t="s">
        <v>155</v>
      </c>
      <c r="C212" s="6" t="s">
        <v>50</v>
      </c>
      <c r="D212" s="6" t="s">
        <v>467</v>
      </c>
      <c r="E212" s="6" t="s">
        <v>53</v>
      </c>
      <c r="F212" s="6" t="s">
        <v>24</v>
      </c>
      <c r="G212" s="6" t="s">
        <v>102</v>
      </c>
      <c r="H212" s="6" t="s">
        <v>179</v>
      </c>
      <c r="I212" s="6" t="s">
        <v>159</v>
      </c>
      <c r="J212" s="6" t="s">
        <v>868</v>
      </c>
      <c r="K212" s="6"/>
      <c r="L212" s="6" t="s">
        <v>304</v>
      </c>
      <c r="M212" s="6" t="s">
        <v>59</v>
      </c>
      <c r="N212" s="6"/>
    </row>
    <row r="213" ht="15.75" customHeight="1">
      <c r="A213" s="6" t="s">
        <v>903</v>
      </c>
      <c r="B213" s="6" t="s">
        <v>367</v>
      </c>
      <c r="C213" s="6" t="s">
        <v>61</v>
      </c>
      <c r="D213" s="6" t="s">
        <v>437</v>
      </c>
      <c r="E213" s="6" t="s">
        <v>280</v>
      </c>
      <c r="F213" s="6" t="s">
        <v>98</v>
      </c>
      <c r="G213" s="6" t="s">
        <v>119</v>
      </c>
      <c r="H213" s="6" t="s">
        <v>137</v>
      </c>
      <c r="I213" s="6" t="s">
        <v>1014</v>
      </c>
      <c r="J213" s="6" t="s">
        <v>370</v>
      </c>
      <c r="K213" s="6"/>
      <c r="L213" s="6" t="s">
        <v>304</v>
      </c>
      <c r="M213" s="6" t="s">
        <v>59</v>
      </c>
      <c r="N213" s="6"/>
    </row>
    <row r="214" ht="15.75" customHeight="1">
      <c r="A214" s="6" t="s">
        <v>903</v>
      </c>
      <c r="B214" s="6" t="s">
        <v>165</v>
      </c>
      <c r="C214" s="6" t="s">
        <v>62</v>
      </c>
      <c r="D214" s="6" t="s">
        <v>784</v>
      </c>
      <c r="E214" s="6" t="s">
        <v>77</v>
      </c>
      <c r="F214" s="6" t="s">
        <v>78</v>
      </c>
      <c r="G214" s="6" t="s">
        <v>81</v>
      </c>
      <c r="H214" s="6" t="s">
        <v>333</v>
      </c>
      <c r="I214" s="6" t="s">
        <v>726</v>
      </c>
      <c r="J214" s="6"/>
      <c r="K214" s="6"/>
      <c r="L214" s="6" t="s">
        <v>304</v>
      </c>
      <c r="M214" s="6" t="s">
        <v>59</v>
      </c>
      <c r="N214" s="6"/>
    </row>
    <row r="215" ht="15.75" customHeight="1">
      <c r="A215" s="6" t="s">
        <v>903</v>
      </c>
      <c r="B215" s="6" t="s">
        <v>372</v>
      </c>
      <c r="C215" s="6" t="s">
        <v>21</v>
      </c>
      <c r="D215" s="6" t="s">
        <v>522</v>
      </c>
      <c r="E215" s="6" t="s">
        <v>311</v>
      </c>
      <c r="F215" s="6" t="s">
        <v>78</v>
      </c>
      <c r="G215" s="6" t="s">
        <v>81</v>
      </c>
      <c r="H215" s="6" t="s">
        <v>120</v>
      </c>
      <c r="I215" s="6" t="s">
        <v>869</v>
      </c>
      <c r="J215" s="6"/>
      <c r="K215" s="6" t="s">
        <v>820</v>
      </c>
      <c r="L215" s="6" t="s">
        <v>304</v>
      </c>
      <c r="M215" s="6" t="s">
        <v>59</v>
      </c>
      <c r="N215" s="6"/>
    </row>
    <row r="216" ht="15.75" customHeight="1">
      <c r="A216" s="6" t="s">
        <v>903</v>
      </c>
      <c r="B216" s="6" t="s">
        <v>633</v>
      </c>
      <c r="C216" s="6" t="s">
        <v>21</v>
      </c>
      <c r="D216" s="6" t="s">
        <v>490</v>
      </c>
      <c r="E216" s="6" t="s">
        <v>77</v>
      </c>
      <c r="F216" s="6" t="s">
        <v>78</v>
      </c>
      <c r="G216" s="6" t="s">
        <v>81</v>
      </c>
      <c r="H216" s="6" t="s">
        <v>104</v>
      </c>
      <c r="I216" s="6" t="s">
        <v>635</v>
      </c>
      <c r="J216" s="6" t="s">
        <v>636</v>
      </c>
      <c r="K216" s="6"/>
      <c r="L216" s="6" t="s">
        <v>304</v>
      </c>
      <c r="M216" s="6" t="s">
        <v>59</v>
      </c>
      <c r="N216" s="6"/>
    </row>
    <row r="217" ht="15.75" customHeight="1">
      <c r="A217" s="6" t="s">
        <v>903</v>
      </c>
      <c r="B217" s="6" t="s">
        <v>379</v>
      </c>
      <c r="C217" s="6" t="s">
        <v>61</v>
      </c>
      <c r="D217" s="6" t="s">
        <v>784</v>
      </c>
      <c r="E217" s="6" t="s">
        <v>77</v>
      </c>
      <c r="F217" s="6" t="s">
        <v>24</v>
      </c>
      <c r="G217" s="6" t="s">
        <v>102</v>
      </c>
      <c r="H217" s="6" t="s">
        <v>333</v>
      </c>
      <c r="I217" s="6" t="s">
        <v>737</v>
      </c>
      <c r="J217" s="6" t="s">
        <v>959</v>
      </c>
      <c r="K217" s="6"/>
      <c r="L217" s="6" t="s">
        <v>304</v>
      </c>
      <c r="M217" s="6" t="s">
        <v>59</v>
      </c>
      <c r="N217" s="6"/>
    </row>
    <row r="218" ht="15.75" customHeight="1">
      <c r="A218" s="6" t="s">
        <v>903</v>
      </c>
      <c r="B218" s="6" t="s">
        <v>212</v>
      </c>
      <c r="C218" s="6" t="s">
        <v>94</v>
      </c>
      <c r="D218" s="6" t="s">
        <v>548</v>
      </c>
      <c r="E218" s="6" t="s">
        <v>73</v>
      </c>
      <c r="F218" s="6" t="s">
        <v>24</v>
      </c>
      <c r="G218" s="6" t="s">
        <v>119</v>
      </c>
      <c r="H218" s="6" t="s">
        <v>168</v>
      </c>
      <c r="I218" s="6" t="s">
        <v>659</v>
      </c>
      <c r="J218" s="6" t="s">
        <v>920</v>
      </c>
      <c r="K218" s="6" t="s">
        <v>724</v>
      </c>
      <c r="L218" s="6" t="s">
        <v>304</v>
      </c>
      <c r="M218" s="6" t="s">
        <v>373</v>
      </c>
    </row>
    <row r="219" ht="15.75" customHeight="1">
      <c r="A219" s="6" t="s">
        <v>903</v>
      </c>
      <c r="B219" s="6" t="s">
        <v>1019</v>
      </c>
      <c r="C219" s="6" t="s">
        <v>124</v>
      </c>
      <c r="D219" s="6" t="s">
        <v>548</v>
      </c>
      <c r="E219" s="6" t="s">
        <v>311</v>
      </c>
      <c r="F219" s="6" t="s">
        <v>78</v>
      </c>
      <c r="G219" s="6" t="s">
        <v>81</v>
      </c>
      <c r="H219" s="6" t="s">
        <v>168</v>
      </c>
      <c r="I219" s="6" t="s">
        <v>1022</v>
      </c>
      <c r="J219" s="6" t="s">
        <v>1023</v>
      </c>
      <c r="K219" s="6" t="s">
        <v>724</v>
      </c>
      <c r="L219" s="6" t="s">
        <v>304</v>
      </c>
      <c r="M219" s="6" t="s">
        <v>59</v>
      </c>
      <c r="N219" s="6"/>
    </row>
    <row r="220" ht="15.75" customHeight="1">
      <c r="A220" s="6" t="s">
        <v>903</v>
      </c>
      <c r="B220" s="6" t="s">
        <v>749</v>
      </c>
      <c r="C220" s="6" t="s">
        <v>61</v>
      </c>
      <c r="D220" s="6" t="s">
        <v>548</v>
      </c>
      <c r="E220" s="6" t="s">
        <v>280</v>
      </c>
      <c r="F220" s="6" t="s">
        <v>98</v>
      </c>
      <c r="G220" s="6" t="s">
        <v>119</v>
      </c>
      <c r="H220" s="6" t="s">
        <v>168</v>
      </c>
      <c r="I220" s="6" t="s">
        <v>752</v>
      </c>
      <c r="J220" s="6" t="s">
        <v>875</v>
      </c>
      <c r="K220" s="6" t="s">
        <v>724</v>
      </c>
      <c r="L220" s="6" t="s">
        <v>304</v>
      </c>
      <c r="M220" s="6" t="s">
        <v>59</v>
      </c>
      <c r="N220" s="6"/>
    </row>
    <row r="221" ht="15.75" customHeight="1"/>
    <row r="222" ht="15.75" customHeight="1">
      <c r="A222" s="16" t="s">
        <v>928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ht="15.75" customHeight="1">
      <c r="A223" s="17" t="s">
        <v>1026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 ht="15.75" customHeight="1">
      <c r="A224" s="18" t="s">
        <v>4</v>
      </c>
      <c r="B224" s="18" t="s">
        <v>6</v>
      </c>
      <c r="C224" s="18" t="s">
        <v>7</v>
      </c>
      <c r="D224" s="18" t="s">
        <v>8</v>
      </c>
      <c r="E224" s="18" t="s">
        <v>9</v>
      </c>
      <c r="F224" s="18" t="s">
        <v>10</v>
      </c>
      <c r="G224" s="18" t="s">
        <v>11</v>
      </c>
      <c r="H224" s="18" t="s">
        <v>12</v>
      </c>
      <c r="I224" s="18" t="s">
        <v>13</v>
      </c>
      <c r="J224" s="18" t="s">
        <v>14</v>
      </c>
      <c r="K224" s="18" t="s">
        <v>15</v>
      </c>
      <c r="L224" s="18" t="s">
        <v>16</v>
      </c>
      <c r="M224" s="18" t="s">
        <v>17</v>
      </c>
      <c r="N224" s="18" t="s">
        <v>18</v>
      </c>
    </row>
    <row r="225" ht="15.75" customHeight="1">
      <c r="A225" s="6" t="s">
        <v>935</v>
      </c>
      <c r="B225" s="6" t="s">
        <v>436</v>
      </c>
      <c r="C225" s="6" t="s">
        <v>588</v>
      </c>
      <c r="D225" s="6" t="s">
        <v>429</v>
      </c>
      <c r="E225" s="6" t="s">
        <v>592</v>
      </c>
      <c r="F225" s="6" t="s">
        <v>24</v>
      </c>
      <c r="G225" s="6" t="s">
        <v>936</v>
      </c>
      <c r="H225" s="6" t="s">
        <v>333</v>
      </c>
      <c r="I225" s="6">
        <v>2.02506006188E12</v>
      </c>
      <c r="J225" s="6" t="s">
        <v>446</v>
      </c>
      <c r="K225" s="6"/>
      <c r="L225" s="6" t="s">
        <v>304</v>
      </c>
      <c r="M225" s="6" t="s">
        <v>59</v>
      </c>
      <c r="N225" s="6"/>
    </row>
    <row r="226" ht="15.75" customHeight="1">
      <c r="A226" s="6" t="s">
        <v>935</v>
      </c>
      <c r="B226" s="6" t="s">
        <v>452</v>
      </c>
      <c r="C226" s="6" t="s">
        <v>539</v>
      </c>
      <c r="D226" s="6" t="s">
        <v>429</v>
      </c>
      <c r="E226" s="6" t="s">
        <v>541</v>
      </c>
      <c r="F226" s="6" t="s">
        <v>78</v>
      </c>
      <c r="G226" s="6" t="s">
        <v>936</v>
      </c>
      <c r="H226" s="6" t="s">
        <v>83</v>
      </c>
      <c r="I226" s="6">
        <v>2.02605003677E12</v>
      </c>
      <c r="J226" s="6"/>
      <c r="K226" s="6" t="s">
        <v>1033</v>
      </c>
      <c r="L226" s="6" t="s">
        <v>304</v>
      </c>
      <c r="M226" s="6" t="s">
        <v>59</v>
      </c>
      <c r="N226" s="6"/>
    </row>
    <row r="227" ht="15.75" customHeight="1">
      <c r="A227" s="6" t="s">
        <v>935</v>
      </c>
      <c r="B227" s="6" t="s">
        <v>330</v>
      </c>
      <c r="C227" s="6" t="s">
        <v>565</v>
      </c>
      <c r="D227" s="6" t="s">
        <v>553</v>
      </c>
      <c r="E227" s="6" t="s">
        <v>592</v>
      </c>
      <c r="F227" s="6" t="s">
        <v>24</v>
      </c>
      <c r="G227" s="6" t="s">
        <v>936</v>
      </c>
      <c r="H227" s="6" t="s">
        <v>710</v>
      </c>
      <c r="I227" s="6">
        <v>2.025120006092E13</v>
      </c>
      <c r="L227" s="6" t="s">
        <v>995</v>
      </c>
      <c r="M227" s="6"/>
    </row>
    <row r="228" ht="15.75" customHeight="1">
      <c r="A228" s="6" t="s">
        <v>935</v>
      </c>
      <c r="B228" s="6" t="s">
        <v>1034</v>
      </c>
      <c r="C228" s="6" t="s">
        <v>428</v>
      </c>
      <c r="D228" s="6" t="s">
        <v>429</v>
      </c>
      <c r="E228" s="6" t="s">
        <v>459</v>
      </c>
      <c r="F228" s="6" t="s">
        <v>78</v>
      </c>
      <c r="G228" s="6" t="s">
        <v>936</v>
      </c>
      <c r="H228" s="6" t="s">
        <v>807</v>
      </c>
      <c r="I228" s="6" t="s">
        <v>1035</v>
      </c>
      <c r="J228" s="6"/>
      <c r="K228" s="6"/>
      <c r="L228" s="6" t="s">
        <v>304</v>
      </c>
      <c r="M228" s="6" t="s">
        <v>59</v>
      </c>
      <c r="N228" s="6"/>
    </row>
    <row r="229" ht="15.75" customHeight="1">
      <c r="A229" s="6" t="s">
        <v>935</v>
      </c>
      <c r="B229" s="6" t="s">
        <v>354</v>
      </c>
      <c r="C229" s="6" t="s">
        <v>639</v>
      </c>
      <c r="D229" s="6" t="s">
        <v>429</v>
      </c>
      <c r="E229" s="6" t="s">
        <v>524</v>
      </c>
      <c r="F229" s="6" t="s">
        <v>78</v>
      </c>
      <c r="G229" s="6" t="s">
        <v>936</v>
      </c>
      <c r="H229" s="6" t="s">
        <v>120</v>
      </c>
      <c r="I229" s="6">
        <v>0.0</v>
      </c>
      <c r="K229" s="6" t="s">
        <v>937</v>
      </c>
      <c r="L229" s="6" t="s">
        <v>304</v>
      </c>
      <c r="M229" s="6" t="s">
        <v>373</v>
      </c>
    </row>
    <row r="230" ht="15.75" customHeight="1">
      <c r="A230" s="6" t="s">
        <v>935</v>
      </c>
      <c r="B230" s="6" t="s">
        <v>1036</v>
      </c>
      <c r="C230" s="6" t="s">
        <v>973</v>
      </c>
      <c r="D230" s="6" t="s">
        <v>429</v>
      </c>
      <c r="E230" s="6" t="s">
        <v>592</v>
      </c>
      <c r="F230" s="6" t="s">
        <v>78</v>
      </c>
      <c r="G230" s="6" t="s">
        <v>936</v>
      </c>
      <c r="H230" s="6" t="s">
        <v>168</v>
      </c>
      <c r="I230" s="6">
        <v>2.02310002384E12</v>
      </c>
      <c r="J230" s="6"/>
      <c r="K230" s="6" t="s">
        <v>945</v>
      </c>
      <c r="L230" s="6" t="s">
        <v>304</v>
      </c>
      <c r="M230" s="6" t="s">
        <v>59</v>
      </c>
      <c r="N230" s="6"/>
    </row>
    <row r="231" ht="15.75" customHeight="1">
      <c r="A231" s="6" t="s">
        <v>935</v>
      </c>
      <c r="B231" s="6" t="s">
        <v>155</v>
      </c>
      <c r="C231" s="6" t="s">
        <v>596</v>
      </c>
      <c r="D231" s="6" t="s">
        <v>429</v>
      </c>
      <c r="E231" s="6" t="s">
        <v>508</v>
      </c>
      <c r="F231" s="6" t="s">
        <v>24</v>
      </c>
      <c r="G231" s="6" t="s">
        <v>936</v>
      </c>
      <c r="H231" s="6" t="s">
        <v>137</v>
      </c>
      <c r="I231" s="6" t="s">
        <v>159</v>
      </c>
      <c r="J231" s="6" t="s">
        <v>868</v>
      </c>
      <c r="K231" s="6"/>
      <c r="L231" s="6" t="s">
        <v>304</v>
      </c>
      <c r="M231" s="6" t="s">
        <v>59</v>
      </c>
      <c r="N231" s="6"/>
    </row>
    <row r="232" ht="15.75" customHeight="1">
      <c r="A232" s="6" t="s">
        <v>935</v>
      </c>
      <c r="B232" s="6" t="s">
        <v>367</v>
      </c>
      <c r="C232" s="6" t="s">
        <v>616</v>
      </c>
      <c r="D232" s="6" t="s">
        <v>429</v>
      </c>
      <c r="E232" s="6" t="s">
        <v>714</v>
      </c>
      <c r="F232" s="6" t="s">
        <v>98</v>
      </c>
      <c r="G232" s="6" t="s">
        <v>936</v>
      </c>
      <c r="H232" s="6" t="s">
        <v>333</v>
      </c>
      <c r="I232" s="6">
        <v>1.0664685E7</v>
      </c>
      <c r="J232" s="6" t="s">
        <v>370</v>
      </c>
      <c r="K232" s="6"/>
      <c r="L232" s="6" t="s">
        <v>304</v>
      </c>
      <c r="M232" s="6" t="s">
        <v>59</v>
      </c>
      <c r="N232" s="6"/>
    </row>
    <row r="233" ht="15.75" customHeight="1">
      <c r="A233" s="6" t="s">
        <v>935</v>
      </c>
      <c r="B233" s="6" t="s">
        <v>480</v>
      </c>
      <c r="C233" s="6" t="s">
        <v>576</v>
      </c>
      <c r="D233" s="6" t="s">
        <v>429</v>
      </c>
      <c r="E233" s="6" t="s">
        <v>438</v>
      </c>
      <c r="F233" s="6" t="s">
        <v>24</v>
      </c>
      <c r="G233" s="6" t="s">
        <v>936</v>
      </c>
      <c r="H233" s="6" t="s">
        <v>219</v>
      </c>
      <c r="I233" s="6">
        <v>2.02308004181E12</v>
      </c>
      <c r="J233" s="6" t="s">
        <v>484</v>
      </c>
      <c r="K233" s="6" t="s">
        <v>937</v>
      </c>
      <c r="L233" s="6" t="s">
        <v>304</v>
      </c>
      <c r="M233" s="6" t="s">
        <v>59</v>
      </c>
      <c r="N233" s="6"/>
    </row>
    <row r="234" ht="15.75" customHeight="1">
      <c r="A234" s="6" t="s">
        <v>935</v>
      </c>
      <c r="B234" s="6" t="s">
        <v>165</v>
      </c>
      <c r="C234" s="6" t="s">
        <v>445</v>
      </c>
      <c r="D234" s="6" t="s">
        <v>429</v>
      </c>
      <c r="E234" s="6" t="s">
        <v>541</v>
      </c>
      <c r="F234" s="6" t="s">
        <v>78</v>
      </c>
      <c r="G234" s="6" t="s">
        <v>936</v>
      </c>
      <c r="H234" s="6" t="s">
        <v>120</v>
      </c>
      <c r="I234" s="6">
        <v>2.0240500471E12</v>
      </c>
      <c r="K234" s="6" t="s">
        <v>937</v>
      </c>
      <c r="L234" s="6" t="s">
        <v>304</v>
      </c>
      <c r="M234" s="6" t="s">
        <v>373</v>
      </c>
    </row>
    <row r="235" ht="15.75" customHeight="1">
      <c r="A235" s="6" t="s">
        <v>935</v>
      </c>
      <c r="B235" s="6" t="s">
        <v>495</v>
      </c>
      <c r="C235" s="6" t="s">
        <v>565</v>
      </c>
      <c r="D235" s="6" t="s">
        <v>429</v>
      </c>
      <c r="E235" s="6" t="s">
        <v>714</v>
      </c>
      <c r="F235" s="6" t="s">
        <v>24</v>
      </c>
      <c r="G235" s="6" t="s">
        <v>936</v>
      </c>
      <c r="H235" s="6" t="s">
        <v>333</v>
      </c>
      <c r="I235" s="6">
        <v>2.02502003708E12</v>
      </c>
      <c r="J235" s="6"/>
      <c r="K235" s="6"/>
      <c r="L235" s="6" t="s">
        <v>304</v>
      </c>
      <c r="M235" s="6" t="s">
        <v>59</v>
      </c>
      <c r="N235" s="6"/>
    </row>
    <row r="236" ht="15.75" customHeight="1">
      <c r="A236" s="6" t="s">
        <v>935</v>
      </c>
      <c r="B236" s="6" t="s">
        <v>372</v>
      </c>
      <c r="C236" s="6" t="s">
        <v>428</v>
      </c>
      <c r="D236" s="6" t="s">
        <v>429</v>
      </c>
      <c r="E236" s="6" t="s">
        <v>592</v>
      </c>
      <c r="F236" s="6" t="s">
        <v>78</v>
      </c>
      <c r="G236" s="6" t="s">
        <v>936</v>
      </c>
      <c r="H236" s="6" t="s">
        <v>219</v>
      </c>
      <c r="I236" s="6">
        <v>2.02510009487E12</v>
      </c>
      <c r="J236" s="6"/>
      <c r="K236" s="6" t="s">
        <v>937</v>
      </c>
      <c r="L236" s="6" t="s">
        <v>304</v>
      </c>
      <c r="M236" s="6" t="s">
        <v>59</v>
      </c>
      <c r="N236" s="6"/>
    </row>
    <row r="237" ht="15.75" customHeight="1">
      <c r="A237" s="6" t="s">
        <v>935</v>
      </c>
      <c r="B237" s="6" t="s">
        <v>503</v>
      </c>
      <c r="C237" s="6" t="s">
        <v>616</v>
      </c>
      <c r="D237" s="6" t="s">
        <v>429</v>
      </c>
      <c r="E237" s="6" t="s">
        <v>541</v>
      </c>
      <c r="F237" s="6" t="s">
        <v>78</v>
      </c>
      <c r="G237" s="6" t="s">
        <v>936</v>
      </c>
      <c r="H237" s="6" t="s">
        <v>219</v>
      </c>
      <c r="I237" s="6">
        <v>2.02507003326E12</v>
      </c>
      <c r="J237" s="6"/>
      <c r="K237" s="6" t="s">
        <v>937</v>
      </c>
      <c r="L237" s="6" t="s">
        <v>304</v>
      </c>
      <c r="M237" s="6" t="s">
        <v>59</v>
      </c>
      <c r="N237" s="6"/>
    </row>
    <row r="238" ht="15.75" customHeight="1">
      <c r="A238" s="6" t="s">
        <v>935</v>
      </c>
      <c r="B238" s="6" t="s">
        <v>184</v>
      </c>
      <c r="C238" s="6" t="s">
        <v>596</v>
      </c>
      <c r="D238" s="6" t="s">
        <v>429</v>
      </c>
      <c r="E238" s="6" t="s">
        <v>524</v>
      </c>
      <c r="F238" s="6" t="s">
        <v>24</v>
      </c>
      <c r="G238" s="6" t="s">
        <v>936</v>
      </c>
      <c r="H238" s="6" t="s">
        <v>219</v>
      </c>
      <c r="I238" s="6">
        <v>2.02405007333E12</v>
      </c>
      <c r="J238" s="6" t="s">
        <v>191</v>
      </c>
      <c r="K238" s="6" t="s">
        <v>937</v>
      </c>
      <c r="L238" s="6" t="s">
        <v>304</v>
      </c>
      <c r="M238" s="6" t="s">
        <v>59</v>
      </c>
      <c r="N238" s="6"/>
    </row>
    <row r="239" ht="15.75" customHeight="1">
      <c r="A239" s="6" t="s">
        <v>935</v>
      </c>
      <c r="B239" s="6" t="s">
        <v>411</v>
      </c>
      <c r="C239" s="6" t="s">
        <v>639</v>
      </c>
      <c r="D239" s="6" t="s">
        <v>553</v>
      </c>
      <c r="E239" s="6" t="s">
        <v>714</v>
      </c>
      <c r="F239" s="6" t="s">
        <v>78</v>
      </c>
      <c r="G239" s="6" t="s">
        <v>936</v>
      </c>
      <c r="H239" s="6" t="s">
        <v>710</v>
      </c>
      <c r="I239" s="6">
        <v>2.02309002624E12</v>
      </c>
      <c r="J239" s="6" t="s">
        <v>873</v>
      </c>
      <c r="L239" s="6" t="s">
        <v>995</v>
      </c>
      <c r="M239" s="6"/>
    </row>
    <row r="240" ht="15.75" customHeight="1">
      <c r="A240" s="6" t="s">
        <v>935</v>
      </c>
      <c r="B240" s="6" t="s">
        <v>512</v>
      </c>
      <c r="C240" s="6" t="s">
        <v>457</v>
      </c>
      <c r="D240" s="6" t="s">
        <v>429</v>
      </c>
      <c r="E240" s="6" t="s">
        <v>541</v>
      </c>
      <c r="F240" s="6" t="s">
        <v>24</v>
      </c>
      <c r="G240" s="6" t="s">
        <v>936</v>
      </c>
      <c r="H240" s="6" t="s">
        <v>219</v>
      </c>
      <c r="I240" s="6">
        <v>2.02504004247E12</v>
      </c>
      <c r="J240" s="6" t="s">
        <v>517</v>
      </c>
      <c r="K240" s="6" t="s">
        <v>937</v>
      </c>
      <c r="L240" s="6" t="s">
        <v>304</v>
      </c>
      <c r="M240" s="6" t="s">
        <v>30</v>
      </c>
      <c r="N240" s="6"/>
    </row>
    <row r="241" ht="15.75" customHeight="1">
      <c r="A241" s="6" t="s">
        <v>935</v>
      </c>
      <c r="B241" s="6" t="s">
        <v>518</v>
      </c>
      <c r="C241" s="6" t="s">
        <v>588</v>
      </c>
      <c r="D241" s="6" t="s">
        <v>429</v>
      </c>
      <c r="E241" s="6" t="s">
        <v>556</v>
      </c>
      <c r="F241" s="6" t="s">
        <v>24</v>
      </c>
      <c r="G241" s="6" t="s">
        <v>936</v>
      </c>
      <c r="H241" s="6" t="s">
        <v>104</v>
      </c>
      <c r="I241" s="6" t="s">
        <v>520</v>
      </c>
      <c r="J241" s="6" t="s">
        <v>966</v>
      </c>
      <c r="L241" s="6" t="s">
        <v>304</v>
      </c>
      <c r="M241" s="6" t="s">
        <v>373</v>
      </c>
    </row>
    <row r="242" ht="15.75" customHeight="1">
      <c r="A242" s="6" t="s">
        <v>935</v>
      </c>
      <c r="B242" s="6" t="s">
        <v>415</v>
      </c>
      <c r="C242" s="6" t="s">
        <v>501</v>
      </c>
      <c r="D242" s="6" t="s">
        <v>429</v>
      </c>
      <c r="E242" s="6" t="s">
        <v>714</v>
      </c>
      <c r="F242" s="6" t="s">
        <v>24</v>
      </c>
      <c r="G242" s="6" t="s">
        <v>936</v>
      </c>
      <c r="H242" s="6" t="s">
        <v>83</v>
      </c>
      <c r="I242" s="6">
        <v>2.0250400261E12</v>
      </c>
      <c r="J242" s="6"/>
      <c r="K242" s="6" t="s">
        <v>1033</v>
      </c>
      <c r="L242" s="6" t="s">
        <v>304</v>
      </c>
      <c r="M242" s="6" t="s">
        <v>59</v>
      </c>
      <c r="N242" s="6"/>
    </row>
    <row r="243" ht="15.75" customHeight="1">
      <c r="A243" s="6" t="s">
        <v>935</v>
      </c>
      <c r="B243" s="6" t="s">
        <v>529</v>
      </c>
      <c r="C243" s="6" t="s">
        <v>639</v>
      </c>
      <c r="D243" s="6" t="s">
        <v>429</v>
      </c>
      <c r="E243" s="6" t="s">
        <v>556</v>
      </c>
      <c r="F243" s="6" t="s">
        <v>24</v>
      </c>
      <c r="G243" s="6" t="s">
        <v>936</v>
      </c>
      <c r="H243" s="6" t="s">
        <v>104</v>
      </c>
      <c r="I243" s="6">
        <v>0.0</v>
      </c>
      <c r="J243" s="6" t="s">
        <v>970</v>
      </c>
      <c r="K243" s="6"/>
      <c r="L243" s="6" t="s">
        <v>304</v>
      </c>
      <c r="M243" s="6" t="s">
        <v>59</v>
      </c>
      <c r="N243" s="6"/>
    </row>
    <row r="244" ht="15.75" customHeight="1">
      <c r="A244" s="6" t="s">
        <v>935</v>
      </c>
      <c r="B244" s="6" t="s">
        <v>534</v>
      </c>
      <c r="C244" s="6" t="s">
        <v>596</v>
      </c>
      <c r="D244" s="6" t="s">
        <v>429</v>
      </c>
      <c r="E244" s="6" t="s">
        <v>592</v>
      </c>
      <c r="F244" s="6" t="s">
        <v>78</v>
      </c>
      <c r="G244" s="6" t="s">
        <v>936</v>
      </c>
      <c r="H244" s="6" t="s">
        <v>120</v>
      </c>
      <c r="I244" s="6">
        <v>2.02401003279E12</v>
      </c>
      <c r="J244" s="6"/>
      <c r="K244" s="6" t="s">
        <v>937</v>
      </c>
      <c r="L244" s="6" t="s">
        <v>304</v>
      </c>
      <c r="M244" s="6" t="s">
        <v>30</v>
      </c>
      <c r="N244" s="6"/>
    </row>
    <row r="245" ht="15.75" customHeight="1">
      <c r="A245" s="6" t="s">
        <v>935</v>
      </c>
      <c r="B245" s="6" t="s">
        <v>540</v>
      </c>
      <c r="C245" s="6" t="s">
        <v>639</v>
      </c>
      <c r="D245" s="6" t="s">
        <v>429</v>
      </c>
      <c r="E245" s="6" t="s">
        <v>592</v>
      </c>
      <c r="F245" s="6" t="s">
        <v>24</v>
      </c>
      <c r="G245" s="6" t="s">
        <v>936</v>
      </c>
      <c r="H245" s="6" t="s">
        <v>219</v>
      </c>
      <c r="I245" s="6">
        <v>2.02312003242E12</v>
      </c>
      <c r="J245" s="6" t="s">
        <v>545</v>
      </c>
      <c r="K245" s="6" t="s">
        <v>937</v>
      </c>
      <c r="L245" s="6" t="s">
        <v>304</v>
      </c>
      <c r="M245" s="6" t="s">
        <v>59</v>
      </c>
      <c r="N245" s="6"/>
    </row>
    <row r="246" ht="15.75" customHeight="1">
      <c r="A246" s="6" t="s">
        <v>935</v>
      </c>
      <c r="B246" s="6" t="s">
        <v>546</v>
      </c>
      <c r="C246" s="6" t="s">
        <v>588</v>
      </c>
      <c r="D246" s="6" t="s">
        <v>429</v>
      </c>
      <c r="E246" s="6" t="s">
        <v>508</v>
      </c>
      <c r="F246" s="6" t="s">
        <v>78</v>
      </c>
      <c r="G246" s="6" t="s">
        <v>936</v>
      </c>
      <c r="H246" s="6" t="s">
        <v>137</v>
      </c>
      <c r="I246" s="6">
        <v>2.0240900758E12</v>
      </c>
      <c r="J246" s="6" t="s">
        <v>828</v>
      </c>
      <c r="K246" s="6"/>
      <c r="L246" s="6" t="s">
        <v>304</v>
      </c>
      <c r="M246" s="6" t="s">
        <v>59</v>
      </c>
      <c r="N246" s="6"/>
    </row>
    <row r="247" ht="15.75" customHeight="1"/>
    <row r="248" ht="15.75" customHeight="1">
      <c r="A248" s="16" t="s">
        <v>975</v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ht="15.75" customHeight="1">
      <c r="A249" s="17" t="s">
        <v>287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 ht="15.75" customHeight="1">
      <c r="A250" s="18" t="s">
        <v>4</v>
      </c>
      <c r="B250" s="18" t="s">
        <v>6</v>
      </c>
      <c r="C250" s="18" t="s">
        <v>7</v>
      </c>
      <c r="D250" s="18" t="s">
        <v>8</v>
      </c>
      <c r="E250" s="18" t="s">
        <v>9</v>
      </c>
      <c r="F250" s="18" t="s">
        <v>10</v>
      </c>
      <c r="G250" s="18" t="s">
        <v>11</v>
      </c>
      <c r="H250" s="18" t="s">
        <v>12</v>
      </c>
      <c r="I250" s="18" t="s">
        <v>13</v>
      </c>
      <c r="J250" s="18" t="s">
        <v>14</v>
      </c>
      <c r="K250" s="18" t="s">
        <v>15</v>
      </c>
      <c r="L250" s="18" t="s">
        <v>16</v>
      </c>
      <c r="M250" s="18" t="s">
        <v>17</v>
      </c>
      <c r="N250" s="18" t="s">
        <v>18</v>
      </c>
    </row>
    <row r="251" ht="15.75" customHeight="1">
      <c r="A251" s="6" t="s">
        <v>978</v>
      </c>
      <c r="B251" s="6" t="s">
        <v>74</v>
      </c>
      <c r="C251" s="6" t="s">
        <v>428</v>
      </c>
      <c r="D251" s="6" t="s">
        <v>429</v>
      </c>
      <c r="E251" s="6" t="s">
        <v>541</v>
      </c>
      <c r="F251" s="6" t="s">
        <v>24</v>
      </c>
      <c r="G251" s="6" t="s">
        <v>936</v>
      </c>
      <c r="H251" s="6" t="s">
        <v>333</v>
      </c>
      <c r="I251" s="6">
        <v>2.02305004464E12</v>
      </c>
      <c r="J251" s="6" t="s">
        <v>771</v>
      </c>
      <c r="K251" s="6"/>
      <c r="L251" s="6" t="s">
        <v>304</v>
      </c>
      <c r="M251" s="6" t="s">
        <v>59</v>
      </c>
      <c r="N251" s="6"/>
    </row>
    <row r="252" ht="15.75" customHeight="1">
      <c r="A252" s="6" t="s">
        <v>978</v>
      </c>
      <c r="B252" s="6" t="s">
        <v>92</v>
      </c>
      <c r="C252" s="6" t="s">
        <v>588</v>
      </c>
      <c r="D252" s="6" t="s">
        <v>429</v>
      </c>
      <c r="E252" s="6" t="s">
        <v>541</v>
      </c>
      <c r="F252" s="6" t="s">
        <v>24</v>
      </c>
      <c r="G252" s="6" t="s">
        <v>936</v>
      </c>
      <c r="H252" s="6" t="s">
        <v>219</v>
      </c>
      <c r="I252" s="6">
        <v>2.02503004988E12</v>
      </c>
      <c r="J252" s="6" t="s">
        <v>774</v>
      </c>
      <c r="K252" s="6" t="s">
        <v>985</v>
      </c>
      <c r="L252" s="6" t="s">
        <v>304</v>
      </c>
      <c r="M252" s="6" t="s">
        <v>59</v>
      </c>
      <c r="N252" s="6"/>
    </row>
    <row r="253" ht="15.75" customHeight="1">
      <c r="A253" s="6" t="s">
        <v>978</v>
      </c>
      <c r="B253" s="6" t="s">
        <v>298</v>
      </c>
      <c r="C253" s="6" t="s">
        <v>596</v>
      </c>
      <c r="D253" s="6" t="s">
        <v>429</v>
      </c>
      <c r="E253" s="6" t="s">
        <v>459</v>
      </c>
      <c r="F253" s="6" t="s">
        <v>78</v>
      </c>
      <c r="G253" s="6" t="s">
        <v>936</v>
      </c>
      <c r="H253" s="6" t="s">
        <v>333</v>
      </c>
      <c r="I253" s="6">
        <v>2.02407007969E12</v>
      </c>
      <c r="J253" s="6"/>
      <c r="K253" s="6"/>
      <c r="L253" s="6" t="s">
        <v>304</v>
      </c>
      <c r="M253" s="6" t="s">
        <v>59</v>
      </c>
      <c r="N253" s="6"/>
    </row>
    <row r="254" ht="15.75" customHeight="1">
      <c r="A254" s="6" t="s">
        <v>978</v>
      </c>
      <c r="B254" s="6" t="s">
        <v>109</v>
      </c>
      <c r="C254" s="6" t="s">
        <v>608</v>
      </c>
      <c r="D254" s="6" t="s">
        <v>30</v>
      </c>
      <c r="E254" s="6" t="s">
        <v>556</v>
      </c>
      <c r="F254" s="6" t="s">
        <v>24</v>
      </c>
      <c r="G254" s="6" t="s">
        <v>936</v>
      </c>
      <c r="H254" s="6" t="s">
        <v>83</v>
      </c>
      <c r="I254" s="6">
        <v>2.02305002751E12</v>
      </c>
      <c r="J254" s="6" t="s">
        <v>121</v>
      </c>
      <c r="K254" s="6" t="s">
        <v>1044</v>
      </c>
      <c r="L254" s="6" t="s">
        <v>304</v>
      </c>
      <c r="M254" s="6" t="s">
        <v>59</v>
      </c>
      <c r="N254" s="6"/>
    </row>
    <row r="255" ht="15.75" customHeight="1">
      <c r="A255" s="6" t="s">
        <v>978</v>
      </c>
      <c r="B255" s="6" t="s">
        <v>1045</v>
      </c>
      <c r="C255" s="6" t="s">
        <v>616</v>
      </c>
      <c r="D255" s="6" t="s">
        <v>429</v>
      </c>
      <c r="E255" s="6" t="s">
        <v>459</v>
      </c>
      <c r="F255" s="6" t="s">
        <v>78</v>
      </c>
      <c r="G255" s="6" t="s">
        <v>936</v>
      </c>
      <c r="H255" s="6" t="s">
        <v>333</v>
      </c>
      <c r="I255" s="6">
        <v>2.02411000837E12</v>
      </c>
      <c r="J255" s="6" t="s">
        <v>850</v>
      </c>
      <c r="K255" s="6"/>
      <c r="L255" s="6" t="s">
        <v>304</v>
      </c>
      <c r="M255" s="6" t="s">
        <v>59</v>
      </c>
      <c r="N255" s="6"/>
    </row>
    <row r="256" ht="15.75" customHeight="1">
      <c r="A256" s="6" t="s">
        <v>978</v>
      </c>
      <c r="B256" s="6" t="s">
        <v>129</v>
      </c>
      <c r="C256" s="6" t="s">
        <v>445</v>
      </c>
      <c r="D256" s="6" t="s">
        <v>429</v>
      </c>
      <c r="E256" s="6" t="s">
        <v>459</v>
      </c>
      <c r="F256" s="6" t="s">
        <v>24</v>
      </c>
      <c r="G256" s="6" t="s">
        <v>936</v>
      </c>
      <c r="H256" s="6" t="s">
        <v>168</v>
      </c>
      <c r="I256" s="6">
        <v>2.02311002255E12</v>
      </c>
      <c r="J256" s="6"/>
      <c r="K256" s="6" t="s">
        <v>988</v>
      </c>
      <c r="L256" s="6" t="s">
        <v>304</v>
      </c>
      <c r="M256" s="6" t="s">
        <v>59</v>
      </c>
      <c r="N256" s="6"/>
    </row>
    <row r="257" ht="15.75" customHeight="1">
      <c r="A257" s="6" t="s">
        <v>978</v>
      </c>
      <c r="B257" s="6" t="s">
        <v>324</v>
      </c>
      <c r="C257" s="6" t="s">
        <v>445</v>
      </c>
      <c r="D257" s="6" t="s">
        <v>429</v>
      </c>
      <c r="E257" s="6" t="s">
        <v>541</v>
      </c>
      <c r="F257" s="6" t="s">
        <v>24</v>
      </c>
      <c r="G257" s="6" t="s">
        <v>936</v>
      </c>
      <c r="H257" s="6" t="s">
        <v>219</v>
      </c>
      <c r="I257" s="6">
        <v>2.02503000413E12</v>
      </c>
      <c r="J257" s="6"/>
      <c r="K257" s="6" t="s">
        <v>985</v>
      </c>
      <c r="L257" s="6" t="s">
        <v>304</v>
      </c>
      <c r="M257" s="6" t="s">
        <v>59</v>
      </c>
      <c r="N257" s="6"/>
    </row>
    <row r="258" ht="15.75" customHeight="1">
      <c r="A258" s="6" t="s">
        <v>978</v>
      </c>
      <c r="B258" s="6" t="s">
        <v>146</v>
      </c>
      <c r="C258" s="6" t="s">
        <v>565</v>
      </c>
      <c r="D258" s="6" t="s">
        <v>429</v>
      </c>
      <c r="E258" s="6" t="s">
        <v>459</v>
      </c>
      <c r="F258" s="6" t="s">
        <v>24</v>
      </c>
      <c r="G258" s="6" t="s">
        <v>936</v>
      </c>
      <c r="H258" s="6" t="s">
        <v>168</v>
      </c>
      <c r="I258" s="6">
        <v>2.0230500172E12</v>
      </c>
      <c r="J258" s="6"/>
      <c r="K258" s="6" t="s">
        <v>988</v>
      </c>
      <c r="L258" s="6" t="s">
        <v>304</v>
      </c>
      <c r="M258" s="6" t="s">
        <v>59</v>
      </c>
      <c r="N258" s="6"/>
    </row>
    <row r="259" ht="15.75" customHeight="1">
      <c r="A259" s="6" t="s">
        <v>978</v>
      </c>
      <c r="B259" s="6" t="s">
        <v>175</v>
      </c>
      <c r="C259" s="6" t="s">
        <v>639</v>
      </c>
      <c r="D259" s="6" t="s">
        <v>429</v>
      </c>
      <c r="E259" s="6" t="s">
        <v>541</v>
      </c>
      <c r="F259" s="6" t="s">
        <v>78</v>
      </c>
      <c r="G259" s="6" t="s">
        <v>936</v>
      </c>
      <c r="H259" s="6" t="s">
        <v>83</v>
      </c>
      <c r="I259" s="6">
        <v>2.02511001605E12</v>
      </c>
      <c r="J259" s="6"/>
      <c r="K259" s="6" t="s">
        <v>1044</v>
      </c>
      <c r="L259" s="6" t="s">
        <v>304</v>
      </c>
      <c r="M259" s="20" t="s">
        <v>59</v>
      </c>
      <c r="N259" s="6"/>
    </row>
    <row r="260" ht="15.75" customHeight="1">
      <c r="A260" s="6" t="s">
        <v>978</v>
      </c>
      <c r="B260" s="6" t="s">
        <v>197</v>
      </c>
      <c r="C260" s="6" t="s">
        <v>428</v>
      </c>
      <c r="D260" s="6" t="s">
        <v>429</v>
      </c>
      <c r="E260" s="6" t="s">
        <v>438</v>
      </c>
      <c r="F260" s="6" t="s">
        <v>98</v>
      </c>
      <c r="G260" s="6" t="s">
        <v>936</v>
      </c>
      <c r="H260" s="6" t="s">
        <v>168</v>
      </c>
      <c r="I260" s="6">
        <v>2.02511008621E12</v>
      </c>
      <c r="J260" s="6"/>
      <c r="K260" s="6" t="s">
        <v>988</v>
      </c>
      <c r="L260" s="6" t="s">
        <v>304</v>
      </c>
      <c r="M260" s="6" t="s">
        <v>59</v>
      </c>
      <c r="N260" s="6"/>
    </row>
    <row r="261" ht="15.75" customHeight="1">
      <c r="A261" s="6" t="s">
        <v>978</v>
      </c>
      <c r="B261" s="6" t="s">
        <v>227</v>
      </c>
      <c r="C261" s="6" t="s">
        <v>501</v>
      </c>
      <c r="D261" s="6" t="s">
        <v>553</v>
      </c>
      <c r="E261" s="6" t="s">
        <v>556</v>
      </c>
      <c r="F261" s="6" t="s">
        <v>24</v>
      </c>
      <c r="G261" s="6" t="s">
        <v>936</v>
      </c>
      <c r="H261" s="6" t="s">
        <v>710</v>
      </c>
      <c r="L261" s="6" t="s">
        <v>995</v>
      </c>
      <c r="M261" s="6"/>
    </row>
    <row r="262" ht="15.75" customHeight="1">
      <c r="A262" s="6" t="s">
        <v>978</v>
      </c>
      <c r="B262" s="6" t="s">
        <v>249</v>
      </c>
      <c r="C262" s="6" t="s">
        <v>445</v>
      </c>
      <c r="D262" s="6" t="s">
        <v>429</v>
      </c>
      <c r="E262" s="6" t="s">
        <v>556</v>
      </c>
      <c r="F262" s="6" t="s">
        <v>24</v>
      </c>
      <c r="G262" s="6" t="s">
        <v>936</v>
      </c>
      <c r="H262" s="6" t="s">
        <v>137</v>
      </c>
      <c r="I262" s="6" t="s">
        <v>254</v>
      </c>
      <c r="J262" s="6" t="s">
        <v>815</v>
      </c>
      <c r="K262" s="6"/>
      <c r="L262" s="6" t="s">
        <v>304</v>
      </c>
      <c r="M262" s="6" t="s">
        <v>59</v>
      </c>
      <c r="N262" s="6"/>
    </row>
    <row r="263" ht="15.75" customHeight="1">
      <c r="A263" s="6" t="s">
        <v>978</v>
      </c>
      <c r="B263" s="6" t="s">
        <v>260</v>
      </c>
      <c r="C263" s="6" t="s">
        <v>501</v>
      </c>
      <c r="D263" s="6" t="s">
        <v>429</v>
      </c>
      <c r="E263" s="6" t="s">
        <v>438</v>
      </c>
      <c r="F263" s="6" t="s">
        <v>24</v>
      </c>
      <c r="G263" s="6" t="s">
        <v>936</v>
      </c>
      <c r="H263" s="6" t="s">
        <v>120</v>
      </c>
      <c r="I263" s="6">
        <v>2.026030040751E12</v>
      </c>
      <c r="J263" s="6"/>
      <c r="K263" s="6" t="s">
        <v>985</v>
      </c>
      <c r="L263" s="6" t="s">
        <v>304</v>
      </c>
      <c r="M263" s="6" t="s">
        <v>59</v>
      </c>
      <c r="N263" s="6"/>
    </row>
    <row r="264" ht="15.75" customHeight="1">
      <c r="A264" s="6" t="s">
        <v>978</v>
      </c>
      <c r="B264" s="6" t="s">
        <v>277</v>
      </c>
      <c r="C264" s="6" t="s">
        <v>428</v>
      </c>
      <c r="D264" s="6" t="s">
        <v>429</v>
      </c>
      <c r="E264" s="6" t="s">
        <v>556</v>
      </c>
      <c r="F264" s="6" t="s">
        <v>24</v>
      </c>
      <c r="G264" s="6" t="s">
        <v>936</v>
      </c>
      <c r="H264" s="6" t="s">
        <v>333</v>
      </c>
      <c r="I264" s="6">
        <v>2.02511002561E12</v>
      </c>
      <c r="J264" s="6"/>
      <c r="K264" s="6"/>
      <c r="L264" s="6" t="s">
        <v>304</v>
      </c>
      <c r="M264" s="6" t="s">
        <v>59</v>
      </c>
      <c r="N264" s="6"/>
    </row>
    <row r="265" ht="15.75" customHeight="1">
      <c r="A265" s="6" t="s">
        <v>978</v>
      </c>
      <c r="B265" s="6" t="s">
        <v>1056</v>
      </c>
      <c r="C265" s="6" t="s">
        <v>501</v>
      </c>
      <c r="D265" s="6" t="s">
        <v>429</v>
      </c>
      <c r="E265" s="6" t="s">
        <v>541</v>
      </c>
      <c r="F265" s="6" t="s">
        <v>78</v>
      </c>
      <c r="G265" s="6" t="s">
        <v>936</v>
      </c>
      <c r="H265" s="6" t="s">
        <v>137</v>
      </c>
      <c r="I265" s="6">
        <v>2.02404001287E12</v>
      </c>
      <c r="J265" s="6" t="s">
        <v>832</v>
      </c>
      <c r="K265" s="6"/>
      <c r="L265" s="6" t="s">
        <v>304</v>
      </c>
      <c r="M265" s="6" t="s">
        <v>59</v>
      </c>
      <c r="N265" s="6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N1"/>
    <mergeCell ref="A3:N3"/>
    <mergeCell ref="A4:N4"/>
    <mergeCell ref="A24:N24"/>
    <mergeCell ref="A25:N25"/>
    <mergeCell ref="A43:N43"/>
    <mergeCell ref="A44:N44"/>
  </mergeCells>
  <conditionalFormatting sqref="A6:N22">
    <cfRule type="expression" dxfId="0" priority="1">
      <formula>OR(ISNUMBER(SEARCH("Finalizado",$D6)),$M6="Finalizado",$M6="Validado")</formula>
    </cfRule>
  </conditionalFormatting>
  <conditionalFormatting sqref="A6:N22">
    <cfRule type="expression" dxfId="1" priority="2">
      <formula>AND(NOT(ISNUMBER(SEARCH("Finalizado",$D6))),$M6="Pendente",NOT(ISNUMBER(SEARCH("Falta Justificada",$D6))))</formula>
    </cfRule>
  </conditionalFormatting>
  <conditionalFormatting sqref="K6:K22">
    <cfRule type="expression" dxfId="2" priority="3">
      <formula>OR(ISNUMBER(SEARCH("1ª SESSÃO",K6)),ISNUMBER(SEARCH("ALERTA FINAL",K6)),ISNUMBER(SEARCH("MEDSÊNIOR",K6)))</formula>
    </cfRule>
  </conditionalFormatting>
  <conditionalFormatting sqref="A27:N41">
    <cfRule type="expression" dxfId="0" priority="4">
      <formula>OR(ISNUMBER(SEARCH("Finalizado",$D27)),$M27="Finalizado",$M27="Validado")</formula>
    </cfRule>
  </conditionalFormatting>
  <conditionalFormatting sqref="A27:N41">
    <cfRule type="expression" dxfId="1" priority="5">
      <formula>AND(NOT(ISNUMBER(SEARCH("Finalizado",$D27))),$M27="Pendente",NOT(ISNUMBER(SEARCH("Falta Justificada",$D27))))</formula>
    </cfRule>
  </conditionalFormatting>
  <conditionalFormatting sqref="K27:K41">
    <cfRule type="expression" dxfId="2" priority="6">
      <formula>OR(ISNUMBER(SEARCH("1ª SESSÃO",K27)),ISNUMBER(SEARCH("ALERTA FINAL",K27)),ISNUMBER(SEARCH("MEDSÊNIOR",K27)))</formula>
    </cfRule>
  </conditionalFormatting>
  <conditionalFormatting sqref="A46:N63">
    <cfRule type="expression" dxfId="0" priority="7">
      <formula>OR(ISNUMBER(SEARCH("Finalizado",$D46)),$M46="Finalizado",$M46="Validado")</formula>
    </cfRule>
  </conditionalFormatting>
  <conditionalFormatting sqref="A46:N63">
    <cfRule type="expression" dxfId="1" priority="8">
      <formula>AND(NOT(ISNUMBER(SEARCH("Finalizado",$D46))),$M46="Pendente",NOT(ISNUMBER(SEARCH("Falta Justificada",$D46))))</formula>
    </cfRule>
  </conditionalFormatting>
  <conditionalFormatting sqref="K46:K63">
    <cfRule type="expression" dxfId="2" priority="9">
      <formula>OR(ISNUMBER(SEARCH("1ª SESSÃO",K46)),ISNUMBER(SEARCH("ALERTA FINAL",K46)),ISNUMBER(SEARCH("MEDSÊNIOR",K46)))</formula>
    </cfRule>
  </conditionalFormatting>
  <conditionalFormatting sqref="A69:N69">
    <cfRule type="expression" dxfId="3" priority="10">
      <formula>OR($M69="Finalizado",$M69="Validado",$D69="Finalizado")</formula>
    </cfRule>
  </conditionalFormatting>
  <conditionalFormatting sqref="A69:N69">
    <cfRule type="expression" dxfId="4" priority="11">
      <formula>AND($M69="Pendente",$D69&lt;&gt;"Finalizado")</formula>
    </cfRule>
  </conditionalFormatting>
  <conditionalFormatting sqref="A70:N70">
    <cfRule type="expression" dxfId="3" priority="12">
      <formula>OR($M70="Finalizado",$M70="Validado",$D70="Finalizado")</formula>
    </cfRule>
  </conditionalFormatting>
  <conditionalFormatting sqref="A70:N70">
    <cfRule type="expression" dxfId="4" priority="13">
      <formula>AND($M70="Pendente",$D70&lt;&gt;"Finalizado")</formula>
    </cfRule>
  </conditionalFormatting>
  <conditionalFormatting sqref="A71:N71">
    <cfRule type="expression" dxfId="3" priority="14">
      <formula>OR($M71="Finalizado",$M71="Validado",$D71="Finalizado")</formula>
    </cfRule>
  </conditionalFormatting>
  <conditionalFormatting sqref="A71:N71">
    <cfRule type="expression" dxfId="4" priority="15">
      <formula>AND($M71="Pendente",$D71&lt;&gt;"Finalizado")</formula>
    </cfRule>
  </conditionalFormatting>
  <conditionalFormatting sqref="A72:N72">
    <cfRule type="expression" dxfId="3" priority="16">
      <formula>OR($M72="Finalizado",$M72="Validado",$D72="Finalizado")</formula>
    </cfRule>
  </conditionalFormatting>
  <conditionalFormatting sqref="A72:N72">
    <cfRule type="expression" dxfId="4" priority="17">
      <formula>AND($M72="Pendente",$D72&lt;&gt;"Finalizado")</formula>
    </cfRule>
  </conditionalFormatting>
  <conditionalFormatting sqref="A73:N73">
    <cfRule type="expression" dxfId="3" priority="18">
      <formula>OR($M73="Finalizado",$M73="Validado",$D73="Finalizado")</formula>
    </cfRule>
  </conditionalFormatting>
  <conditionalFormatting sqref="A73:N73">
    <cfRule type="expression" dxfId="4" priority="19">
      <formula>AND($M73="Pendente",$D73&lt;&gt;"Finalizado")</formula>
    </cfRule>
  </conditionalFormatting>
  <conditionalFormatting sqref="A74:N74">
    <cfRule type="expression" dxfId="3" priority="20">
      <formula>OR($M74="Finalizado",$M74="Validado",$D74="Finalizado")</formula>
    </cfRule>
  </conditionalFormatting>
  <conditionalFormatting sqref="A74:N74">
    <cfRule type="expression" dxfId="4" priority="21">
      <formula>AND($M74="Pendente",$D74&lt;&gt;"Finalizado")</formula>
    </cfRule>
  </conditionalFormatting>
  <conditionalFormatting sqref="A75:N75">
    <cfRule type="expression" dxfId="3" priority="22">
      <formula>OR($M75="Finalizado",$M75="Validado",$D75="Finalizado")</formula>
    </cfRule>
  </conditionalFormatting>
  <conditionalFormatting sqref="A75:N75">
    <cfRule type="expression" dxfId="4" priority="23">
      <formula>AND($M75="Pendente",$D75&lt;&gt;"Finalizado")</formula>
    </cfRule>
  </conditionalFormatting>
  <conditionalFormatting sqref="A76:N76">
    <cfRule type="expression" dxfId="3" priority="24">
      <formula>OR($M76="Finalizado",$M76="Validado",$D76="Finalizado")</formula>
    </cfRule>
  </conditionalFormatting>
  <conditionalFormatting sqref="A76:N76">
    <cfRule type="expression" dxfId="4" priority="25">
      <formula>AND($M76="Pendente",$D76&lt;&gt;"Finalizado")</formula>
    </cfRule>
  </conditionalFormatting>
  <conditionalFormatting sqref="A77:N77">
    <cfRule type="expression" dxfId="3" priority="26">
      <formula>OR($M77="Finalizado",$M77="Validado",$D77="Finalizado")</formula>
    </cfRule>
  </conditionalFormatting>
  <conditionalFormatting sqref="A77:N77">
    <cfRule type="expression" dxfId="4" priority="27">
      <formula>AND($M77="Pendente",$D77&lt;&gt;"Finalizado")</formula>
    </cfRule>
  </conditionalFormatting>
  <conditionalFormatting sqref="A78:N78">
    <cfRule type="expression" dxfId="3" priority="28">
      <formula>OR($M78="Finalizado",$M78="Validado",$D78="Finalizado")</formula>
    </cfRule>
  </conditionalFormatting>
  <conditionalFormatting sqref="A78:N78">
    <cfRule type="expression" dxfId="4" priority="29">
      <formula>AND($M78="Pendente",$D78&lt;&gt;"Finalizado")</formula>
    </cfRule>
  </conditionalFormatting>
  <conditionalFormatting sqref="A79:N79">
    <cfRule type="expression" dxfId="3" priority="30">
      <formula>OR($M79="Finalizado",$M79="Validado",$D79="Finalizado")</formula>
    </cfRule>
  </conditionalFormatting>
  <conditionalFormatting sqref="A79:N79">
    <cfRule type="expression" dxfId="4" priority="31">
      <formula>AND($M79="Pendente",$D79&lt;&gt;"Finalizado")</formula>
    </cfRule>
  </conditionalFormatting>
  <conditionalFormatting sqref="A80:N80">
    <cfRule type="expression" dxfId="3" priority="32">
      <formula>OR($M80="Finalizado",$M80="Validado",$D80="Finalizado")</formula>
    </cfRule>
  </conditionalFormatting>
  <conditionalFormatting sqref="A80:N80">
    <cfRule type="expression" dxfId="4" priority="33">
      <formula>AND($M80="Pendente",$D80&lt;&gt;"Finalizado")</formula>
    </cfRule>
  </conditionalFormatting>
  <conditionalFormatting sqref="A81:N81">
    <cfRule type="expression" dxfId="3" priority="34">
      <formula>OR($M81="Finalizado",$M81="Validado",$D81="Finalizado")</formula>
    </cfRule>
  </conditionalFormatting>
  <conditionalFormatting sqref="A81:N81">
    <cfRule type="expression" dxfId="4" priority="35">
      <formula>AND($M81="Pendente",$D81&lt;&gt;"Finalizado")</formula>
    </cfRule>
  </conditionalFormatting>
  <conditionalFormatting sqref="A82:N82">
    <cfRule type="expression" dxfId="3" priority="36">
      <formula>OR($M82="Finalizado",$M82="Validado",$D82="Finalizado")</formula>
    </cfRule>
  </conditionalFormatting>
  <conditionalFormatting sqref="A82:N82">
    <cfRule type="expression" dxfId="4" priority="37">
      <formula>AND($M82="Pendente",$D82&lt;&gt;"Finalizado")</formula>
    </cfRule>
  </conditionalFormatting>
  <conditionalFormatting sqref="A83:N83">
    <cfRule type="expression" dxfId="3" priority="38">
      <formula>OR($M83="Finalizado",$M83="Validado",$D83="Finalizado")</formula>
    </cfRule>
  </conditionalFormatting>
  <conditionalFormatting sqref="A83:N83">
    <cfRule type="expression" dxfId="4" priority="39">
      <formula>AND($M83="Pendente",$D83&lt;&gt;"Finalizado")</formula>
    </cfRule>
  </conditionalFormatting>
  <conditionalFormatting sqref="A84:N84">
    <cfRule type="expression" dxfId="3" priority="40">
      <formula>OR($M84="Finalizado",$M84="Validado",$D84="Finalizado")</formula>
    </cfRule>
  </conditionalFormatting>
  <conditionalFormatting sqref="A84:N84">
    <cfRule type="expression" dxfId="4" priority="41">
      <formula>AND($M84="Pendente",$D84&lt;&gt;"Finalizado")</formula>
    </cfRule>
  </conditionalFormatting>
  <conditionalFormatting sqref="A85:N85">
    <cfRule type="expression" dxfId="3" priority="42">
      <formula>OR($M85="Finalizado",$M85="Validado",$D85="Finalizado")</formula>
    </cfRule>
  </conditionalFormatting>
  <conditionalFormatting sqref="A85:N85">
    <cfRule type="expression" dxfId="4" priority="43">
      <formula>AND($M85="Pendente",$D85&lt;&gt;"Finalizado")</formula>
    </cfRule>
  </conditionalFormatting>
  <conditionalFormatting sqref="A86:N86">
    <cfRule type="expression" dxfId="3" priority="44">
      <formula>OR($M86="Finalizado",$M86="Validado",$D86="Finalizado")</formula>
    </cfRule>
  </conditionalFormatting>
  <conditionalFormatting sqref="A86:N86">
    <cfRule type="expression" dxfId="4" priority="45">
      <formula>AND($M86="Pendente",$D86&lt;&gt;"Finalizado")</formula>
    </cfRule>
  </conditionalFormatting>
  <conditionalFormatting sqref="A87:N87">
    <cfRule type="expression" dxfId="3" priority="46">
      <formula>OR($M87="Finalizado",$M87="Validado",$D87="Finalizado")</formula>
    </cfRule>
  </conditionalFormatting>
  <conditionalFormatting sqref="A87:N87">
    <cfRule type="expression" dxfId="4" priority="47">
      <formula>AND($M87="Pendente",$D87&lt;&gt;"Finalizado")</formula>
    </cfRule>
  </conditionalFormatting>
  <conditionalFormatting sqref="A88:N88">
    <cfRule type="expression" dxfId="3" priority="48">
      <formula>OR($M88="Finalizado",$M88="Validado",$D88="Finalizado")</formula>
    </cfRule>
  </conditionalFormatting>
  <conditionalFormatting sqref="A88:N88">
    <cfRule type="expression" dxfId="4" priority="49">
      <formula>AND($M88="Pendente",$D88&lt;&gt;"Finalizado")</formula>
    </cfRule>
  </conditionalFormatting>
  <conditionalFormatting sqref="A93:N93">
    <cfRule type="expression" dxfId="3" priority="50">
      <formula>OR($M93="Finalizado",$M93="Validado",$D93="Finalizado")</formula>
    </cfRule>
  </conditionalFormatting>
  <conditionalFormatting sqref="A93:N93">
    <cfRule type="expression" dxfId="4" priority="51">
      <formula>AND($M93="Pendente",$D93&lt;&gt;"Finalizado")</formula>
    </cfRule>
  </conditionalFormatting>
  <conditionalFormatting sqref="A94:N94">
    <cfRule type="expression" dxfId="3" priority="52">
      <formula>OR($M94="Finalizado",$M94="Validado",$D94="Finalizado")</formula>
    </cfRule>
  </conditionalFormatting>
  <conditionalFormatting sqref="A94:N94">
    <cfRule type="expression" dxfId="4" priority="53">
      <formula>AND($M94="Pendente",$D94&lt;&gt;"Finalizado")</formula>
    </cfRule>
  </conditionalFormatting>
  <conditionalFormatting sqref="A95:N95">
    <cfRule type="expression" dxfId="3" priority="54">
      <formula>OR($M95="Finalizado",$M95="Validado",$D95="Finalizado")</formula>
    </cfRule>
  </conditionalFormatting>
  <conditionalFormatting sqref="A95:N95">
    <cfRule type="expression" dxfId="4" priority="55">
      <formula>AND($M95="Pendente",$D95&lt;&gt;"Finalizado")</formula>
    </cfRule>
  </conditionalFormatting>
  <conditionalFormatting sqref="A96:N96">
    <cfRule type="expression" dxfId="3" priority="56">
      <formula>OR($M96="Finalizado",$M96="Validado",$D96="Finalizado")</formula>
    </cfRule>
  </conditionalFormatting>
  <conditionalFormatting sqref="A96:N96">
    <cfRule type="expression" dxfId="4" priority="57">
      <formula>AND($M96="Pendente",$D96&lt;&gt;"Finalizado")</formula>
    </cfRule>
  </conditionalFormatting>
  <conditionalFormatting sqref="A97:N97">
    <cfRule type="expression" dxfId="3" priority="58">
      <formula>OR($M97="Finalizado",$M97="Validado",$D97="Finalizado")</formula>
    </cfRule>
  </conditionalFormatting>
  <conditionalFormatting sqref="A97:N97">
    <cfRule type="expression" dxfId="4" priority="59">
      <formula>AND($M97="Pendente",$D97&lt;&gt;"Finalizado")</formula>
    </cfRule>
  </conditionalFormatting>
  <conditionalFormatting sqref="A98:N98">
    <cfRule type="expression" dxfId="3" priority="60">
      <formula>OR($M98="Finalizado",$M98="Validado",$D98="Finalizado")</formula>
    </cfRule>
  </conditionalFormatting>
  <conditionalFormatting sqref="A98:N98">
    <cfRule type="expression" dxfId="4" priority="61">
      <formula>AND($M98="Pendente",$D98&lt;&gt;"Finalizado")</formula>
    </cfRule>
  </conditionalFormatting>
  <conditionalFormatting sqref="A99:N99">
    <cfRule type="expression" dxfId="3" priority="62">
      <formula>OR($M99="Finalizado",$M99="Validado",$D99="Finalizado")</formula>
    </cfRule>
  </conditionalFormatting>
  <conditionalFormatting sqref="A99:N99">
    <cfRule type="expression" dxfId="4" priority="63">
      <formula>AND($M99="Pendente",$D99&lt;&gt;"Finalizado")</formula>
    </cfRule>
  </conditionalFormatting>
  <conditionalFormatting sqref="A100:N100">
    <cfRule type="expression" dxfId="3" priority="64">
      <formula>OR($M100="Finalizado",$M100="Validado",$D100="Finalizado")</formula>
    </cfRule>
  </conditionalFormatting>
  <conditionalFormatting sqref="A100:N100">
    <cfRule type="expression" dxfId="4" priority="65">
      <formula>AND($M100="Pendente",$D100&lt;&gt;"Finalizado")</formula>
    </cfRule>
  </conditionalFormatting>
  <conditionalFormatting sqref="A101:N101">
    <cfRule type="expression" dxfId="3" priority="66">
      <formula>OR($M101="Finalizado",$M101="Validado",$D101="Finalizado")</formula>
    </cfRule>
  </conditionalFormatting>
  <conditionalFormatting sqref="A101:N101">
    <cfRule type="expression" dxfId="4" priority="67">
      <formula>AND($M101="Pendente",$D101&lt;&gt;"Finalizado")</formula>
    </cfRule>
  </conditionalFormatting>
  <conditionalFormatting sqref="A102:N102">
    <cfRule type="expression" dxfId="3" priority="68">
      <formula>OR($M102="Finalizado",$M102="Validado",$D102="Finalizado")</formula>
    </cfRule>
  </conditionalFormatting>
  <conditionalFormatting sqref="A102:N102">
    <cfRule type="expression" dxfId="4" priority="69">
      <formula>AND($M102="Pendente",$D102&lt;&gt;"Finalizado")</formula>
    </cfRule>
  </conditionalFormatting>
  <conditionalFormatting sqref="A103:N103">
    <cfRule type="expression" dxfId="3" priority="70">
      <formula>OR($M103="Finalizado",$M103="Validado",$D103="Finalizado")</formula>
    </cfRule>
  </conditionalFormatting>
  <conditionalFormatting sqref="A103:N103">
    <cfRule type="expression" dxfId="4" priority="71">
      <formula>AND($M103="Pendente",$D103&lt;&gt;"Finalizado")</formula>
    </cfRule>
  </conditionalFormatting>
  <conditionalFormatting sqref="A104:N104">
    <cfRule type="expression" dxfId="3" priority="72">
      <formula>OR($M104="Finalizado",$M104="Validado",$D104="Finalizado")</formula>
    </cfRule>
  </conditionalFormatting>
  <conditionalFormatting sqref="A104:N104">
    <cfRule type="expression" dxfId="4" priority="73">
      <formula>AND($M104="Pendente",$D104&lt;&gt;"Finalizado")</formula>
    </cfRule>
  </conditionalFormatting>
  <conditionalFormatting sqref="A105:N105">
    <cfRule type="expression" dxfId="3" priority="74">
      <formula>OR($M105="Finalizado",$M105="Validado",$D105="Finalizado")</formula>
    </cfRule>
  </conditionalFormatting>
  <conditionalFormatting sqref="A105:N105">
    <cfRule type="expression" dxfId="4" priority="75">
      <formula>AND($M105="Pendente",$D105&lt;&gt;"Finalizado")</formula>
    </cfRule>
  </conditionalFormatting>
  <conditionalFormatting sqref="A106:N106">
    <cfRule type="expression" dxfId="3" priority="76">
      <formula>OR($M106="Finalizado",$M106="Validado",$D106="Finalizado")</formula>
    </cfRule>
  </conditionalFormatting>
  <conditionalFormatting sqref="A106:N106">
    <cfRule type="expression" dxfId="4" priority="77">
      <formula>AND($M106="Pendente",$D106&lt;&gt;"Finalizado")</formula>
    </cfRule>
  </conditionalFormatting>
  <conditionalFormatting sqref="A111:N111">
    <cfRule type="expression" dxfId="3" priority="78">
      <formula>OR($M111="Finalizado",$M111="Validado",LEFT($D111,10)="Finalizado")</formula>
    </cfRule>
  </conditionalFormatting>
  <conditionalFormatting sqref="A111:N111">
    <cfRule type="expression" dxfId="4" priority="79">
      <formula>AND($M111="Pendente",LEFT($D111,10)&lt;&gt;"Finalizado")</formula>
    </cfRule>
  </conditionalFormatting>
  <conditionalFormatting sqref="A112:N112">
    <cfRule type="expression" dxfId="3" priority="80">
      <formula>OR($M112="Finalizado",$M112="Validado",LEFT($D112,10)="Finalizado")</formula>
    </cfRule>
  </conditionalFormatting>
  <conditionalFormatting sqref="A112:N112">
    <cfRule type="expression" dxfId="4" priority="81">
      <formula>AND($M112="Pendente",LEFT($D112,10)&lt;&gt;"Finalizado")</formula>
    </cfRule>
  </conditionalFormatting>
  <conditionalFormatting sqref="A113:N113">
    <cfRule type="expression" dxfId="3" priority="82">
      <formula>OR($M113="Finalizado",$M113="Validado",LEFT($D113,10)="Finalizado")</formula>
    </cfRule>
  </conditionalFormatting>
  <conditionalFormatting sqref="A113:N113">
    <cfRule type="expression" dxfId="4" priority="83">
      <formula>AND($M113="Pendente",LEFT($D113,10)&lt;&gt;"Finalizado")</formula>
    </cfRule>
  </conditionalFormatting>
  <conditionalFormatting sqref="A114:N114">
    <cfRule type="expression" dxfId="3" priority="84">
      <formula>OR($M114="Finalizado",$M114="Validado",LEFT($D114,10)="Finalizado")</formula>
    </cfRule>
  </conditionalFormatting>
  <conditionalFormatting sqref="A114:N114">
    <cfRule type="expression" dxfId="4" priority="85">
      <formula>AND($M114="Pendente",LEFT($D114,10)&lt;&gt;"Finalizado")</formula>
    </cfRule>
  </conditionalFormatting>
  <conditionalFormatting sqref="A115:N115">
    <cfRule type="expression" dxfId="3" priority="86">
      <formula>OR($M115="Finalizado",$M115="Validado",LEFT($D115,10)="Finalizado")</formula>
    </cfRule>
  </conditionalFormatting>
  <conditionalFormatting sqref="A115:N115">
    <cfRule type="expression" dxfId="4" priority="87">
      <formula>AND($M115="Pendente",LEFT($D115,10)&lt;&gt;"Finalizado")</formula>
    </cfRule>
  </conditionalFormatting>
  <conditionalFormatting sqref="A116:N116">
    <cfRule type="expression" dxfId="3" priority="88">
      <formula>OR($M116="Finalizado",$M116="Validado",LEFT($D116,10)="Finalizado")</formula>
    </cfRule>
  </conditionalFormatting>
  <conditionalFormatting sqref="A116:N116">
    <cfRule type="expression" dxfId="4" priority="89">
      <formula>AND($M116="Pendente",LEFT($D116,10)&lt;&gt;"Finalizado")</formula>
    </cfRule>
  </conditionalFormatting>
  <conditionalFormatting sqref="A117:N117">
    <cfRule type="expression" dxfId="3" priority="90">
      <formula>OR($M117="Finalizado",$M117="Validado",LEFT($D117,10)="Finalizado")</formula>
    </cfRule>
  </conditionalFormatting>
  <conditionalFormatting sqref="A117:N117">
    <cfRule type="expression" dxfId="4" priority="91">
      <formula>AND($M117="Pendente",LEFT($D117,10)&lt;&gt;"Finalizado")</formula>
    </cfRule>
  </conditionalFormatting>
  <conditionalFormatting sqref="A118:N118">
    <cfRule type="expression" dxfId="3" priority="92">
      <formula>OR($M118="Finalizado",$M118="Validado",LEFT($D118,10)="Finalizado")</formula>
    </cfRule>
  </conditionalFormatting>
  <conditionalFormatting sqref="A118:N118">
    <cfRule type="expression" dxfId="4" priority="93">
      <formula>AND($M118="Pendente",LEFT($D118,10)&lt;&gt;"Finalizado")</formula>
    </cfRule>
  </conditionalFormatting>
  <conditionalFormatting sqref="A119:N119">
    <cfRule type="expression" dxfId="3" priority="94">
      <formula>OR($M119="Finalizado",$M119="Validado",LEFT($D119,10)="Finalizado")</formula>
    </cfRule>
  </conditionalFormatting>
  <conditionalFormatting sqref="A119:N119">
    <cfRule type="expression" dxfId="4" priority="95">
      <formula>AND($M119="Pendente",LEFT($D119,10)&lt;&gt;"Finalizado")</formula>
    </cfRule>
  </conditionalFormatting>
  <conditionalFormatting sqref="A120:N120">
    <cfRule type="expression" dxfId="3" priority="96">
      <formula>OR($M120="Finalizado",$M120="Validado",LEFT($D120,10)="Finalizado")</formula>
    </cfRule>
  </conditionalFormatting>
  <conditionalFormatting sqref="A120:N120">
    <cfRule type="expression" dxfId="4" priority="97">
      <formula>AND($M120="Pendente",LEFT($D120,10)&lt;&gt;"Finalizado")</formula>
    </cfRule>
  </conditionalFormatting>
  <conditionalFormatting sqref="A121:N121">
    <cfRule type="expression" dxfId="3" priority="98">
      <formula>OR($M121="Finalizado",$M121="Validado",LEFT($D121,10)="Finalizado")</formula>
    </cfRule>
  </conditionalFormatting>
  <conditionalFormatting sqref="A121:N121">
    <cfRule type="expression" dxfId="4" priority="99">
      <formula>AND($M121="Pendente",LEFT($D121,10)&lt;&gt;"Finalizado")</formula>
    </cfRule>
  </conditionalFormatting>
  <conditionalFormatting sqref="A122:N122">
    <cfRule type="expression" dxfId="3" priority="100">
      <formula>OR($M122="Finalizado",$M122="Validado",LEFT($D122,10)="Finalizado")</formula>
    </cfRule>
  </conditionalFormatting>
  <conditionalFormatting sqref="A122:N122">
    <cfRule type="expression" dxfId="4" priority="101">
      <formula>AND($M122="Pendente",LEFT($D122,10)&lt;&gt;"Finalizado")</formula>
    </cfRule>
  </conditionalFormatting>
  <conditionalFormatting sqref="A123:N123">
    <cfRule type="expression" dxfId="3" priority="102">
      <formula>OR($M123="Finalizado",$M123="Validado",LEFT($D123,10)="Finalizado")</formula>
    </cfRule>
  </conditionalFormatting>
  <conditionalFormatting sqref="A123:N123">
    <cfRule type="expression" dxfId="4" priority="103">
      <formula>AND($M123="Pendente",LEFT($D123,10)&lt;&gt;"Finalizado")</formula>
    </cfRule>
  </conditionalFormatting>
  <conditionalFormatting sqref="A124:N124">
    <cfRule type="expression" dxfId="3" priority="104">
      <formula>OR($M124="Finalizado",$M124="Validado",LEFT($D124,10)="Finalizado")</formula>
    </cfRule>
  </conditionalFormatting>
  <conditionalFormatting sqref="A124:N124">
    <cfRule type="expression" dxfId="4" priority="105">
      <formula>AND($M124="Pendente",LEFT($D124,10)&lt;&gt;"Finalizado")</formula>
    </cfRule>
  </conditionalFormatting>
  <conditionalFormatting sqref="A125:N125">
    <cfRule type="expression" dxfId="3" priority="106">
      <formula>OR($M125="Finalizado",$M125="Validado",LEFT($D125,10)="Finalizado")</formula>
    </cfRule>
  </conditionalFormatting>
  <conditionalFormatting sqref="A125:N125">
    <cfRule type="expression" dxfId="4" priority="107">
      <formula>AND($M125="Pendente",LEFT($D125,10)&lt;&gt;"Finalizado")</formula>
    </cfRule>
  </conditionalFormatting>
  <conditionalFormatting sqref="A130:N130">
    <cfRule type="expression" dxfId="3" priority="108">
      <formula>OR($M130="Validado",$M130="Finalizado",LEFT($D130,10)="Finalizado")</formula>
    </cfRule>
  </conditionalFormatting>
  <conditionalFormatting sqref="A130:N130">
    <cfRule type="expression" dxfId="4" priority="109">
      <formula>AND($M130="Pendente",LEFT($D130,10)&lt;&gt;"Finalizado")</formula>
    </cfRule>
  </conditionalFormatting>
  <conditionalFormatting sqref="A131:N131">
    <cfRule type="expression" dxfId="3" priority="110">
      <formula>OR($M131="Validado",$M131="Finalizado",LEFT($D131,10)="Finalizado")</formula>
    </cfRule>
  </conditionalFormatting>
  <conditionalFormatting sqref="A131:N131">
    <cfRule type="expression" dxfId="4" priority="111">
      <formula>AND($M131="Pendente",LEFT($D131,10)&lt;&gt;"Finalizado")</formula>
    </cfRule>
  </conditionalFormatting>
  <conditionalFormatting sqref="A132:N132">
    <cfRule type="expression" dxfId="3" priority="112">
      <formula>OR($M132="Validado",$M132="Finalizado",LEFT($D132,10)="Finalizado")</formula>
    </cfRule>
  </conditionalFormatting>
  <conditionalFormatting sqref="A132:N132">
    <cfRule type="expression" dxfId="4" priority="113">
      <formula>AND($M132="Pendente",LEFT($D132,10)&lt;&gt;"Finalizado")</formula>
    </cfRule>
  </conditionalFormatting>
  <conditionalFormatting sqref="A133:N133">
    <cfRule type="expression" dxfId="3" priority="114">
      <formula>OR($M133="Validado",$M133="Finalizado",LEFT($D133,10)="Finalizado")</formula>
    </cfRule>
  </conditionalFormatting>
  <conditionalFormatting sqref="A133:N133">
    <cfRule type="expression" dxfId="4" priority="115">
      <formula>AND($M133="Pendente",LEFT($D133,10)&lt;&gt;"Finalizado")</formula>
    </cfRule>
  </conditionalFormatting>
  <conditionalFormatting sqref="A134:N134">
    <cfRule type="expression" dxfId="3" priority="116">
      <formula>OR($M134="Validado",$M134="Finalizado",LEFT($D134,10)="Finalizado")</formula>
    </cfRule>
  </conditionalFormatting>
  <conditionalFormatting sqref="A134:N134">
    <cfRule type="expression" dxfId="4" priority="117">
      <formula>AND($M134="Pendente",LEFT($D134,10)&lt;&gt;"Finalizado")</formula>
    </cfRule>
  </conditionalFormatting>
  <conditionalFormatting sqref="A135:N135">
    <cfRule type="expression" dxfId="3" priority="118">
      <formula>OR($M135="Validado",$M135="Finalizado",LEFT($D135,10)="Finalizado")</formula>
    </cfRule>
  </conditionalFormatting>
  <conditionalFormatting sqref="A135:N135">
    <cfRule type="expression" dxfId="4" priority="119">
      <formula>AND($M135="Pendente",LEFT($D135,10)&lt;&gt;"Finalizado")</formula>
    </cfRule>
  </conditionalFormatting>
  <conditionalFormatting sqref="A136:N136">
    <cfRule type="expression" dxfId="3" priority="120">
      <formula>OR($M136="Validado",$M136="Finalizado",LEFT($D136,10)="Finalizado")</formula>
    </cfRule>
  </conditionalFormatting>
  <conditionalFormatting sqref="A136:N136">
    <cfRule type="expression" dxfId="4" priority="121">
      <formula>AND($M136="Pendente",LEFT($D136,10)&lt;&gt;"Finalizado")</formula>
    </cfRule>
  </conditionalFormatting>
  <conditionalFormatting sqref="A137:N137">
    <cfRule type="expression" dxfId="3" priority="122">
      <formula>OR($M137="Validado",$M137="Finalizado",LEFT($D137,10)="Finalizado")</formula>
    </cfRule>
  </conditionalFormatting>
  <conditionalFormatting sqref="A137:N137">
    <cfRule type="expression" dxfId="4" priority="123">
      <formula>AND($M137="Pendente",LEFT($D137,10)&lt;&gt;"Finalizado")</formula>
    </cfRule>
  </conditionalFormatting>
  <conditionalFormatting sqref="A138:N138">
    <cfRule type="expression" dxfId="3" priority="124">
      <formula>OR($M138="Validado",$M138="Finalizado",LEFT($D138,10)="Finalizado")</formula>
    </cfRule>
  </conditionalFormatting>
  <conditionalFormatting sqref="A138:N138">
    <cfRule type="expression" dxfId="4" priority="125">
      <formula>AND($M138="Pendente",LEFT($D138,10)&lt;&gt;"Finalizado")</formula>
    </cfRule>
  </conditionalFormatting>
  <conditionalFormatting sqref="A139:N139">
    <cfRule type="expression" dxfId="3" priority="126">
      <formula>OR($M139="Validado",$M139="Finalizado",LEFT($D139,10)="Finalizado")</formula>
    </cfRule>
  </conditionalFormatting>
  <conditionalFormatting sqref="A139:N139">
    <cfRule type="expression" dxfId="4" priority="127">
      <formula>AND($M139="Pendente",LEFT($D139,10)&lt;&gt;"Finalizado")</formula>
    </cfRule>
  </conditionalFormatting>
  <conditionalFormatting sqref="A144:N144">
    <cfRule type="expression" dxfId="3" priority="128">
      <formula>OR($M144="Validado",$M144="Finalizado",LEFT($D144,10)="Finalizado")</formula>
    </cfRule>
  </conditionalFormatting>
  <conditionalFormatting sqref="A144:N144">
    <cfRule type="expression" dxfId="4" priority="129">
      <formula>AND($M144="Pendente",LEFT($D144,10)&lt;&gt;"Finalizado")</formula>
    </cfRule>
  </conditionalFormatting>
  <conditionalFormatting sqref="A145:N145">
    <cfRule type="expression" dxfId="3" priority="130">
      <formula>OR($M145="Validado",$M145="Finalizado",LEFT($D145,10)="Finalizado")</formula>
    </cfRule>
  </conditionalFormatting>
  <conditionalFormatting sqref="A145:N145">
    <cfRule type="expression" dxfId="4" priority="131">
      <formula>AND($M145="Pendente",LEFT($D145,10)&lt;&gt;"Finalizado")</formula>
    </cfRule>
  </conditionalFormatting>
  <conditionalFormatting sqref="A146:N146">
    <cfRule type="expression" dxfId="3" priority="132">
      <formula>OR($M146="Validado",$M146="Finalizado",LEFT($D146,10)="Finalizado")</formula>
    </cfRule>
  </conditionalFormatting>
  <conditionalFormatting sqref="A146:N146">
    <cfRule type="expression" dxfId="4" priority="133">
      <formula>AND($M146="Pendente",LEFT($D146,10)&lt;&gt;"Finalizado")</formula>
    </cfRule>
  </conditionalFormatting>
  <conditionalFormatting sqref="A147:N147">
    <cfRule type="expression" dxfId="3" priority="134">
      <formula>OR($M147="Validado",$M147="Finalizado",LEFT($D147,10)="Finalizado")</formula>
    </cfRule>
  </conditionalFormatting>
  <conditionalFormatting sqref="A147:N147">
    <cfRule type="expression" dxfId="4" priority="135">
      <formula>AND($M147="Pendente",LEFT($D147,10)&lt;&gt;"Finalizado")</formula>
    </cfRule>
  </conditionalFormatting>
  <conditionalFormatting sqref="A148:N148">
    <cfRule type="expression" dxfId="3" priority="136">
      <formula>OR($M148="Validado",$M148="Finalizado",LEFT($D148,10)="Finalizado")</formula>
    </cfRule>
  </conditionalFormatting>
  <conditionalFormatting sqref="A148:N148">
    <cfRule type="expression" dxfId="4" priority="137">
      <formula>AND($M148="Pendente",LEFT($D148,10)&lt;&gt;"Finalizado")</formula>
    </cfRule>
  </conditionalFormatting>
  <conditionalFormatting sqref="A149:N149">
    <cfRule type="expression" dxfId="3" priority="138">
      <formula>OR($M149="Validado",$M149="Finalizado",LEFT($D149,10)="Finalizado")</formula>
    </cfRule>
  </conditionalFormatting>
  <conditionalFormatting sqref="A149:N149">
    <cfRule type="expression" dxfId="4" priority="139">
      <formula>AND($M149="Pendente",LEFT($D149,10)&lt;&gt;"Finalizado")</formula>
    </cfRule>
  </conditionalFormatting>
  <conditionalFormatting sqref="A150:N150">
    <cfRule type="expression" dxfId="3" priority="140">
      <formula>OR($M150="Validado",$M150="Finalizado",LEFT($D150,10)="Finalizado")</formula>
    </cfRule>
  </conditionalFormatting>
  <conditionalFormatting sqref="A150:N150">
    <cfRule type="expression" dxfId="4" priority="141">
      <formula>AND($M150="Pendente",LEFT($D150,10)&lt;&gt;"Finalizado")</formula>
    </cfRule>
  </conditionalFormatting>
  <conditionalFormatting sqref="A151:N151">
    <cfRule type="expression" dxfId="3" priority="142">
      <formula>OR($M151="Validado",$M151="Finalizado",LEFT($D151,10)="Finalizado")</formula>
    </cfRule>
  </conditionalFormatting>
  <conditionalFormatting sqref="A151:N151">
    <cfRule type="expression" dxfId="4" priority="143">
      <formula>AND($M151="Pendente",LEFT($D151,10)&lt;&gt;"Finalizado")</formula>
    </cfRule>
  </conditionalFormatting>
  <conditionalFormatting sqref="A152:N152">
    <cfRule type="expression" dxfId="3" priority="144">
      <formula>OR($M152="Validado",$M152="Finalizado",LEFT($D152,10)="Finalizado")</formula>
    </cfRule>
  </conditionalFormatting>
  <conditionalFormatting sqref="A152:N152">
    <cfRule type="expression" dxfId="4" priority="145">
      <formula>AND($M152="Pendente",LEFT($D152,10)&lt;&gt;"Finalizado")</formula>
    </cfRule>
  </conditionalFormatting>
  <conditionalFormatting sqref="A153:N153">
    <cfRule type="expression" dxfId="3" priority="146">
      <formula>OR($M153="Validado",$M153="Finalizado",LEFT($D153,10)="Finalizado")</formula>
    </cfRule>
  </conditionalFormatting>
  <conditionalFormatting sqref="A153:N153">
    <cfRule type="expression" dxfId="4" priority="147">
      <formula>AND($M153="Pendente",LEFT($D153,10)&lt;&gt;"Finalizado")</formula>
    </cfRule>
  </conditionalFormatting>
  <conditionalFormatting sqref="A154:N154">
    <cfRule type="expression" dxfId="3" priority="148">
      <formula>OR($M154="Validado",$M154="Finalizado",LEFT($D154,10)="Finalizado")</formula>
    </cfRule>
  </conditionalFormatting>
  <conditionalFormatting sqref="A154:N154">
    <cfRule type="expression" dxfId="4" priority="149">
      <formula>AND($M154="Pendente",LEFT($D154,10)&lt;&gt;"Finalizado")</formula>
    </cfRule>
  </conditionalFormatting>
  <conditionalFormatting sqref="A155:N155">
    <cfRule type="expression" dxfId="3" priority="150">
      <formula>OR($M155="Validado",$M155="Finalizado",LEFT($D155,10)="Finalizado")</formula>
    </cfRule>
  </conditionalFormatting>
  <conditionalFormatting sqref="A155:N155">
    <cfRule type="expression" dxfId="4" priority="151">
      <formula>AND($M155="Pendente",LEFT($D155,10)&lt;&gt;"Finalizado")</formula>
    </cfRule>
  </conditionalFormatting>
  <conditionalFormatting sqref="A156:N156">
    <cfRule type="expression" dxfId="3" priority="152">
      <formula>OR($M156="Validado",$M156="Finalizado",LEFT($D156,10)="Finalizado")</formula>
    </cfRule>
  </conditionalFormatting>
  <conditionalFormatting sqref="A156:N156">
    <cfRule type="expression" dxfId="4" priority="153">
      <formula>AND($M156="Pendente",LEFT($D156,10)&lt;&gt;"Finalizado")</formula>
    </cfRule>
  </conditionalFormatting>
  <conditionalFormatting sqref="A157:N157">
    <cfRule type="expression" dxfId="3" priority="154">
      <formula>OR($M157="Validado",$M157="Finalizado",LEFT($D157,10)="Finalizado")</formula>
    </cfRule>
  </conditionalFormatting>
  <conditionalFormatting sqref="A157:N157">
    <cfRule type="expression" dxfId="4" priority="155">
      <formula>AND($M157="Pendente",LEFT($D157,10)&lt;&gt;"Finalizado")</formula>
    </cfRule>
  </conditionalFormatting>
  <conditionalFormatting sqref="A158:N158">
    <cfRule type="expression" dxfId="3" priority="156">
      <formula>OR($M158="Validado",$M158="Finalizado",LEFT($D158,10)="Finalizado")</formula>
    </cfRule>
  </conditionalFormatting>
  <conditionalFormatting sqref="A158:N158">
    <cfRule type="expression" dxfId="4" priority="157">
      <formula>AND($M158="Pendente",LEFT($D158,10)&lt;&gt;"Finalizado")</formula>
    </cfRule>
  </conditionalFormatting>
  <conditionalFormatting sqref="A159:N159">
    <cfRule type="expression" dxfId="3" priority="158">
      <formula>OR($M159="Validado",$M159="Finalizado",LEFT($D159,10)="Finalizado")</formula>
    </cfRule>
  </conditionalFormatting>
  <conditionalFormatting sqref="A159:N159">
    <cfRule type="expression" dxfId="4" priority="159">
      <formula>AND($M159="Pendente",LEFT($D159,10)&lt;&gt;"Finalizado")</formula>
    </cfRule>
  </conditionalFormatting>
  <conditionalFormatting sqref="A160:N160">
    <cfRule type="expression" dxfId="3" priority="160">
      <formula>OR($M160="Validado",$M160="Finalizado",LEFT($D160,10)="Finalizado")</formula>
    </cfRule>
  </conditionalFormatting>
  <conditionalFormatting sqref="A160:N160">
    <cfRule type="expression" dxfId="4" priority="161">
      <formula>AND($M160="Pendente",LEFT($D160,10)&lt;&gt;"Finalizado")</formula>
    </cfRule>
  </conditionalFormatting>
  <conditionalFormatting sqref="A161:N161">
    <cfRule type="expression" dxfId="3" priority="162">
      <formula>OR($M161="Validado",$M161="Finalizado",LEFT($D161,10)="Finalizado")</formula>
    </cfRule>
  </conditionalFormatting>
  <conditionalFormatting sqref="A161:N161">
    <cfRule type="expression" dxfId="4" priority="163">
      <formula>AND($M161="Pendente",LEFT($D161,10)&lt;&gt;"Finalizado")</formula>
    </cfRule>
  </conditionalFormatting>
  <conditionalFormatting sqref="A162:N162">
    <cfRule type="expression" dxfId="3" priority="164">
      <formula>OR($M162="Validado",$M162="Finalizado",LEFT($D162,10)="Finalizado")</formula>
    </cfRule>
  </conditionalFormatting>
  <conditionalFormatting sqref="A162:N162">
    <cfRule type="expression" dxfId="4" priority="165">
      <formula>AND($M162="Pendente",LEFT($D162,10)&lt;&gt;"Finalizado")</formula>
    </cfRule>
  </conditionalFormatting>
  <conditionalFormatting sqref="A167:N167">
    <cfRule type="expression" dxfId="3" priority="166">
      <formula>OR($M167="Validado",$M167="Finalizado",LEFT($D167,10)="Finalizado")</formula>
    </cfRule>
  </conditionalFormatting>
  <conditionalFormatting sqref="A167:N167">
    <cfRule type="expression" dxfId="4" priority="167">
      <formula>AND($M167="Pendente",LEFT($D167,10)&lt;&gt;"Finalizado")</formula>
    </cfRule>
  </conditionalFormatting>
  <conditionalFormatting sqref="A168:N168">
    <cfRule type="expression" dxfId="3" priority="168">
      <formula>OR($M168="Validado",$M168="Finalizado",LEFT($D168,10)="Finalizado")</formula>
    </cfRule>
  </conditionalFormatting>
  <conditionalFormatting sqref="A168:N168">
    <cfRule type="expression" dxfId="4" priority="169">
      <formula>AND($M168="Pendente",LEFT($D168,10)&lt;&gt;"Finalizado")</formula>
    </cfRule>
  </conditionalFormatting>
  <conditionalFormatting sqref="A169:N169">
    <cfRule type="expression" dxfId="3" priority="170">
      <formula>OR($M169="Validado",$M169="Finalizado",LEFT($D169,10)="Finalizado")</formula>
    </cfRule>
  </conditionalFormatting>
  <conditionalFormatting sqref="A169:N169">
    <cfRule type="expression" dxfId="4" priority="171">
      <formula>AND($M169="Pendente",LEFT($D169,10)&lt;&gt;"Finalizado")</formula>
    </cfRule>
  </conditionalFormatting>
  <conditionalFormatting sqref="A170:N170">
    <cfRule type="expression" dxfId="3" priority="172">
      <formula>OR($M170="Validado",$M170="Finalizado",LEFT($D170,10)="Finalizado")</formula>
    </cfRule>
  </conditionalFormatting>
  <conditionalFormatting sqref="A170:N170">
    <cfRule type="expression" dxfId="4" priority="173">
      <formula>AND($M170="Pendente",LEFT($D170,10)&lt;&gt;"Finalizado")</formula>
    </cfRule>
  </conditionalFormatting>
  <conditionalFormatting sqref="A171:N171">
    <cfRule type="expression" dxfId="3" priority="174">
      <formula>OR($M171="Validado",$M171="Finalizado",LEFT($D171,10)="Finalizado")</formula>
    </cfRule>
  </conditionalFormatting>
  <conditionalFormatting sqref="A171:N171">
    <cfRule type="expression" dxfId="4" priority="175">
      <formula>AND($M171="Pendente",LEFT($D171,10)&lt;&gt;"Finalizado")</formula>
    </cfRule>
  </conditionalFormatting>
  <conditionalFormatting sqref="A172:N172">
    <cfRule type="expression" dxfId="3" priority="176">
      <formula>OR($M172="Validado",$M172="Finalizado",LEFT($D172,10)="Finalizado")</formula>
    </cfRule>
  </conditionalFormatting>
  <conditionalFormatting sqref="A172:N172">
    <cfRule type="expression" dxfId="4" priority="177">
      <formula>AND($M172="Pendente",LEFT($D172,10)&lt;&gt;"Finalizado")</formula>
    </cfRule>
  </conditionalFormatting>
  <conditionalFormatting sqref="A173:N173">
    <cfRule type="expression" dxfId="3" priority="178">
      <formula>OR($M173="Validado",$M173="Finalizado",LEFT($D173,10)="Finalizado")</formula>
    </cfRule>
  </conditionalFormatting>
  <conditionalFormatting sqref="A173:N173">
    <cfRule type="expression" dxfId="4" priority="179">
      <formula>AND($M173="Pendente",LEFT($D173,10)&lt;&gt;"Finalizado")</formula>
    </cfRule>
  </conditionalFormatting>
  <conditionalFormatting sqref="A174:N174">
    <cfRule type="expression" dxfId="3" priority="180">
      <formula>OR($M174="Validado",$M174="Finalizado",LEFT($D174,10)="Finalizado")</formula>
    </cfRule>
  </conditionalFormatting>
  <conditionalFormatting sqref="A174:N174">
    <cfRule type="expression" dxfId="4" priority="181">
      <formula>AND($M174="Pendente",LEFT($D174,10)&lt;&gt;"Finalizado")</formula>
    </cfRule>
  </conditionalFormatting>
  <conditionalFormatting sqref="A175:N175">
    <cfRule type="expression" dxfId="3" priority="182">
      <formula>OR($M175="Validado",$M175="Finalizado",LEFT($D175,10)="Finalizado")</formula>
    </cfRule>
  </conditionalFormatting>
  <conditionalFormatting sqref="A175:N175">
    <cfRule type="expression" dxfId="4" priority="183">
      <formula>AND($M175="Pendente",LEFT($D175,10)&lt;&gt;"Finalizado")</formula>
    </cfRule>
  </conditionalFormatting>
  <conditionalFormatting sqref="A176:N176">
    <cfRule type="expression" dxfId="3" priority="184">
      <formula>OR($M176="Validado",$M176="Finalizado",LEFT($D176,10)="Finalizado")</formula>
    </cfRule>
  </conditionalFormatting>
  <conditionalFormatting sqref="A176:N176">
    <cfRule type="expression" dxfId="4" priority="185">
      <formula>AND($M176="Pendente",LEFT($D176,10)&lt;&gt;"Finalizado")</formula>
    </cfRule>
  </conditionalFormatting>
  <conditionalFormatting sqref="A177:N177">
    <cfRule type="expression" dxfId="3" priority="186">
      <formula>OR($M177="Validado",$M177="Finalizado",LEFT($D177,10)="Finalizado")</formula>
    </cfRule>
  </conditionalFormatting>
  <conditionalFormatting sqref="A177:N177">
    <cfRule type="expression" dxfId="4" priority="187">
      <formula>AND($M177="Pendente",LEFT($D177,10)&lt;&gt;"Finalizado")</formula>
    </cfRule>
  </conditionalFormatting>
  <conditionalFormatting sqref="A178:N178">
    <cfRule type="expression" dxfId="3" priority="188">
      <formula>OR($M178="Validado",$M178="Finalizado",LEFT($D178,10)="Finalizado")</formula>
    </cfRule>
  </conditionalFormatting>
  <conditionalFormatting sqref="A178:N178">
    <cfRule type="expression" dxfId="4" priority="189">
      <formula>AND($M178="Pendente",LEFT($D178,10)&lt;&gt;"Finalizado")</formula>
    </cfRule>
  </conditionalFormatting>
  <conditionalFormatting sqref="A179:N179">
    <cfRule type="expression" dxfId="3" priority="190">
      <formula>OR($M179="Validado",$M179="Finalizado",LEFT($D179,10)="Finalizado")</formula>
    </cfRule>
  </conditionalFormatting>
  <conditionalFormatting sqref="A179:N179">
    <cfRule type="expression" dxfId="4" priority="191">
      <formula>AND($M179="Pendente",LEFT($D179,10)&lt;&gt;"Finalizado")</formula>
    </cfRule>
  </conditionalFormatting>
  <conditionalFormatting sqref="A180:N180">
    <cfRule type="expression" dxfId="3" priority="192">
      <formula>OR($M180="Validado",$M180="Finalizado",LEFT($D180,10)="Finalizado")</formula>
    </cfRule>
  </conditionalFormatting>
  <conditionalFormatting sqref="A180:N180">
    <cfRule type="expression" dxfId="4" priority="193">
      <formula>AND($M180="Pendente",LEFT($D180,10)&lt;&gt;"Finalizado")</formula>
    </cfRule>
  </conditionalFormatting>
  <conditionalFormatting sqref="A181:N181">
    <cfRule type="expression" dxfId="3" priority="194">
      <formula>OR($M181="Validado",$M181="Finalizado",LEFT($D181,10)="Finalizado")</formula>
    </cfRule>
  </conditionalFormatting>
  <conditionalFormatting sqref="A181:N181">
    <cfRule type="expression" dxfId="4" priority="195">
      <formula>AND($M181="Pendente",LEFT($D181,10)&lt;&gt;"Finalizado")</formula>
    </cfRule>
  </conditionalFormatting>
  <conditionalFormatting sqref="A182:N182">
    <cfRule type="expression" dxfId="3" priority="196">
      <formula>OR($M182="Validado",$M182="Finalizado",LEFT($D182,10)="Finalizado")</formula>
    </cfRule>
  </conditionalFormatting>
  <conditionalFormatting sqref="A182:N182">
    <cfRule type="expression" dxfId="4" priority="197">
      <formula>AND($M182="Pendente",LEFT($D182,10)&lt;&gt;"Finalizado")</formula>
    </cfRule>
  </conditionalFormatting>
  <conditionalFormatting sqref="A183:N183">
    <cfRule type="expression" dxfId="3" priority="198">
      <formula>OR($M183="Validado",$M183="Finalizado",LEFT($D183,10)="Finalizado")</formula>
    </cfRule>
  </conditionalFormatting>
  <conditionalFormatting sqref="A183:N183">
    <cfRule type="expression" dxfId="4" priority="199">
      <formula>AND($M183="Pendente",LEFT($D183,10)&lt;&gt;"Finalizado")</formula>
    </cfRule>
  </conditionalFormatting>
  <conditionalFormatting sqref="A188:N188">
    <cfRule type="expression" dxfId="3" priority="200">
      <formula>OR($M188="Validado",$M188="Finalizado",LEFT($D188,10)="Finalizado")</formula>
    </cfRule>
  </conditionalFormatting>
  <conditionalFormatting sqref="A188:N188">
    <cfRule type="expression" dxfId="4" priority="201">
      <formula>AND($M188="Pendente",LEFT($D188,10)&lt;&gt;"Finalizado")</formula>
    </cfRule>
  </conditionalFormatting>
  <conditionalFormatting sqref="A189:N189">
    <cfRule type="expression" dxfId="3" priority="202">
      <formula>OR($M189="Validado",$M189="Finalizado",LEFT($D189,10)="Finalizado")</formula>
    </cfRule>
  </conditionalFormatting>
  <conditionalFormatting sqref="A189:N189">
    <cfRule type="expression" dxfId="4" priority="203">
      <formula>AND($M189="Pendente",LEFT($D189,10)&lt;&gt;"Finalizado")</formula>
    </cfRule>
  </conditionalFormatting>
  <conditionalFormatting sqref="A190:N190">
    <cfRule type="expression" dxfId="3" priority="204">
      <formula>OR($M190="Validado",$M190="Finalizado",LEFT($D190,10)="Finalizado")</formula>
    </cfRule>
  </conditionalFormatting>
  <conditionalFormatting sqref="A190:N190">
    <cfRule type="expression" dxfId="4" priority="205">
      <formula>AND($M190="Pendente",LEFT($D190,10)&lt;&gt;"Finalizado")</formula>
    </cfRule>
  </conditionalFormatting>
  <conditionalFormatting sqref="A191:N191">
    <cfRule type="expression" dxfId="3" priority="206">
      <formula>OR($M191="Validado",$M191="Finalizado",LEFT($D191,10)="Finalizado")</formula>
    </cfRule>
  </conditionalFormatting>
  <conditionalFormatting sqref="A191:N191">
    <cfRule type="expression" dxfId="4" priority="207">
      <formula>AND($M191="Pendente",LEFT($D191,10)&lt;&gt;"Finalizado")</formula>
    </cfRule>
  </conditionalFormatting>
  <conditionalFormatting sqref="A192:N192">
    <cfRule type="expression" dxfId="3" priority="208">
      <formula>OR($M192="Validado",$M192="Finalizado",LEFT($D192,10)="Finalizado")</formula>
    </cfRule>
  </conditionalFormatting>
  <conditionalFormatting sqref="A192:N192">
    <cfRule type="expression" dxfId="4" priority="209">
      <formula>AND($M192="Pendente",LEFT($D192,10)&lt;&gt;"Finalizado")</formula>
    </cfRule>
  </conditionalFormatting>
  <conditionalFormatting sqref="A193:N193">
    <cfRule type="expression" dxfId="3" priority="210">
      <formula>OR($M193="Validado",$M193="Finalizado",LEFT($D193,10)="Finalizado")</formula>
    </cfRule>
  </conditionalFormatting>
  <conditionalFormatting sqref="A193:N193">
    <cfRule type="expression" dxfId="4" priority="211">
      <formula>AND($M193="Pendente",LEFT($D193,10)&lt;&gt;"Finalizado")</formula>
    </cfRule>
  </conditionalFormatting>
  <conditionalFormatting sqref="A194:N194">
    <cfRule type="expression" dxfId="3" priority="212">
      <formula>OR($M194="Validado",$M194="Finalizado",LEFT($D194,10)="Finalizado")</formula>
    </cfRule>
  </conditionalFormatting>
  <conditionalFormatting sqref="A194:N194">
    <cfRule type="expression" dxfId="4" priority="213">
      <formula>AND($M194="Pendente",LEFT($D194,10)&lt;&gt;"Finalizado")</formula>
    </cfRule>
  </conditionalFormatting>
  <conditionalFormatting sqref="A195:N195">
    <cfRule type="expression" dxfId="3" priority="214">
      <formula>OR($M195="Validado",$M195="Finalizado",LEFT($D195,10)="Finalizado")</formula>
    </cfRule>
  </conditionalFormatting>
  <conditionalFormatting sqref="A195:N195">
    <cfRule type="expression" dxfId="4" priority="215">
      <formula>AND($M195="Pendente",LEFT($D195,10)&lt;&gt;"Finalizado")</formula>
    </cfRule>
  </conditionalFormatting>
  <conditionalFormatting sqref="A196:N196">
    <cfRule type="expression" dxfId="3" priority="216">
      <formula>OR($M196="Validado",$M196="Finalizado",LEFT($D196,10)="Finalizado")</formula>
    </cfRule>
  </conditionalFormatting>
  <conditionalFormatting sqref="A196:N196">
    <cfRule type="expression" dxfId="4" priority="217">
      <formula>AND($M196="Pendente",LEFT($D196,10)&lt;&gt;"Finalizado")</formula>
    </cfRule>
  </conditionalFormatting>
  <conditionalFormatting sqref="A197:N197">
    <cfRule type="expression" dxfId="3" priority="218">
      <formula>OR($M197="Validado",$M197="Finalizado",LEFT($D197,10)="Finalizado")</formula>
    </cfRule>
  </conditionalFormatting>
  <conditionalFormatting sqref="A197:N197">
    <cfRule type="expression" dxfId="4" priority="219">
      <formula>AND($M197="Pendente",LEFT($D197,10)&lt;&gt;"Finalizado")</formula>
    </cfRule>
  </conditionalFormatting>
  <conditionalFormatting sqref="A198:N198">
    <cfRule type="expression" dxfId="3" priority="220">
      <formula>OR($M198="Validado",$M198="Finalizado",LEFT($D198,10)="Finalizado")</formula>
    </cfRule>
  </conditionalFormatting>
  <conditionalFormatting sqref="A198:N198">
    <cfRule type="expression" dxfId="4" priority="221">
      <formula>AND($M198="Pendente",LEFT($D198,10)&lt;&gt;"Finalizado")</formula>
    </cfRule>
  </conditionalFormatting>
  <conditionalFormatting sqref="A199:N199">
    <cfRule type="expression" dxfId="3" priority="222">
      <formula>OR($M199="Validado",$M199="Finalizado",LEFT($D199,10)="Finalizado")</formula>
    </cfRule>
  </conditionalFormatting>
  <conditionalFormatting sqref="A199:N199">
    <cfRule type="expression" dxfId="4" priority="223">
      <formula>AND($M199="Pendente",LEFT($D199,10)&lt;&gt;"Finalizado")</formula>
    </cfRule>
  </conditionalFormatting>
  <conditionalFormatting sqref="A200:N200">
    <cfRule type="expression" dxfId="3" priority="224">
      <formula>OR($M200="Validado",$M200="Finalizado",LEFT($D200,10)="Finalizado")</formula>
    </cfRule>
  </conditionalFormatting>
  <conditionalFormatting sqref="A200:N200">
    <cfRule type="expression" dxfId="4" priority="225">
      <formula>AND($M200="Pendente",LEFT($D200,10)&lt;&gt;"Finalizado")</formula>
    </cfRule>
  </conditionalFormatting>
  <conditionalFormatting sqref="A201:N201">
    <cfRule type="expression" dxfId="3" priority="226">
      <formula>OR($M201="Validado",$M201="Finalizado",LEFT($D201,10)="Finalizado")</formula>
    </cfRule>
  </conditionalFormatting>
  <conditionalFormatting sqref="A201:N201">
    <cfRule type="expression" dxfId="4" priority="227">
      <formula>AND($M201="Pendente",LEFT($D201,10)&lt;&gt;"Finalizado")</formula>
    </cfRule>
  </conditionalFormatting>
  <conditionalFormatting sqref="A202:N202">
    <cfRule type="expression" dxfId="3" priority="228">
      <formula>OR($M202="Validado",$M202="Finalizado",LEFT($D202,10)="Finalizado")</formula>
    </cfRule>
  </conditionalFormatting>
  <conditionalFormatting sqref="A202:N202">
    <cfRule type="expression" dxfId="4" priority="229">
      <formula>AND($M202="Pendente",LEFT($D202,10)&lt;&gt;"Finalizado")</formula>
    </cfRule>
  </conditionalFormatting>
  <conditionalFormatting sqref="A207:N207">
    <cfRule type="expression" dxfId="3" priority="230">
      <formula>OR($M207="Validado",$M207="Finalizado",LEFT($D207,10)="Finalizado")</formula>
    </cfRule>
  </conditionalFormatting>
  <conditionalFormatting sqref="A207:N207">
    <cfRule type="expression" dxfId="4" priority="231">
      <formula>AND($M207="Pendente",LEFT($D207,10)&lt;&gt;"Finalizado")</formula>
    </cfRule>
  </conditionalFormatting>
  <conditionalFormatting sqref="A208:N208">
    <cfRule type="expression" dxfId="3" priority="232">
      <formula>OR($M208="Validado",$M208="Finalizado",LEFT($D208,10)="Finalizado")</formula>
    </cfRule>
  </conditionalFormatting>
  <conditionalFormatting sqref="A208:N208">
    <cfRule type="expression" dxfId="4" priority="233">
      <formula>AND($M208="Pendente",LEFT($D208,10)&lt;&gt;"Finalizado")</formula>
    </cfRule>
  </conditionalFormatting>
  <conditionalFormatting sqref="A209:N209">
    <cfRule type="expression" dxfId="3" priority="234">
      <formula>OR($M209="Validado",$M209="Finalizado",LEFT($D209,10)="Finalizado")</formula>
    </cfRule>
  </conditionalFormatting>
  <conditionalFormatting sqref="A209:N209">
    <cfRule type="expression" dxfId="4" priority="235">
      <formula>AND($M209="Pendente",LEFT($D209,10)&lt;&gt;"Finalizado")</formula>
    </cfRule>
  </conditionalFormatting>
  <conditionalFormatting sqref="A210:N210">
    <cfRule type="expression" dxfId="3" priority="236">
      <formula>OR($M210="Validado",$M210="Finalizado",LEFT($D210,10)="Finalizado")</formula>
    </cfRule>
  </conditionalFormatting>
  <conditionalFormatting sqref="A210:N210">
    <cfRule type="expression" dxfId="4" priority="237">
      <formula>AND($M210="Pendente",LEFT($D210,10)&lt;&gt;"Finalizado")</formula>
    </cfRule>
  </conditionalFormatting>
  <conditionalFormatting sqref="A211:N211">
    <cfRule type="expression" dxfId="3" priority="238">
      <formula>OR($M211="Validado",$M211="Finalizado",LEFT($D211,10)="Finalizado")</formula>
    </cfRule>
  </conditionalFormatting>
  <conditionalFormatting sqref="A211:N211">
    <cfRule type="expression" dxfId="4" priority="239">
      <formula>AND($M211="Pendente",LEFT($D211,10)&lt;&gt;"Finalizado")</formula>
    </cfRule>
  </conditionalFormatting>
  <conditionalFormatting sqref="A212:N212">
    <cfRule type="expression" dxfId="3" priority="240">
      <formula>OR($M212="Validado",$M212="Finalizado",LEFT($D212,10)="Finalizado")</formula>
    </cfRule>
  </conditionalFormatting>
  <conditionalFormatting sqref="A212:N212">
    <cfRule type="expression" dxfId="4" priority="241">
      <formula>AND($M212="Pendente",LEFT($D212,10)&lt;&gt;"Finalizado")</formula>
    </cfRule>
  </conditionalFormatting>
  <conditionalFormatting sqref="A213:N213">
    <cfRule type="expression" dxfId="3" priority="242">
      <formula>OR($M213="Validado",$M213="Finalizado",LEFT($D213,10)="Finalizado")</formula>
    </cfRule>
  </conditionalFormatting>
  <conditionalFormatting sqref="A213:N213">
    <cfRule type="expression" dxfId="4" priority="243">
      <formula>AND($M213="Pendente",LEFT($D213,10)&lt;&gt;"Finalizado")</formula>
    </cfRule>
  </conditionalFormatting>
  <conditionalFormatting sqref="A214:N214">
    <cfRule type="expression" dxfId="3" priority="244">
      <formula>OR($M214="Validado",$M214="Finalizado",LEFT($D214,10)="Finalizado")</formula>
    </cfRule>
  </conditionalFormatting>
  <conditionalFormatting sqref="A214:N214">
    <cfRule type="expression" dxfId="4" priority="245">
      <formula>AND($M214="Pendente",LEFT($D214,10)&lt;&gt;"Finalizado")</formula>
    </cfRule>
  </conditionalFormatting>
  <conditionalFormatting sqref="A215:N215">
    <cfRule type="expression" dxfId="3" priority="246">
      <formula>OR($M215="Validado",$M215="Finalizado",LEFT($D215,10)="Finalizado")</formula>
    </cfRule>
  </conditionalFormatting>
  <conditionalFormatting sqref="A215:N215">
    <cfRule type="expression" dxfId="4" priority="247">
      <formula>AND($M215="Pendente",LEFT($D215,10)&lt;&gt;"Finalizado")</formula>
    </cfRule>
  </conditionalFormatting>
  <conditionalFormatting sqref="A216:N216">
    <cfRule type="expression" dxfId="3" priority="248">
      <formula>OR($M216="Validado",$M216="Finalizado",LEFT($D216,10)="Finalizado")</formula>
    </cfRule>
  </conditionalFormatting>
  <conditionalFormatting sqref="A216:N216">
    <cfRule type="expression" dxfId="4" priority="249">
      <formula>AND($M216="Pendente",LEFT($D216,10)&lt;&gt;"Finalizado")</formula>
    </cfRule>
  </conditionalFormatting>
  <conditionalFormatting sqref="A217:N217">
    <cfRule type="expression" dxfId="3" priority="250">
      <formula>OR($M217="Validado",$M217="Finalizado",LEFT($D217,10)="Finalizado")</formula>
    </cfRule>
  </conditionalFormatting>
  <conditionalFormatting sqref="A217:N217">
    <cfRule type="expression" dxfId="4" priority="251">
      <formula>AND($M217="Pendente",LEFT($D217,10)&lt;&gt;"Finalizado")</formula>
    </cfRule>
  </conditionalFormatting>
  <conditionalFormatting sqref="A218:N218">
    <cfRule type="expression" dxfId="3" priority="252">
      <formula>OR($M218="Validado",$M218="Finalizado",LEFT($D218,10)="Finalizado")</formula>
    </cfRule>
  </conditionalFormatting>
  <conditionalFormatting sqref="A218:N218">
    <cfRule type="expression" dxfId="4" priority="253">
      <formula>AND($M218="Pendente",LEFT($D218,10)&lt;&gt;"Finalizado")</formula>
    </cfRule>
  </conditionalFormatting>
  <conditionalFormatting sqref="A219:N219">
    <cfRule type="expression" dxfId="3" priority="254">
      <formula>OR($M219="Validado",$M219="Finalizado",LEFT($D219,10)="Finalizado")</formula>
    </cfRule>
  </conditionalFormatting>
  <conditionalFormatting sqref="A219:N219">
    <cfRule type="expression" dxfId="4" priority="255">
      <formula>AND($M219="Pendente",LEFT($D219,10)&lt;&gt;"Finalizado")</formula>
    </cfRule>
  </conditionalFormatting>
  <conditionalFormatting sqref="A220:N220">
    <cfRule type="expression" dxfId="3" priority="256">
      <formula>OR($M220="Validado",$M220="Finalizado",LEFT($D220,10)="Finalizado")</formula>
    </cfRule>
  </conditionalFormatting>
  <conditionalFormatting sqref="A220:N220">
    <cfRule type="expression" dxfId="4" priority="257">
      <formula>AND($M220="Pendente",LEFT($D220,10)&lt;&gt;"Finalizado")</formula>
    </cfRule>
  </conditionalFormatting>
  <conditionalFormatting sqref="A225:N246">
    <cfRule type="expression" dxfId="5" priority="258">
      <formula>OR($M225="Validado",$M225="Finalizado")</formula>
    </cfRule>
  </conditionalFormatting>
  <conditionalFormatting sqref="A225:N246">
    <cfRule type="expression" dxfId="6" priority="259">
      <formula>AND($M225="Pendente",NOT(ISNUMBER(SEARCH("Falta Justificada",$D225))),NOT(ISNUMBER(SEARCH("Cancelado",$D225))),NOT(ISNUMBER(SEARCH("Desmarcado",$D225))))</formula>
    </cfRule>
  </conditionalFormatting>
  <conditionalFormatting sqref="A251:N265">
    <cfRule type="expression" dxfId="5" priority="260">
      <formula>OR($M251="Validado",$M251="Finalizado")</formula>
    </cfRule>
  </conditionalFormatting>
  <conditionalFormatting sqref="A251:N265">
    <cfRule type="expression" dxfId="6" priority="261">
      <formula>AND($M251="Pendente",NOT(ISNUMBER(SEARCH("Falta Justificada",$D251))),NOT(ISNUMBER(SEARCH("Cancelado",$D251))),NOT(ISNUMBER(SEARCH("Desmarcado",$D251))))</formula>
    </cfRule>
  </conditionalFormatting>
  <dataValidations>
    <dataValidation type="list" allowBlank="1" sqref="M130:M139 M144:M162 M167:M183 M188:M202 M207:M220 M225:M246 M251:M265">
      <formula1>"Pendente,Finalizado,Validado,Cancelado,Não se aplica"</formula1>
    </dataValidation>
    <dataValidation type="list" allowBlank="1" showErrorMessage="1" sqref="M111:M125">
      <formula1>"Cancelado,Finalizado,Pendente,Validado"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0.0"/>
    <col customWidth="1" min="3" max="3" width="11.0"/>
    <col customWidth="1" min="4" max="4" width="22.0"/>
    <col customWidth="1" min="5" max="5" width="28.0"/>
    <col customWidth="1" min="6" max="6" width="30.0"/>
    <col customWidth="1" min="7" max="7" width="38.0"/>
    <col customWidth="1" min="8" max="8" width="10.0"/>
    <col customWidth="1" min="9" max="9" width="20.0"/>
    <col customWidth="1" min="10" max="10" width="22.0"/>
    <col customWidth="1" min="11" max="11" width="50.0"/>
    <col customWidth="1" min="12" max="12" width="22.0"/>
    <col customWidth="1" min="13" max="13" width="18.0"/>
    <col customWidth="1" min="14" max="14" width="32.0"/>
  </cols>
  <sheetData>
    <row r="1">
      <c r="A1" s="1" t="s">
        <v>1139</v>
      </c>
    </row>
    <row r="3">
      <c r="A3" s="2" t="s">
        <v>2</v>
      </c>
    </row>
    <row r="4">
      <c r="A4" s="3" t="s">
        <v>41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1144</v>
      </c>
      <c r="C6" s="5" t="s">
        <v>235</v>
      </c>
      <c r="D6" s="5" t="s">
        <v>99</v>
      </c>
      <c r="E6" s="5" t="s">
        <v>37</v>
      </c>
      <c r="F6" s="5" t="s">
        <v>24</v>
      </c>
      <c r="G6" s="5" t="s">
        <v>1145</v>
      </c>
      <c r="H6" s="5" t="s">
        <v>105</v>
      </c>
      <c r="I6" s="5">
        <v>2.470804200031E12</v>
      </c>
      <c r="J6" s="5"/>
      <c r="K6" s="5" t="s">
        <v>107</v>
      </c>
      <c r="L6" s="5" t="s">
        <v>29</v>
      </c>
      <c r="M6" s="5" t="s">
        <v>30</v>
      </c>
      <c r="N6" s="5"/>
    </row>
    <row r="7">
      <c r="A7" s="5" t="s">
        <v>19</v>
      </c>
      <c r="B7" s="5" t="s">
        <v>1146</v>
      </c>
      <c r="C7" s="5" t="s">
        <v>177</v>
      </c>
      <c r="D7" s="5" t="s">
        <v>1147</v>
      </c>
      <c r="E7" s="5" t="s">
        <v>46</v>
      </c>
      <c r="F7" s="5" t="s">
        <v>67</v>
      </c>
      <c r="G7" s="5" t="s">
        <v>1148</v>
      </c>
      <c r="H7" s="5" t="s">
        <v>38</v>
      </c>
      <c r="I7" s="5">
        <v>2.520562601075E12</v>
      </c>
      <c r="J7" s="5" t="s">
        <v>1149</v>
      </c>
      <c r="K7" s="5" t="s">
        <v>57</v>
      </c>
      <c r="L7" s="5" t="s">
        <v>58</v>
      </c>
      <c r="M7" s="5" t="s">
        <v>30</v>
      </c>
      <c r="N7" s="5"/>
    </row>
    <row r="8">
      <c r="A8" s="5" t="s">
        <v>19</v>
      </c>
      <c r="B8" s="5" t="s">
        <v>1150</v>
      </c>
      <c r="C8" s="5" t="s">
        <v>61</v>
      </c>
      <c r="D8" s="5" t="s">
        <v>63</v>
      </c>
      <c r="E8" s="5" t="s">
        <v>77</v>
      </c>
      <c r="F8" s="5" t="s">
        <v>24</v>
      </c>
      <c r="G8" s="5" t="s">
        <v>1145</v>
      </c>
      <c r="H8" s="5" t="s">
        <v>66</v>
      </c>
      <c r="I8" s="5" t="s">
        <v>1151</v>
      </c>
      <c r="J8" s="5"/>
      <c r="K8" s="5" t="s">
        <v>28</v>
      </c>
      <c r="L8" s="5" t="s">
        <v>29</v>
      </c>
      <c r="M8" s="5" t="s">
        <v>30</v>
      </c>
      <c r="N8" s="5"/>
    </row>
    <row r="9">
      <c r="A9" s="5" t="s">
        <v>19</v>
      </c>
      <c r="B9" s="5" t="s">
        <v>1152</v>
      </c>
      <c r="C9" s="5" t="s">
        <v>71</v>
      </c>
      <c r="D9" s="5" t="s">
        <v>187</v>
      </c>
      <c r="E9" s="5" t="s">
        <v>37</v>
      </c>
      <c r="F9" s="5" t="s">
        <v>78</v>
      </c>
      <c r="G9" s="5" t="s">
        <v>1145</v>
      </c>
      <c r="H9" s="5" t="s">
        <v>55</v>
      </c>
      <c r="I9" s="5">
        <v>2.562165700003E12</v>
      </c>
      <c r="J9" s="5"/>
      <c r="K9" s="5" t="s">
        <v>28</v>
      </c>
      <c r="L9" s="5" t="s">
        <v>29</v>
      </c>
      <c r="M9" s="5" t="s">
        <v>30</v>
      </c>
      <c r="N9" s="5"/>
    </row>
    <row r="10">
      <c r="A10" s="5" t="s">
        <v>19</v>
      </c>
      <c r="B10" s="5" t="s">
        <v>1153</v>
      </c>
      <c r="C10" s="5" t="s">
        <v>142</v>
      </c>
      <c r="D10" s="5" t="s">
        <v>187</v>
      </c>
      <c r="E10" s="5" t="s">
        <v>73</v>
      </c>
      <c r="F10" s="5" t="s">
        <v>24</v>
      </c>
      <c r="G10" s="5" t="s">
        <v>1145</v>
      </c>
      <c r="H10" s="5" t="s">
        <v>55</v>
      </c>
      <c r="I10" s="5">
        <v>2.5752999E12</v>
      </c>
      <c r="J10" s="5"/>
      <c r="K10" s="5" t="s">
        <v>28</v>
      </c>
      <c r="L10" s="5" t="s">
        <v>29</v>
      </c>
      <c r="M10" s="5" t="s">
        <v>30</v>
      </c>
      <c r="N10" s="5"/>
    </row>
    <row r="11">
      <c r="A11" s="5" t="s">
        <v>19</v>
      </c>
      <c r="B11" s="5" t="s">
        <v>1154</v>
      </c>
      <c r="C11" s="5" t="s">
        <v>142</v>
      </c>
      <c r="D11" s="5" t="s">
        <v>99</v>
      </c>
      <c r="E11" s="5" t="s">
        <v>73</v>
      </c>
      <c r="F11" s="5" t="s">
        <v>24</v>
      </c>
      <c r="G11" s="5" t="s">
        <v>1145</v>
      </c>
      <c r="H11" s="5" t="s">
        <v>105</v>
      </c>
      <c r="I11" s="5" t="s">
        <v>1155</v>
      </c>
      <c r="J11" s="5"/>
      <c r="K11" s="5" t="s">
        <v>107</v>
      </c>
      <c r="L11" s="5" t="s">
        <v>29</v>
      </c>
      <c r="M11" s="5" t="s">
        <v>30</v>
      </c>
      <c r="N11" s="5"/>
    </row>
    <row r="13">
      <c r="A13" s="2" t="s">
        <v>170</v>
      </c>
    </row>
    <row r="14">
      <c r="A14" s="3" t="s">
        <v>1156</v>
      </c>
    </row>
    <row r="15">
      <c r="A15" s="4" t="s">
        <v>4</v>
      </c>
      <c r="B15" s="4" t="s">
        <v>6</v>
      </c>
      <c r="C15" s="4" t="s">
        <v>7</v>
      </c>
      <c r="D15" s="4" t="s">
        <v>8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4" t="s">
        <v>14</v>
      </c>
      <c r="K15" s="4" t="s">
        <v>15</v>
      </c>
      <c r="L15" s="4" t="s">
        <v>16</v>
      </c>
      <c r="M15" s="4" t="s">
        <v>17</v>
      </c>
      <c r="N15" s="4" t="s">
        <v>18</v>
      </c>
    </row>
    <row r="16">
      <c r="A16" s="5" t="s">
        <v>183</v>
      </c>
      <c r="B16" s="5" t="s">
        <v>1157</v>
      </c>
      <c r="C16" s="5" t="s">
        <v>124</v>
      </c>
      <c r="D16" s="5" t="s">
        <v>64</v>
      </c>
      <c r="E16" s="5" t="s">
        <v>37</v>
      </c>
      <c r="F16" s="5" t="s">
        <v>24</v>
      </c>
      <c r="G16" s="5" t="s">
        <v>1145</v>
      </c>
      <c r="H16" s="5" t="s">
        <v>70</v>
      </c>
      <c r="I16" s="5" t="s">
        <v>1158</v>
      </c>
      <c r="J16" s="5"/>
      <c r="K16" s="5" t="s">
        <v>40</v>
      </c>
      <c r="L16" s="5" t="s">
        <v>29</v>
      </c>
      <c r="M16" s="5" t="s">
        <v>30</v>
      </c>
      <c r="N16" s="5"/>
    </row>
    <row r="17">
      <c r="A17" s="5" t="s">
        <v>183</v>
      </c>
      <c r="B17" s="5" t="s">
        <v>1144</v>
      </c>
      <c r="C17" s="5" t="s">
        <v>235</v>
      </c>
      <c r="D17" s="5" t="s">
        <v>125</v>
      </c>
      <c r="E17" s="5" t="s">
        <v>37</v>
      </c>
      <c r="F17" s="5" t="s">
        <v>24</v>
      </c>
      <c r="G17" s="5" t="s">
        <v>1145</v>
      </c>
      <c r="H17" s="5" t="s">
        <v>130</v>
      </c>
      <c r="I17" s="5">
        <v>2.470804200031E12</v>
      </c>
      <c r="J17" s="5"/>
      <c r="K17" s="5" t="s">
        <v>28</v>
      </c>
      <c r="L17" s="5" t="s">
        <v>29</v>
      </c>
      <c r="M17" s="5" t="s">
        <v>30</v>
      </c>
      <c r="N17" s="5"/>
    </row>
    <row r="18">
      <c r="A18" s="5" t="s">
        <v>183</v>
      </c>
      <c r="B18" s="5" t="s">
        <v>1159</v>
      </c>
      <c r="C18" s="5" t="s">
        <v>177</v>
      </c>
      <c r="D18" s="5" t="s">
        <v>125</v>
      </c>
      <c r="E18" s="5" t="s">
        <v>73</v>
      </c>
      <c r="F18" s="5" t="s">
        <v>24</v>
      </c>
      <c r="G18" s="5" t="s">
        <v>1145</v>
      </c>
      <c r="H18" s="5" t="s">
        <v>130</v>
      </c>
      <c r="I18" s="5">
        <v>2.529959500006E12</v>
      </c>
      <c r="J18" s="5"/>
      <c r="K18" s="5" t="s">
        <v>28</v>
      </c>
      <c r="L18" s="5" t="s">
        <v>29</v>
      </c>
      <c r="M18" s="5" t="s">
        <v>30</v>
      </c>
      <c r="N18" s="5"/>
    </row>
    <row r="19">
      <c r="A19" s="5" t="s">
        <v>183</v>
      </c>
      <c r="B19" s="5" t="s">
        <v>1160</v>
      </c>
      <c r="C19" s="5" t="s">
        <v>94</v>
      </c>
      <c r="D19" s="5" t="s">
        <v>36</v>
      </c>
      <c r="E19" s="5" t="s">
        <v>53</v>
      </c>
      <c r="F19" s="5" t="s">
        <v>67</v>
      </c>
      <c r="G19" s="5" t="s">
        <v>1148</v>
      </c>
      <c r="H19" s="5" t="s">
        <v>38</v>
      </c>
      <c r="I19" s="5">
        <v>2.569041300007E12</v>
      </c>
      <c r="J19" s="5"/>
      <c r="K19" s="5" t="s">
        <v>40</v>
      </c>
      <c r="L19" s="5" t="s">
        <v>29</v>
      </c>
      <c r="M19" s="5" t="s">
        <v>30</v>
      </c>
      <c r="N19" s="5"/>
    </row>
    <row r="20">
      <c r="A20" s="5" t="s">
        <v>183</v>
      </c>
      <c r="B20" s="5" t="s">
        <v>1161</v>
      </c>
      <c r="C20" s="5" t="s">
        <v>50</v>
      </c>
      <c r="D20" s="5" t="s">
        <v>187</v>
      </c>
      <c r="E20" s="5" t="s">
        <v>73</v>
      </c>
      <c r="F20" s="5" t="s">
        <v>24</v>
      </c>
      <c r="G20" s="5" t="s">
        <v>1145</v>
      </c>
      <c r="H20" s="5" t="s">
        <v>55</v>
      </c>
      <c r="I20" s="5">
        <v>2.546700200025E12</v>
      </c>
      <c r="J20" s="5"/>
      <c r="K20" s="5" t="s">
        <v>28</v>
      </c>
      <c r="L20" s="5" t="s">
        <v>29</v>
      </c>
      <c r="M20" s="5" t="s">
        <v>30</v>
      </c>
      <c r="N20" s="5"/>
    </row>
    <row r="21" ht="15.75" customHeight="1"/>
    <row r="22" ht="15.75" customHeight="1">
      <c r="A22" s="2" t="s">
        <v>286</v>
      </c>
    </row>
    <row r="23" ht="15.75" customHeight="1">
      <c r="A23" s="3" t="s">
        <v>1162</v>
      </c>
    </row>
    <row r="24" ht="15.75" customHeight="1">
      <c r="A24" s="4" t="s">
        <v>4</v>
      </c>
      <c r="B24" s="4" t="s">
        <v>6</v>
      </c>
      <c r="C24" s="4" t="s">
        <v>7</v>
      </c>
      <c r="D24" s="4" t="s">
        <v>8</v>
      </c>
      <c r="E24" s="4" t="s">
        <v>9</v>
      </c>
      <c r="F24" s="4" t="s">
        <v>10</v>
      </c>
      <c r="G24" s="4" t="s">
        <v>11</v>
      </c>
      <c r="H24" s="4" t="s">
        <v>12</v>
      </c>
      <c r="I24" s="4" t="s">
        <v>13</v>
      </c>
      <c r="J24" s="4" t="s">
        <v>14</v>
      </c>
      <c r="K24" s="4" t="s">
        <v>15</v>
      </c>
      <c r="L24" s="4" t="s">
        <v>16</v>
      </c>
      <c r="M24" s="4" t="s">
        <v>17</v>
      </c>
      <c r="N24" s="4" t="s">
        <v>18</v>
      </c>
    </row>
    <row r="25" ht="15.75" customHeight="1">
      <c r="A25" s="5" t="s">
        <v>297</v>
      </c>
      <c r="B25" s="5" t="s">
        <v>1157</v>
      </c>
      <c r="C25" s="5" t="s">
        <v>124</v>
      </c>
      <c r="D25" s="5" t="s">
        <v>401</v>
      </c>
      <c r="E25" s="5" t="s">
        <v>37</v>
      </c>
      <c r="F25" s="5" t="s">
        <v>24</v>
      </c>
      <c r="G25" s="5" t="s">
        <v>1145</v>
      </c>
      <c r="H25" s="5" t="s">
        <v>101</v>
      </c>
      <c r="I25" s="5" t="s">
        <v>1158</v>
      </c>
      <c r="J25" s="5"/>
      <c r="K25" s="5" t="s">
        <v>348</v>
      </c>
      <c r="L25" s="5" t="s">
        <v>304</v>
      </c>
      <c r="M25" s="5" t="s">
        <v>59</v>
      </c>
      <c r="N25" s="5"/>
    </row>
    <row r="26" ht="15.75" customHeight="1">
      <c r="A26" s="5" t="s">
        <v>297</v>
      </c>
      <c r="B26" s="5" t="s">
        <v>1163</v>
      </c>
      <c r="C26" s="5" t="s">
        <v>35</v>
      </c>
      <c r="D26" s="5" t="s">
        <v>499</v>
      </c>
      <c r="E26" s="5" t="s">
        <v>65</v>
      </c>
      <c r="F26" s="5" t="s">
        <v>24</v>
      </c>
      <c r="G26" s="5" t="s">
        <v>1145</v>
      </c>
      <c r="H26" s="5" t="s">
        <v>26</v>
      </c>
      <c r="I26" s="5">
        <v>2.582628000007E12</v>
      </c>
      <c r="J26" s="5"/>
      <c r="K26" s="5" t="s">
        <v>302</v>
      </c>
      <c r="L26" s="5" t="s">
        <v>304</v>
      </c>
      <c r="M26" s="5" t="s">
        <v>59</v>
      </c>
      <c r="N26" s="5"/>
    </row>
    <row r="27" ht="15.75" customHeight="1">
      <c r="A27" s="5" t="s">
        <v>297</v>
      </c>
      <c r="B27" s="5" t="s">
        <v>1164</v>
      </c>
      <c r="C27" s="5" t="s">
        <v>112</v>
      </c>
      <c r="D27" s="5" t="s">
        <v>731</v>
      </c>
      <c r="E27" s="5" t="s">
        <v>73</v>
      </c>
      <c r="F27" s="5" t="s">
        <v>24</v>
      </c>
      <c r="G27" s="5" t="s">
        <v>1145</v>
      </c>
      <c r="H27" s="5" t="s">
        <v>38</v>
      </c>
      <c r="I27" s="5">
        <v>2.0</v>
      </c>
      <c r="J27" s="5"/>
      <c r="K27" s="5" t="s">
        <v>348</v>
      </c>
      <c r="L27" s="5" t="s">
        <v>304</v>
      </c>
      <c r="M27" s="5" t="s">
        <v>59</v>
      </c>
      <c r="N27" s="5"/>
    </row>
    <row r="28" ht="15.75" customHeight="1">
      <c r="A28" s="5" t="s">
        <v>297</v>
      </c>
      <c r="B28" s="5" t="s">
        <v>1165</v>
      </c>
      <c r="C28" s="5" t="s">
        <v>71</v>
      </c>
      <c r="D28" s="5" t="s">
        <v>443</v>
      </c>
      <c r="E28" s="5" t="s">
        <v>65</v>
      </c>
      <c r="F28" s="5" t="s">
        <v>24</v>
      </c>
      <c r="G28" s="5" t="s">
        <v>1145</v>
      </c>
      <c r="H28" s="5" t="s">
        <v>70</v>
      </c>
      <c r="I28" s="5">
        <v>2.482769300029E12</v>
      </c>
      <c r="J28" s="5"/>
      <c r="K28" s="5" t="s">
        <v>348</v>
      </c>
      <c r="L28" s="5" t="s">
        <v>304</v>
      </c>
      <c r="M28" s="5" t="s">
        <v>30</v>
      </c>
      <c r="N28" s="5"/>
    </row>
    <row r="29" ht="15.75" customHeight="1">
      <c r="A29" s="5" t="s">
        <v>297</v>
      </c>
      <c r="B29" s="5" t="s">
        <v>1167</v>
      </c>
      <c r="C29" s="5" t="s">
        <v>21</v>
      </c>
      <c r="D29" s="5" t="s">
        <v>331</v>
      </c>
      <c r="E29" s="5" t="s">
        <v>77</v>
      </c>
      <c r="F29" s="5" t="s">
        <v>24</v>
      </c>
      <c r="G29" s="5" t="s">
        <v>1145</v>
      </c>
      <c r="H29" s="5" t="s">
        <v>130</v>
      </c>
      <c r="I29" s="5">
        <v>2.561913100037E12</v>
      </c>
      <c r="J29" s="5"/>
      <c r="K29" s="5" t="s">
        <v>302</v>
      </c>
      <c r="L29" s="5" t="s">
        <v>304</v>
      </c>
      <c r="M29" s="5" t="s">
        <v>59</v>
      </c>
      <c r="N29" s="5"/>
    </row>
    <row r="30" ht="15.75" customHeight="1">
      <c r="A30" s="5" t="s">
        <v>297</v>
      </c>
      <c r="B30" s="5" t="s">
        <v>1168</v>
      </c>
      <c r="C30" s="5" t="s">
        <v>71</v>
      </c>
      <c r="D30" s="5" t="s">
        <v>821</v>
      </c>
      <c r="E30" s="5" t="s">
        <v>73</v>
      </c>
      <c r="F30" s="5" t="s">
        <v>24</v>
      </c>
      <c r="G30" s="5" t="s">
        <v>1145</v>
      </c>
      <c r="H30" s="5" t="s">
        <v>55</v>
      </c>
      <c r="I30" s="5">
        <v>2.452760801044E12</v>
      </c>
      <c r="J30" s="5"/>
      <c r="K30" s="5" t="s">
        <v>302</v>
      </c>
      <c r="L30" s="5" t="s">
        <v>304</v>
      </c>
      <c r="M30" s="5" t="s">
        <v>59</v>
      </c>
      <c r="N30" s="5"/>
    </row>
    <row r="31" ht="15.75" customHeight="1">
      <c r="A31" s="5" t="s">
        <v>297</v>
      </c>
      <c r="B31" s="5" t="s">
        <v>1159</v>
      </c>
      <c r="C31" s="5" t="s">
        <v>94</v>
      </c>
      <c r="D31" s="5" t="s">
        <v>821</v>
      </c>
      <c r="E31" s="5" t="s">
        <v>73</v>
      </c>
      <c r="F31" s="5" t="s">
        <v>24</v>
      </c>
      <c r="G31" s="5" t="s">
        <v>1145</v>
      </c>
      <c r="H31" s="5" t="s">
        <v>55</v>
      </c>
      <c r="I31" s="5">
        <v>2.529959500006E12</v>
      </c>
      <c r="J31" s="5"/>
      <c r="K31" s="5" t="s">
        <v>302</v>
      </c>
      <c r="L31" s="5" t="s">
        <v>304</v>
      </c>
      <c r="M31" s="5" t="s">
        <v>59</v>
      </c>
      <c r="N31" s="5"/>
    </row>
    <row r="32" ht="15.75" customHeight="1">
      <c r="A32" s="5" t="s">
        <v>297</v>
      </c>
      <c r="B32" s="5" t="s">
        <v>1152</v>
      </c>
      <c r="C32" s="5" t="s">
        <v>71</v>
      </c>
      <c r="D32" s="5" t="s">
        <v>443</v>
      </c>
      <c r="E32" s="5" t="s">
        <v>37</v>
      </c>
      <c r="F32" s="5" t="s">
        <v>24</v>
      </c>
      <c r="G32" s="5" t="s">
        <v>1145</v>
      </c>
      <c r="H32" s="5" t="s">
        <v>70</v>
      </c>
      <c r="I32" s="5">
        <v>2.562165700003E12</v>
      </c>
      <c r="J32" s="5"/>
      <c r="K32" s="5" t="s">
        <v>348</v>
      </c>
      <c r="L32" s="5" t="s">
        <v>304</v>
      </c>
      <c r="M32" s="5" t="s">
        <v>30</v>
      </c>
      <c r="N32" s="5"/>
    </row>
    <row r="33" ht="15.75" customHeight="1">
      <c r="A33" s="5" t="s">
        <v>297</v>
      </c>
      <c r="B33" s="5" t="s">
        <v>1161</v>
      </c>
      <c r="C33" s="5" t="s">
        <v>124</v>
      </c>
      <c r="D33" s="5" t="s">
        <v>499</v>
      </c>
      <c r="E33" s="5" t="s">
        <v>37</v>
      </c>
      <c r="F33" s="5" t="s">
        <v>24</v>
      </c>
      <c r="G33" s="5" t="s">
        <v>1145</v>
      </c>
      <c r="H33" s="5" t="s">
        <v>26</v>
      </c>
      <c r="I33" s="5">
        <v>2.546700200025E12</v>
      </c>
      <c r="J33" s="5"/>
      <c r="K33" s="5" t="s">
        <v>302</v>
      </c>
      <c r="L33" s="5" t="s">
        <v>304</v>
      </c>
      <c r="M33" s="5" t="s">
        <v>59</v>
      </c>
      <c r="N33" s="5"/>
    </row>
    <row r="34" ht="15.75" customHeight="1"/>
    <row r="35" ht="15.75" customHeight="1">
      <c r="A35" s="6" t="s">
        <v>414</v>
      </c>
    </row>
    <row r="36" ht="15.75" customHeight="1">
      <c r="A36" s="6" t="s">
        <v>41</v>
      </c>
    </row>
    <row r="37" ht="15.75" customHeight="1">
      <c r="A37" s="6" t="s">
        <v>4</v>
      </c>
      <c r="B37" s="6" t="s">
        <v>6</v>
      </c>
      <c r="C37" s="6" t="s">
        <v>7</v>
      </c>
      <c r="D37" s="6" t="s">
        <v>8</v>
      </c>
      <c r="E37" s="6" t="s">
        <v>9</v>
      </c>
      <c r="F37" s="6" t="s">
        <v>10</v>
      </c>
      <c r="G37" s="6" t="s">
        <v>11</v>
      </c>
      <c r="H37" s="6" t="s">
        <v>12</v>
      </c>
      <c r="I37" s="6" t="s">
        <v>13</v>
      </c>
      <c r="J37" s="6" t="s">
        <v>14</v>
      </c>
      <c r="K37" s="6" t="s">
        <v>15</v>
      </c>
      <c r="L37" s="6" t="s">
        <v>16</v>
      </c>
      <c r="M37" s="6" t="s">
        <v>17</v>
      </c>
      <c r="N37" s="6" t="s">
        <v>18</v>
      </c>
    </row>
    <row r="38" ht="15.75" customHeight="1">
      <c r="A38" s="8" t="s">
        <v>424</v>
      </c>
      <c r="B38" s="8" t="s">
        <v>1157</v>
      </c>
      <c r="C38" s="8" t="s">
        <v>457</v>
      </c>
      <c r="D38" s="8" t="s">
        <v>429</v>
      </c>
      <c r="E38" s="8" t="s">
        <v>459</v>
      </c>
      <c r="F38" s="8" t="s">
        <v>24</v>
      </c>
      <c r="G38" s="8" t="s">
        <v>431</v>
      </c>
      <c r="H38" s="8" t="s">
        <v>105</v>
      </c>
      <c r="I38" s="8" t="s">
        <v>1158</v>
      </c>
      <c r="J38" s="8"/>
      <c r="K38" s="8"/>
      <c r="L38" s="8"/>
      <c r="M38" s="8" t="s">
        <v>30</v>
      </c>
      <c r="N38" s="8"/>
    </row>
    <row r="39" ht="15.75" customHeight="1">
      <c r="A39" s="8" t="s">
        <v>424</v>
      </c>
      <c r="B39" s="8" t="s">
        <v>1172</v>
      </c>
      <c r="C39" s="8" t="s">
        <v>616</v>
      </c>
      <c r="D39" s="8" t="s">
        <v>429</v>
      </c>
      <c r="E39" s="8" t="s">
        <v>541</v>
      </c>
      <c r="F39" s="8" t="s">
        <v>24</v>
      </c>
      <c r="G39" s="8" t="s">
        <v>431</v>
      </c>
      <c r="H39" s="8" t="s">
        <v>156</v>
      </c>
      <c r="I39" s="8" t="s">
        <v>1151</v>
      </c>
      <c r="J39" s="8"/>
      <c r="K39" s="8"/>
      <c r="L39" s="8"/>
      <c r="M39" s="8" t="s">
        <v>30</v>
      </c>
      <c r="N39" s="8"/>
    </row>
    <row r="40" ht="15.75" customHeight="1">
      <c r="A40" s="8" t="s">
        <v>424</v>
      </c>
      <c r="B40" s="8" t="s">
        <v>1152</v>
      </c>
      <c r="C40" s="8" t="s">
        <v>435</v>
      </c>
      <c r="D40" s="8" t="s">
        <v>429</v>
      </c>
      <c r="E40" s="8" t="s">
        <v>459</v>
      </c>
      <c r="F40" s="8" t="s">
        <v>78</v>
      </c>
      <c r="G40" s="8" t="s">
        <v>431</v>
      </c>
      <c r="H40" s="8" t="s">
        <v>26</v>
      </c>
      <c r="I40" s="8" t="s">
        <v>1173</v>
      </c>
      <c r="J40" s="8"/>
      <c r="K40" s="8"/>
      <c r="L40" s="8"/>
      <c r="M40" s="8" t="s">
        <v>30</v>
      </c>
      <c r="N40" s="8"/>
    </row>
    <row r="41" ht="15.75" customHeight="1">
      <c r="A41" s="8" t="s">
        <v>424</v>
      </c>
      <c r="B41" s="8" t="s">
        <v>1153</v>
      </c>
      <c r="C41" s="8" t="s">
        <v>435</v>
      </c>
      <c r="D41" s="8" t="s">
        <v>429</v>
      </c>
      <c r="E41" s="8" t="s">
        <v>524</v>
      </c>
      <c r="F41" s="8" t="s">
        <v>24</v>
      </c>
      <c r="G41" s="8" t="s">
        <v>431</v>
      </c>
      <c r="H41" s="8" t="s">
        <v>26</v>
      </c>
      <c r="I41" s="8" t="s">
        <v>1174</v>
      </c>
      <c r="J41" s="8"/>
      <c r="K41" s="8"/>
      <c r="L41" s="8"/>
      <c r="M41" s="8" t="s">
        <v>30</v>
      </c>
      <c r="N41" s="8"/>
    </row>
    <row r="42" ht="15.75" customHeight="1">
      <c r="A42" s="13" t="s">
        <v>424</v>
      </c>
      <c r="B42" s="13" t="s">
        <v>1175</v>
      </c>
      <c r="C42" s="13" t="s">
        <v>608</v>
      </c>
      <c r="D42" s="13" t="s">
        <v>30</v>
      </c>
      <c r="E42" s="13" t="s">
        <v>946</v>
      </c>
      <c r="F42" s="13" t="s">
        <v>67</v>
      </c>
      <c r="G42" s="13" t="s">
        <v>976</v>
      </c>
      <c r="H42" s="13" t="s">
        <v>38</v>
      </c>
      <c r="I42" s="13" t="s">
        <v>1176</v>
      </c>
      <c r="J42" s="13"/>
      <c r="K42" s="13"/>
      <c r="L42" s="13"/>
      <c r="M42" s="13" t="s">
        <v>30</v>
      </c>
      <c r="N42" s="13"/>
    </row>
    <row r="43" ht="15.75" customHeight="1">
      <c r="A43" s="8" t="s">
        <v>424</v>
      </c>
      <c r="B43" s="8" t="s">
        <v>1154</v>
      </c>
      <c r="C43" s="8" t="s">
        <v>435</v>
      </c>
      <c r="D43" s="8" t="s">
        <v>429</v>
      </c>
      <c r="E43" s="8" t="s">
        <v>524</v>
      </c>
      <c r="F43" s="8" t="s">
        <v>24</v>
      </c>
      <c r="G43" s="8" t="s">
        <v>431</v>
      </c>
      <c r="H43" s="8" t="s">
        <v>130</v>
      </c>
      <c r="I43" s="8" t="s">
        <v>1155</v>
      </c>
      <c r="J43" s="8"/>
      <c r="K43" s="8"/>
      <c r="L43" s="8"/>
      <c r="M43" s="8" t="s">
        <v>30</v>
      </c>
      <c r="N43" s="8"/>
    </row>
    <row r="44" ht="15.75" customHeight="1"/>
    <row r="45" ht="15.75" customHeight="1">
      <c r="A45" s="6" t="s">
        <v>515</v>
      </c>
    </row>
    <row r="46" ht="15.75" customHeight="1">
      <c r="A46" s="6" t="s">
        <v>1162</v>
      </c>
    </row>
    <row r="47" ht="15.75" customHeight="1">
      <c r="A47" s="6" t="s">
        <v>4</v>
      </c>
      <c r="B47" s="6" t="s">
        <v>6</v>
      </c>
      <c r="C47" s="6" t="s">
        <v>7</v>
      </c>
      <c r="D47" s="6" t="s">
        <v>8</v>
      </c>
      <c r="E47" s="6" t="s">
        <v>9</v>
      </c>
      <c r="F47" s="6" t="s">
        <v>10</v>
      </c>
      <c r="G47" s="6" t="s">
        <v>11</v>
      </c>
      <c r="H47" s="6" t="s">
        <v>12</v>
      </c>
      <c r="I47" s="6" t="s">
        <v>13</v>
      </c>
      <c r="J47" s="6" t="s">
        <v>14</v>
      </c>
      <c r="K47" s="6" t="s">
        <v>15</v>
      </c>
      <c r="L47" s="6" t="s">
        <v>16</v>
      </c>
      <c r="M47" s="6" t="s">
        <v>17</v>
      </c>
      <c r="N47" s="6" t="s">
        <v>18</v>
      </c>
    </row>
    <row r="48" ht="15.75" customHeight="1">
      <c r="A48" s="8" t="s">
        <v>521</v>
      </c>
      <c r="B48" s="8" t="s">
        <v>1163</v>
      </c>
      <c r="C48" s="8" t="s">
        <v>591</v>
      </c>
      <c r="D48" s="8" t="s">
        <v>429</v>
      </c>
      <c r="E48" s="8" t="s">
        <v>556</v>
      </c>
      <c r="F48" s="8" t="s">
        <v>24</v>
      </c>
      <c r="G48" s="8" t="s">
        <v>431</v>
      </c>
      <c r="H48" s="8" t="s">
        <v>66</v>
      </c>
      <c r="I48" s="8" t="s">
        <v>1177</v>
      </c>
      <c r="J48" s="8"/>
      <c r="K48" s="8"/>
      <c r="L48" s="8"/>
      <c r="M48" s="8" t="s">
        <v>59</v>
      </c>
      <c r="N48" s="8"/>
    </row>
    <row r="49" ht="15.75" customHeight="1">
      <c r="A49" s="8" t="s">
        <v>521</v>
      </c>
      <c r="B49" s="8" t="s">
        <v>1164</v>
      </c>
      <c r="C49" s="8" t="s">
        <v>576</v>
      </c>
      <c r="D49" s="8" t="s">
        <v>429</v>
      </c>
      <c r="E49" s="8" t="s">
        <v>524</v>
      </c>
      <c r="F49" s="8" t="s">
        <v>24</v>
      </c>
      <c r="G49" s="8" t="s">
        <v>431</v>
      </c>
      <c r="H49" s="8" t="s">
        <v>70</v>
      </c>
      <c r="I49" s="8" t="s">
        <v>1178</v>
      </c>
      <c r="J49" s="8"/>
      <c r="K49" s="8"/>
      <c r="L49" s="8"/>
      <c r="M49" s="8" t="s">
        <v>30</v>
      </c>
      <c r="N49" s="8"/>
    </row>
    <row r="50" ht="15.75" customHeight="1">
      <c r="A50" s="8" t="s">
        <v>521</v>
      </c>
      <c r="B50" s="8" t="s">
        <v>1165</v>
      </c>
      <c r="C50" s="8" t="s">
        <v>469</v>
      </c>
      <c r="D50" s="8" t="s">
        <v>429</v>
      </c>
      <c r="E50" s="8" t="s">
        <v>556</v>
      </c>
      <c r="F50" s="8" t="s">
        <v>24</v>
      </c>
      <c r="G50" s="8" t="s">
        <v>431</v>
      </c>
      <c r="H50" s="8" t="s">
        <v>101</v>
      </c>
      <c r="I50" s="8" t="s">
        <v>1179</v>
      </c>
      <c r="J50" s="8"/>
      <c r="K50" s="8"/>
      <c r="L50" s="8"/>
      <c r="M50" s="8" t="s">
        <v>59</v>
      </c>
      <c r="N50" s="8"/>
    </row>
    <row r="51" ht="15.75" customHeight="1">
      <c r="A51" s="8" t="s">
        <v>521</v>
      </c>
      <c r="B51" s="8" t="s">
        <v>1167</v>
      </c>
      <c r="C51" s="8" t="s">
        <v>428</v>
      </c>
      <c r="D51" s="8" t="s">
        <v>429</v>
      </c>
      <c r="E51" s="8" t="s">
        <v>541</v>
      </c>
      <c r="F51" s="8" t="s">
        <v>24</v>
      </c>
      <c r="G51" s="8" t="s">
        <v>431</v>
      </c>
      <c r="H51" s="8" t="s">
        <v>55</v>
      </c>
      <c r="I51" s="8" t="s">
        <v>1180</v>
      </c>
      <c r="J51" s="8"/>
      <c r="K51" s="8"/>
      <c r="L51" s="8"/>
      <c r="M51" s="8" t="s">
        <v>30</v>
      </c>
      <c r="N51" s="8"/>
    </row>
    <row r="52" ht="15.75" customHeight="1">
      <c r="A52" s="8" t="s">
        <v>521</v>
      </c>
      <c r="B52" s="8" t="s">
        <v>1168</v>
      </c>
      <c r="C52" s="8" t="s">
        <v>469</v>
      </c>
      <c r="D52" s="8" t="s">
        <v>429</v>
      </c>
      <c r="E52" s="8" t="s">
        <v>524</v>
      </c>
      <c r="F52" s="8" t="s">
        <v>24</v>
      </c>
      <c r="G52" s="8" t="s">
        <v>431</v>
      </c>
      <c r="H52" s="8" t="s">
        <v>26</v>
      </c>
      <c r="I52" s="8" t="s">
        <v>1181</v>
      </c>
      <c r="J52" s="8"/>
      <c r="K52" s="8"/>
      <c r="L52" s="8"/>
      <c r="M52" s="8" t="s">
        <v>59</v>
      </c>
      <c r="N52" s="8"/>
    </row>
    <row r="53" ht="15.75" customHeight="1">
      <c r="A53" s="8" t="s">
        <v>521</v>
      </c>
      <c r="B53" s="8" t="s">
        <v>1159</v>
      </c>
      <c r="C53" s="8" t="s">
        <v>639</v>
      </c>
      <c r="D53" s="8" t="s">
        <v>429</v>
      </c>
      <c r="E53" s="8" t="s">
        <v>524</v>
      </c>
      <c r="F53" s="8" t="s">
        <v>24</v>
      </c>
      <c r="G53" s="8" t="s">
        <v>431</v>
      </c>
      <c r="H53" s="8" t="s">
        <v>26</v>
      </c>
      <c r="I53" s="8" t="s">
        <v>1182</v>
      </c>
      <c r="J53" s="8"/>
      <c r="K53" s="8"/>
      <c r="L53" s="8"/>
      <c r="M53" s="8" t="s">
        <v>59</v>
      </c>
      <c r="N53" s="8"/>
    </row>
    <row r="54" ht="15.75" customHeight="1">
      <c r="A54" s="8" t="s">
        <v>521</v>
      </c>
      <c r="B54" s="8" t="s">
        <v>1152</v>
      </c>
      <c r="C54" s="8" t="s">
        <v>469</v>
      </c>
      <c r="D54" s="8" t="s">
        <v>429</v>
      </c>
      <c r="E54" s="8" t="s">
        <v>459</v>
      </c>
      <c r="F54" s="8" t="s">
        <v>24</v>
      </c>
      <c r="G54" s="8" t="s">
        <v>431</v>
      </c>
      <c r="H54" s="8" t="s">
        <v>101</v>
      </c>
      <c r="I54" s="8" t="s">
        <v>1173</v>
      </c>
      <c r="J54" s="8"/>
      <c r="K54" s="8"/>
      <c r="L54" s="8"/>
      <c r="M54" s="8" t="s">
        <v>59</v>
      </c>
      <c r="N54" s="8"/>
    </row>
    <row r="55" ht="15.75" customHeight="1">
      <c r="A55" s="8" t="s">
        <v>521</v>
      </c>
      <c r="B55" s="8" t="s">
        <v>1183</v>
      </c>
      <c r="C55" s="8" t="s">
        <v>539</v>
      </c>
      <c r="D55" s="8" t="s">
        <v>429</v>
      </c>
      <c r="E55" s="8" t="s">
        <v>714</v>
      </c>
      <c r="F55" s="8" t="s">
        <v>85</v>
      </c>
      <c r="G55" s="8" t="s">
        <v>1080</v>
      </c>
      <c r="H55" s="8" t="s">
        <v>88</v>
      </c>
      <c r="I55" s="8" t="s">
        <v>1185</v>
      </c>
      <c r="J55" s="8"/>
      <c r="K55" s="8"/>
      <c r="L55" s="8"/>
      <c r="M55" s="8" t="s">
        <v>30</v>
      </c>
      <c r="N55" s="8"/>
    </row>
    <row r="56" ht="15.75" customHeight="1">
      <c r="A56" s="8" t="s">
        <v>521</v>
      </c>
      <c r="B56" s="8" t="s">
        <v>1183</v>
      </c>
      <c r="C56" s="8" t="s">
        <v>539</v>
      </c>
      <c r="D56" s="8" t="s">
        <v>429</v>
      </c>
      <c r="E56" s="8" t="s">
        <v>714</v>
      </c>
      <c r="F56" s="8" t="s">
        <v>67</v>
      </c>
      <c r="G56" s="8" t="s">
        <v>976</v>
      </c>
      <c r="H56" s="8" t="s">
        <v>105</v>
      </c>
      <c r="I56" s="8" t="s">
        <v>1185</v>
      </c>
      <c r="J56" s="8"/>
      <c r="K56" s="8"/>
      <c r="L56" s="8"/>
      <c r="M56" s="8" t="s">
        <v>30</v>
      </c>
      <c r="N56" s="8"/>
    </row>
    <row r="57" ht="15.75" customHeight="1"/>
    <row r="58" ht="15.75" customHeight="1">
      <c r="A58" s="6" t="s">
        <v>605</v>
      </c>
    </row>
    <row r="59" ht="15.75" customHeight="1">
      <c r="A59" s="6" t="s">
        <v>1188</v>
      </c>
    </row>
    <row r="60" ht="15.75" customHeight="1">
      <c r="A60" s="6" t="s">
        <v>4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  <c r="H60" s="6" t="s">
        <v>12</v>
      </c>
      <c r="I60" s="6" t="s">
        <v>13</v>
      </c>
      <c r="J60" s="6" t="s">
        <v>14</v>
      </c>
      <c r="K60" s="6" t="s">
        <v>15</v>
      </c>
      <c r="L60" s="6" t="s">
        <v>16</v>
      </c>
      <c r="M60" s="6" t="s">
        <v>17</v>
      </c>
      <c r="N60" s="6" t="s">
        <v>18</v>
      </c>
    </row>
    <row r="61" ht="15.75" customHeight="1">
      <c r="A61" s="6" t="s">
        <v>613</v>
      </c>
      <c r="B61" s="6" t="s">
        <v>1163</v>
      </c>
      <c r="C61" s="6" t="s">
        <v>501</v>
      </c>
      <c r="D61" s="6" t="s">
        <v>526</v>
      </c>
      <c r="E61" s="6" t="s">
        <v>556</v>
      </c>
      <c r="F61" s="6" t="s">
        <v>24</v>
      </c>
      <c r="G61" s="6" t="s">
        <v>1145</v>
      </c>
      <c r="H61" s="6" t="s">
        <v>66</v>
      </c>
      <c r="I61" s="6" t="s">
        <v>1177</v>
      </c>
      <c r="J61" s="6"/>
      <c r="K61" s="6"/>
      <c r="L61" s="6" t="s">
        <v>304</v>
      </c>
      <c r="M61" s="6" t="s">
        <v>59</v>
      </c>
      <c r="N61" s="6"/>
    </row>
    <row r="62" ht="15.75" customHeight="1">
      <c r="A62" s="6" t="s">
        <v>613</v>
      </c>
      <c r="B62" s="6" t="s">
        <v>1146</v>
      </c>
      <c r="C62" s="6" t="s">
        <v>445</v>
      </c>
      <c r="D62" s="6" t="s">
        <v>443</v>
      </c>
      <c r="E62" s="6" t="s">
        <v>946</v>
      </c>
      <c r="F62" s="6" t="s">
        <v>67</v>
      </c>
      <c r="G62" s="6" t="s">
        <v>1148</v>
      </c>
      <c r="H62" s="6" t="s">
        <v>70</v>
      </c>
      <c r="I62" s="6" t="s">
        <v>1190</v>
      </c>
      <c r="J62" s="6" t="s">
        <v>1149</v>
      </c>
      <c r="K62" s="6" t="s">
        <v>638</v>
      </c>
      <c r="L62" s="6" t="s">
        <v>304</v>
      </c>
      <c r="M62" s="6" t="s">
        <v>59</v>
      </c>
      <c r="N62" s="6"/>
    </row>
    <row r="63" ht="15.75" customHeight="1">
      <c r="A63" s="6" t="s">
        <v>613</v>
      </c>
      <c r="B63" s="6" t="s">
        <v>1172</v>
      </c>
      <c r="C63" s="6" t="s">
        <v>616</v>
      </c>
      <c r="D63" s="6" t="s">
        <v>365</v>
      </c>
      <c r="E63" s="6" t="s">
        <v>541</v>
      </c>
      <c r="F63" s="6" t="s">
        <v>24</v>
      </c>
      <c r="G63" s="6" t="s">
        <v>1145</v>
      </c>
      <c r="H63" s="6" t="s">
        <v>49</v>
      </c>
      <c r="I63" s="6" t="s">
        <v>1151</v>
      </c>
      <c r="J63" s="6"/>
      <c r="K63" s="6"/>
      <c r="L63" s="6" t="s">
        <v>304</v>
      </c>
      <c r="M63" s="6" t="s">
        <v>59</v>
      </c>
      <c r="N63" s="6"/>
    </row>
    <row r="64" ht="15.75" customHeight="1">
      <c r="A64" s="6" t="s">
        <v>613</v>
      </c>
      <c r="B64" s="6" t="s">
        <v>1152</v>
      </c>
      <c r="C64" s="6" t="s">
        <v>469</v>
      </c>
      <c r="D64" s="6" t="s">
        <v>526</v>
      </c>
      <c r="E64" s="6" t="s">
        <v>459</v>
      </c>
      <c r="F64" s="6" t="s">
        <v>78</v>
      </c>
      <c r="G64" s="6" t="s">
        <v>1145</v>
      </c>
      <c r="H64" s="6" t="s">
        <v>66</v>
      </c>
      <c r="I64" s="6" t="s">
        <v>1173</v>
      </c>
      <c r="L64" s="6" t="s">
        <v>304</v>
      </c>
      <c r="M64" s="6" t="s">
        <v>373</v>
      </c>
    </row>
    <row r="65" ht="15.75" customHeight="1"/>
    <row r="66" ht="15.75" customHeight="1">
      <c r="A66" s="16" t="s">
        <v>661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ht="15.75" customHeight="1">
      <c r="A67" s="17" t="s">
        <v>1191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ht="15.75" customHeight="1">
      <c r="A68" s="18" t="s">
        <v>4</v>
      </c>
      <c r="B68" s="18" t="s">
        <v>6</v>
      </c>
      <c r="C68" s="18" t="s">
        <v>7</v>
      </c>
      <c r="D68" s="18" t="s">
        <v>8</v>
      </c>
      <c r="E68" s="18" t="s">
        <v>9</v>
      </c>
      <c r="F68" s="18" t="s">
        <v>10</v>
      </c>
      <c r="G68" s="18" t="s">
        <v>11</v>
      </c>
      <c r="H68" s="18" t="s">
        <v>12</v>
      </c>
      <c r="I68" s="18" t="s">
        <v>13</v>
      </c>
      <c r="J68" s="18" t="s">
        <v>14</v>
      </c>
      <c r="K68" s="18" t="s">
        <v>15</v>
      </c>
      <c r="L68" s="18" t="s">
        <v>16</v>
      </c>
      <c r="M68" s="18" t="s">
        <v>17</v>
      </c>
      <c r="N68" s="18" t="s">
        <v>18</v>
      </c>
    </row>
    <row r="69" ht="15.75" customHeight="1">
      <c r="A69" s="6" t="s">
        <v>669</v>
      </c>
      <c r="B69" s="6" t="s">
        <v>1157</v>
      </c>
      <c r="C69" s="6" t="s">
        <v>684</v>
      </c>
      <c r="D69" s="6" t="s">
        <v>429</v>
      </c>
      <c r="E69" s="6" t="s">
        <v>459</v>
      </c>
      <c r="F69" s="6" t="s">
        <v>24</v>
      </c>
      <c r="G69" s="6" t="s">
        <v>431</v>
      </c>
      <c r="H69" s="6" t="s">
        <v>130</v>
      </c>
      <c r="I69" s="6" t="s">
        <v>1158</v>
      </c>
      <c r="J69" s="6"/>
      <c r="K69" s="6"/>
      <c r="L69" s="6" t="s">
        <v>304</v>
      </c>
      <c r="M69" s="6" t="s">
        <v>59</v>
      </c>
      <c r="N69" s="6"/>
    </row>
    <row r="70" ht="15.75" customHeight="1">
      <c r="A70" s="6" t="s">
        <v>669</v>
      </c>
      <c r="B70" s="6" t="s">
        <v>1194</v>
      </c>
      <c r="C70" s="6" t="s">
        <v>757</v>
      </c>
      <c r="D70" s="6" t="s">
        <v>429</v>
      </c>
      <c r="E70" s="6" t="s">
        <v>240</v>
      </c>
      <c r="F70" s="6" t="s">
        <v>241</v>
      </c>
      <c r="G70" s="6" t="s">
        <v>997</v>
      </c>
      <c r="H70" s="6" t="s">
        <v>1195</v>
      </c>
      <c r="I70" s="6" t="s">
        <v>1196</v>
      </c>
      <c r="J70" s="6" t="s">
        <v>1197</v>
      </c>
      <c r="K70" s="6" t="s">
        <v>674</v>
      </c>
      <c r="L70" s="6" t="s">
        <v>304</v>
      </c>
      <c r="M70" s="6" t="s">
        <v>59</v>
      </c>
      <c r="N70" s="6"/>
    </row>
    <row r="71" ht="15.75" customHeight="1">
      <c r="A71" s="6" t="s">
        <v>669</v>
      </c>
      <c r="B71" s="6" t="s">
        <v>1194</v>
      </c>
      <c r="C71" s="6" t="s">
        <v>757</v>
      </c>
      <c r="D71" s="6" t="s">
        <v>429</v>
      </c>
      <c r="E71" s="6" t="s">
        <v>240</v>
      </c>
      <c r="F71" s="6" t="s">
        <v>257</v>
      </c>
      <c r="G71" s="6" t="s">
        <v>1198</v>
      </c>
      <c r="H71" s="6" t="s">
        <v>1195</v>
      </c>
      <c r="I71" s="6" t="s">
        <v>1196</v>
      </c>
      <c r="J71" s="6"/>
      <c r="K71" s="6" t="s">
        <v>674</v>
      </c>
      <c r="L71" s="6" t="s">
        <v>304</v>
      </c>
      <c r="M71" s="6" t="s">
        <v>59</v>
      </c>
      <c r="N71" s="6"/>
    </row>
    <row r="72" ht="15.75" customHeight="1">
      <c r="A72" s="6" t="s">
        <v>669</v>
      </c>
      <c r="B72" s="6" t="s">
        <v>1160</v>
      </c>
      <c r="C72" s="6" t="s">
        <v>700</v>
      </c>
      <c r="D72" s="6" t="s">
        <v>553</v>
      </c>
      <c r="E72" s="6" t="s">
        <v>508</v>
      </c>
      <c r="F72" s="6" t="s">
        <v>67</v>
      </c>
      <c r="G72" s="6" t="s">
        <v>976</v>
      </c>
      <c r="H72" s="6" t="s">
        <v>558</v>
      </c>
      <c r="I72" s="6" t="s">
        <v>1201</v>
      </c>
      <c r="K72" s="6" t="s">
        <v>753</v>
      </c>
      <c r="M72" s="6"/>
    </row>
    <row r="73" ht="15.75" customHeight="1">
      <c r="A73" s="6" t="s">
        <v>669</v>
      </c>
      <c r="B73" s="6" t="s">
        <v>1160</v>
      </c>
      <c r="C73" s="6" t="s">
        <v>1202</v>
      </c>
      <c r="D73" s="6" t="s">
        <v>553</v>
      </c>
      <c r="E73" s="6" t="s">
        <v>240</v>
      </c>
      <c r="F73" s="6" t="s">
        <v>241</v>
      </c>
      <c r="G73" s="6" t="s">
        <v>1203</v>
      </c>
      <c r="H73" s="6" t="s">
        <v>783</v>
      </c>
      <c r="I73" s="6" t="s">
        <v>1201</v>
      </c>
      <c r="J73" s="6" t="s">
        <v>1204</v>
      </c>
      <c r="K73" s="6" t="s">
        <v>753</v>
      </c>
      <c r="M73" s="6"/>
    </row>
    <row r="74" ht="15.75" customHeight="1">
      <c r="A74" s="6" t="s">
        <v>669</v>
      </c>
      <c r="B74" s="6" t="s">
        <v>1205</v>
      </c>
      <c r="C74" s="6" t="s">
        <v>1206</v>
      </c>
      <c r="D74" s="6" t="s">
        <v>429</v>
      </c>
      <c r="E74" s="6" t="s">
        <v>240</v>
      </c>
      <c r="F74" s="6" t="s">
        <v>257</v>
      </c>
      <c r="G74" s="6" t="s">
        <v>1207</v>
      </c>
      <c r="H74" s="6" t="s">
        <v>396</v>
      </c>
      <c r="I74" s="6" t="s">
        <v>1208</v>
      </c>
      <c r="J74" s="6" t="s">
        <v>769</v>
      </c>
      <c r="K74" s="6" t="s">
        <v>724</v>
      </c>
      <c r="L74" s="6" t="s">
        <v>304</v>
      </c>
      <c r="M74" s="6" t="s">
        <v>373</v>
      </c>
    </row>
    <row r="75" ht="15.75" customHeight="1">
      <c r="A75" s="6" t="s">
        <v>669</v>
      </c>
      <c r="B75" s="6" t="s">
        <v>1205</v>
      </c>
      <c r="C75" s="6" t="s">
        <v>1209</v>
      </c>
      <c r="D75" s="6" t="s">
        <v>553</v>
      </c>
      <c r="E75" s="6" t="s">
        <v>240</v>
      </c>
      <c r="F75" s="6" t="s">
        <v>241</v>
      </c>
      <c r="G75" s="6" t="s">
        <v>997</v>
      </c>
      <c r="H75" s="6" t="s">
        <v>783</v>
      </c>
      <c r="I75" s="6" t="s">
        <v>1208</v>
      </c>
      <c r="J75" s="6" t="s">
        <v>769</v>
      </c>
      <c r="K75" s="6" t="s">
        <v>753</v>
      </c>
      <c r="M75" s="6"/>
    </row>
    <row r="76" ht="15.75" customHeight="1"/>
    <row r="77" ht="15.75" customHeight="1">
      <c r="A77" s="16" t="s">
        <v>738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ht="15.75" customHeight="1">
      <c r="A78" s="17" t="s">
        <v>419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ht="15.75" customHeight="1">
      <c r="A79" s="18" t="s">
        <v>4</v>
      </c>
      <c r="B79" s="18" t="s">
        <v>6</v>
      </c>
      <c r="C79" s="18" t="s">
        <v>7</v>
      </c>
      <c r="D79" s="18" t="s">
        <v>8</v>
      </c>
      <c r="E79" s="18" t="s">
        <v>9</v>
      </c>
      <c r="F79" s="18" t="s">
        <v>10</v>
      </c>
      <c r="G79" s="18" t="s">
        <v>11</v>
      </c>
      <c r="H79" s="18" t="s">
        <v>12</v>
      </c>
      <c r="I79" s="18" t="s">
        <v>13</v>
      </c>
      <c r="J79" s="18" t="s">
        <v>14</v>
      </c>
      <c r="K79" s="18" t="s">
        <v>15</v>
      </c>
      <c r="L79" s="18" t="s">
        <v>16</v>
      </c>
      <c r="M79" s="18" t="s">
        <v>17</v>
      </c>
      <c r="N79" s="18" t="s">
        <v>18</v>
      </c>
    </row>
    <row r="80" ht="15.75" customHeight="1">
      <c r="A80" s="6" t="s">
        <v>745</v>
      </c>
      <c r="B80" s="6" t="s">
        <v>1157</v>
      </c>
      <c r="C80" s="6" t="s">
        <v>684</v>
      </c>
      <c r="D80" s="6" t="s">
        <v>429</v>
      </c>
      <c r="E80" s="6" t="s">
        <v>459</v>
      </c>
      <c r="F80" s="6" t="s">
        <v>24</v>
      </c>
      <c r="G80" s="6" t="s">
        <v>431</v>
      </c>
      <c r="H80" s="6" t="s">
        <v>55</v>
      </c>
      <c r="I80" s="6" t="s">
        <v>1158</v>
      </c>
      <c r="J80" s="6"/>
      <c r="K80" s="6"/>
      <c r="L80" s="6" t="s">
        <v>304</v>
      </c>
      <c r="M80" s="6" t="s">
        <v>59</v>
      </c>
      <c r="N80" s="6"/>
    </row>
    <row r="81" ht="15.75" customHeight="1">
      <c r="A81" s="6" t="s">
        <v>745</v>
      </c>
      <c r="B81" s="6" t="s">
        <v>1210</v>
      </c>
      <c r="C81" s="6" t="s">
        <v>1209</v>
      </c>
      <c r="D81" s="6" t="s">
        <v>429</v>
      </c>
      <c r="E81" s="6" t="s">
        <v>240</v>
      </c>
      <c r="F81" s="6" t="s">
        <v>241</v>
      </c>
      <c r="G81" s="6" t="s">
        <v>997</v>
      </c>
      <c r="H81" s="6" t="s">
        <v>453</v>
      </c>
      <c r="I81" s="6" t="s">
        <v>1211</v>
      </c>
      <c r="J81" s="6"/>
      <c r="K81" s="6"/>
      <c r="L81" s="6" t="s">
        <v>304</v>
      </c>
      <c r="M81" s="6" t="s">
        <v>59</v>
      </c>
      <c r="N81" s="6"/>
    </row>
    <row r="82" ht="15.75" customHeight="1">
      <c r="A82" s="6" t="s">
        <v>745</v>
      </c>
      <c r="B82" s="6" t="s">
        <v>1168</v>
      </c>
      <c r="C82" s="6" t="s">
        <v>747</v>
      </c>
      <c r="D82" s="6" t="s">
        <v>429</v>
      </c>
      <c r="E82" s="6" t="s">
        <v>524</v>
      </c>
      <c r="F82" s="6" t="s">
        <v>24</v>
      </c>
      <c r="G82" s="6" t="s">
        <v>431</v>
      </c>
      <c r="H82" s="6" t="s">
        <v>66</v>
      </c>
      <c r="I82" s="6" t="s">
        <v>1181</v>
      </c>
      <c r="J82" s="6"/>
      <c r="K82" s="6"/>
      <c r="L82" s="6" t="s">
        <v>304</v>
      </c>
      <c r="M82" s="6" t="s">
        <v>59</v>
      </c>
      <c r="N82" s="6"/>
    </row>
    <row r="83" ht="15.75" customHeight="1">
      <c r="A83" s="6" t="s">
        <v>745</v>
      </c>
      <c r="B83" s="6" t="s">
        <v>1172</v>
      </c>
      <c r="C83" s="6" t="s">
        <v>848</v>
      </c>
      <c r="D83" s="6" t="s">
        <v>429</v>
      </c>
      <c r="E83" s="6" t="s">
        <v>541</v>
      </c>
      <c r="F83" s="6" t="s">
        <v>24</v>
      </c>
      <c r="G83" s="6" t="s">
        <v>431</v>
      </c>
      <c r="H83" s="6" t="s">
        <v>38</v>
      </c>
      <c r="I83" s="6" t="s">
        <v>1151</v>
      </c>
      <c r="J83" s="6"/>
      <c r="K83" s="6" t="s">
        <v>674</v>
      </c>
      <c r="L83" s="6" t="s">
        <v>304</v>
      </c>
      <c r="M83" s="6" t="s">
        <v>59</v>
      </c>
      <c r="N83" s="6"/>
    </row>
    <row r="84" ht="15.75" customHeight="1">
      <c r="A84" s="6" t="s">
        <v>745</v>
      </c>
      <c r="B84" s="6" t="s">
        <v>1152</v>
      </c>
      <c r="C84" s="6" t="s">
        <v>747</v>
      </c>
      <c r="D84" s="6" t="s">
        <v>429</v>
      </c>
      <c r="E84" s="6" t="s">
        <v>459</v>
      </c>
      <c r="F84" s="6" t="s">
        <v>24</v>
      </c>
      <c r="G84" s="6" t="s">
        <v>431</v>
      </c>
      <c r="H84" s="6" t="s">
        <v>807</v>
      </c>
      <c r="I84" s="6" t="s">
        <v>1173</v>
      </c>
      <c r="L84" s="6" t="s">
        <v>304</v>
      </c>
      <c r="M84" s="6" t="s">
        <v>373</v>
      </c>
    </row>
    <row r="85" ht="15.75" customHeight="1">
      <c r="A85" s="6" t="s">
        <v>745</v>
      </c>
      <c r="B85" s="6" t="s">
        <v>1152</v>
      </c>
      <c r="C85" s="6" t="s">
        <v>1037</v>
      </c>
      <c r="D85" s="6" t="s">
        <v>553</v>
      </c>
      <c r="E85" s="6" t="s">
        <v>459</v>
      </c>
      <c r="F85" s="6" t="s">
        <v>78</v>
      </c>
      <c r="G85" s="6" t="s">
        <v>431</v>
      </c>
      <c r="H85" s="6" t="s">
        <v>558</v>
      </c>
      <c r="I85" s="6" t="s">
        <v>1173</v>
      </c>
      <c r="K85" s="6" t="s">
        <v>753</v>
      </c>
      <c r="M85" s="6" t="s">
        <v>373</v>
      </c>
    </row>
    <row r="86" ht="15.75" customHeight="1">
      <c r="A86" s="6" t="s">
        <v>745</v>
      </c>
      <c r="B86" s="6" t="s">
        <v>1153</v>
      </c>
      <c r="C86" s="6" t="s">
        <v>770</v>
      </c>
      <c r="D86" s="6" t="s">
        <v>429</v>
      </c>
      <c r="E86" s="6" t="s">
        <v>524</v>
      </c>
      <c r="F86" s="6" t="s">
        <v>24</v>
      </c>
      <c r="G86" s="6" t="s">
        <v>431</v>
      </c>
      <c r="H86" s="6" t="s">
        <v>66</v>
      </c>
      <c r="I86" s="6" t="s">
        <v>1174</v>
      </c>
      <c r="J86" s="6"/>
      <c r="K86" s="6"/>
      <c r="L86" s="6" t="s">
        <v>304</v>
      </c>
      <c r="M86" s="6" t="s">
        <v>59</v>
      </c>
      <c r="N86" s="6"/>
    </row>
    <row r="87" ht="15.75" customHeight="1">
      <c r="A87" s="6" t="s">
        <v>745</v>
      </c>
      <c r="B87" s="6" t="s">
        <v>1175</v>
      </c>
      <c r="C87" s="6" t="s">
        <v>670</v>
      </c>
      <c r="D87" s="6" t="s">
        <v>429</v>
      </c>
      <c r="E87" s="6" t="s">
        <v>946</v>
      </c>
      <c r="F87" s="6" t="s">
        <v>67</v>
      </c>
      <c r="G87" s="6" t="s">
        <v>976</v>
      </c>
      <c r="H87" s="6" t="s">
        <v>70</v>
      </c>
      <c r="I87" s="6" t="s">
        <v>1176</v>
      </c>
      <c r="J87" s="6"/>
      <c r="K87" s="6" t="s">
        <v>674</v>
      </c>
      <c r="L87" s="6" t="s">
        <v>304</v>
      </c>
      <c r="M87" s="6" t="s">
        <v>59</v>
      </c>
      <c r="N87" s="6"/>
    </row>
    <row r="88" ht="15.75" customHeight="1">
      <c r="A88" s="6" t="s">
        <v>745</v>
      </c>
      <c r="B88" s="6" t="s">
        <v>1215</v>
      </c>
      <c r="C88" s="6" t="s">
        <v>1216</v>
      </c>
      <c r="D88" s="6" t="s">
        <v>429</v>
      </c>
      <c r="E88" s="6" t="s">
        <v>240</v>
      </c>
      <c r="F88" s="6" t="s">
        <v>257</v>
      </c>
      <c r="G88" s="6" t="s">
        <v>1217</v>
      </c>
      <c r="H88" s="6" t="s">
        <v>396</v>
      </c>
      <c r="I88" s="6" t="s">
        <v>1218</v>
      </c>
      <c r="K88" s="6" t="s">
        <v>724</v>
      </c>
      <c r="L88" s="6" t="s">
        <v>304</v>
      </c>
      <c r="M88" s="6" t="s">
        <v>373</v>
      </c>
    </row>
    <row r="89" ht="15.75" customHeight="1">
      <c r="A89" s="6" t="s">
        <v>745</v>
      </c>
      <c r="B89" s="6" t="s">
        <v>1215</v>
      </c>
      <c r="C89" s="6" t="s">
        <v>1202</v>
      </c>
      <c r="D89" s="6" t="s">
        <v>429</v>
      </c>
      <c r="E89" s="6" t="s">
        <v>240</v>
      </c>
      <c r="F89" s="6" t="s">
        <v>241</v>
      </c>
      <c r="G89" s="6" t="s">
        <v>997</v>
      </c>
      <c r="H89" s="6" t="s">
        <v>396</v>
      </c>
      <c r="I89" s="6" t="s">
        <v>1218</v>
      </c>
      <c r="J89" s="6" t="s">
        <v>1219</v>
      </c>
      <c r="K89" s="6" t="s">
        <v>724</v>
      </c>
      <c r="L89" s="6" t="s">
        <v>304</v>
      </c>
      <c r="M89" s="6" t="s">
        <v>373</v>
      </c>
    </row>
    <row r="90" ht="15.75" customHeight="1">
      <c r="A90" s="6" t="s">
        <v>745</v>
      </c>
      <c r="B90" s="6" t="s">
        <v>1154</v>
      </c>
      <c r="C90" s="6" t="s">
        <v>770</v>
      </c>
      <c r="D90" s="6" t="s">
        <v>429</v>
      </c>
      <c r="E90" s="6" t="s">
        <v>524</v>
      </c>
      <c r="F90" s="6" t="s">
        <v>24</v>
      </c>
      <c r="G90" s="6" t="s">
        <v>431</v>
      </c>
      <c r="H90" s="6" t="s">
        <v>26</v>
      </c>
      <c r="I90" s="6" t="s">
        <v>1155</v>
      </c>
      <c r="J90" s="6"/>
      <c r="K90" s="6"/>
      <c r="L90" s="6" t="s">
        <v>304</v>
      </c>
      <c r="M90" s="6" t="s">
        <v>59</v>
      </c>
      <c r="N90" s="6"/>
    </row>
    <row r="91" ht="15.75" customHeight="1"/>
    <row r="92" ht="15.75" customHeight="1">
      <c r="A92" s="16" t="s">
        <v>809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ht="15.75" customHeight="1">
      <c r="A93" s="17" t="s">
        <v>1191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ht="15.75" customHeight="1">
      <c r="A94" s="18" t="s">
        <v>4</v>
      </c>
      <c r="B94" s="18" t="s">
        <v>6</v>
      </c>
      <c r="C94" s="18" t="s">
        <v>7</v>
      </c>
      <c r="D94" s="18" t="s">
        <v>8</v>
      </c>
      <c r="E94" s="18" t="s">
        <v>9</v>
      </c>
      <c r="F94" s="18" t="s">
        <v>10</v>
      </c>
      <c r="G94" s="18" t="s">
        <v>11</v>
      </c>
      <c r="H94" s="18" t="s">
        <v>12</v>
      </c>
      <c r="I94" s="18" t="s">
        <v>13</v>
      </c>
      <c r="J94" s="18" t="s">
        <v>14</v>
      </c>
      <c r="K94" s="18" t="s">
        <v>15</v>
      </c>
      <c r="L94" s="18" t="s">
        <v>16</v>
      </c>
      <c r="M94" s="18" t="s">
        <v>17</v>
      </c>
      <c r="N94" s="18" t="s">
        <v>18</v>
      </c>
    </row>
    <row r="95" ht="15.75" customHeight="1">
      <c r="A95" s="6" t="s">
        <v>818</v>
      </c>
      <c r="B95" s="6" t="s">
        <v>1163</v>
      </c>
      <c r="C95" s="6" t="s">
        <v>705</v>
      </c>
      <c r="D95" s="6" t="s">
        <v>429</v>
      </c>
      <c r="E95" s="6" t="s">
        <v>556</v>
      </c>
      <c r="F95" s="6" t="s">
        <v>24</v>
      </c>
      <c r="G95" s="6" t="s">
        <v>431</v>
      </c>
      <c r="H95" s="6" t="s">
        <v>156</v>
      </c>
      <c r="I95" s="6" t="s">
        <v>1177</v>
      </c>
      <c r="J95" s="6"/>
      <c r="K95" s="6"/>
      <c r="L95" s="6" t="s">
        <v>304</v>
      </c>
      <c r="M95" s="6" t="s">
        <v>59</v>
      </c>
      <c r="N95" s="6"/>
    </row>
    <row r="96" ht="15.75" customHeight="1">
      <c r="A96" s="6" t="s">
        <v>818</v>
      </c>
      <c r="B96" s="6" t="s">
        <v>1164</v>
      </c>
      <c r="C96" s="6" t="s">
        <v>914</v>
      </c>
      <c r="D96" s="6" t="s">
        <v>429</v>
      </c>
      <c r="E96" s="6" t="s">
        <v>524</v>
      </c>
      <c r="F96" s="6" t="s">
        <v>24</v>
      </c>
      <c r="G96" s="6" t="s">
        <v>431</v>
      </c>
      <c r="H96" s="6" t="s">
        <v>101</v>
      </c>
      <c r="I96" s="6" t="s">
        <v>1220</v>
      </c>
      <c r="J96" s="6"/>
      <c r="K96" s="6" t="s">
        <v>820</v>
      </c>
      <c r="L96" s="6" t="s">
        <v>304</v>
      </c>
      <c r="M96" s="6" t="s">
        <v>59</v>
      </c>
      <c r="N96" s="6"/>
    </row>
    <row r="97" ht="15.75" customHeight="1">
      <c r="A97" s="6" t="s">
        <v>818</v>
      </c>
      <c r="B97" s="6" t="s">
        <v>1167</v>
      </c>
      <c r="C97" s="6" t="s">
        <v>672</v>
      </c>
      <c r="D97" s="6" t="s">
        <v>553</v>
      </c>
      <c r="E97" s="6" t="s">
        <v>541</v>
      </c>
      <c r="F97" s="6" t="s">
        <v>24</v>
      </c>
      <c r="G97" s="6" t="s">
        <v>431</v>
      </c>
      <c r="H97" s="6" t="s">
        <v>558</v>
      </c>
      <c r="I97" s="6" t="s">
        <v>1180</v>
      </c>
      <c r="K97" s="6" t="s">
        <v>824</v>
      </c>
      <c r="M97" s="6"/>
    </row>
    <row r="98" ht="15.75" customHeight="1">
      <c r="A98" s="6" t="s">
        <v>818</v>
      </c>
      <c r="B98" s="6" t="s">
        <v>1168</v>
      </c>
      <c r="C98" s="6" t="s">
        <v>747</v>
      </c>
      <c r="D98" s="6" t="s">
        <v>429</v>
      </c>
      <c r="E98" s="6" t="s">
        <v>524</v>
      </c>
      <c r="F98" s="6" t="s">
        <v>24</v>
      </c>
      <c r="G98" s="6" t="s">
        <v>431</v>
      </c>
      <c r="H98" s="6" t="s">
        <v>156</v>
      </c>
      <c r="I98" s="6" t="s">
        <v>1181</v>
      </c>
      <c r="J98" s="6"/>
      <c r="K98" s="6"/>
      <c r="L98" s="6" t="s">
        <v>304</v>
      </c>
      <c r="M98" s="6" t="s">
        <v>59</v>
      </c>
      <c r="N98" s="6"/>
    </row>
    <row r="99" ht="15.75" customHeight="1">
      <c r="A99" s="6" t="s">
        <v>818</v>
      </c>
      <c r="B99" s="6" t="s">
        <v>1159</v>
      </c>
      <c r="C99" s="6" t="s">
        <v>870</v>
      </c>
      <c r="D99" s="6" t="s">
        <v>429</v>
      </c>
      <c r="E99" s="6" t="s">
        <v>524</v>
      </c>
      <c r="F99" s="6" t="s">
        <v>24</v>
      </c>
      <c r="G99" s="6" t="s">
        <v>431</v>
      </c>
      <c r="H99" s="6" t="s">
        <v>66</v>
      </c>
      <c r="I99" s="6" t="s">
        <v>1182</v>
      </c>
      <c r="J99" s="6"/>
      <c r="K99" s="6"/>
      <c r="L99" s="6" t="s">
        <v>304</v>
      </c>
      <c r="M99" s="6" t="s">
        <v>59</v>
      </c>
      <c r="N99" s="6"/>
    </row>
    <row r="100" ht="15.75" customHeight="1">
      <c r="A100" s="6" t="s">
        <v>818</v>
      </c>
      <c r="B100" s="6" t="s">
        <v>1152</v>
      </c>
      <c r="C100" s="6" t="s">
        <v>747</v>
      </c>
      <c r="D100" s="6" t="s">
        <v>429</v>
      </c>
      <c r="E100" s="6" t="s">
        <v>459</v>
      </c>
      <c r="F100" s="6" t="s">
        <v>24</v>
      </c>
      <c r="G100" s="6" t="s">
        <v>431</v>
      </c>
      <c r="H100" s="6" t="s">
        <v>807</v>
      </c>
      <c r="I100" s="6" t="s">
        <v>1173</v>
      </c>
      <c r="J100" s="6"/>
      <c r="K100" s="6"/>
      <c r="L100" s="6" t="s">
        <v>304</v>
      </c>
      <c r="M100" s="6" t="s">
        <v>373</v>
      </c>
      <c r="N100" s="6"/>
    </row>
    <row r="101" ht="15.75" customHeight="1">
      <c r="A101" s="6" t="s">
        <v>818</v>
      </c>
      <c r="B101" s="6" t="s">
        <v>1183</v>
      </c>
      <c r="C101" s="6" t="s">
        <v>825</v>
      </c>
      <c r="D101" s="6" t="s">
        <v>429</v>
      </c>
      <c r="E101" s="6" t="s">
        <v>714</v>
      </c>
      <c r="F101" s="6" t="s">
        <v>67</v>
      </c>
      <c r="G101" s="6" t="s">
        <v>976</v>
      </c>
      <c r="H101" s="6" t="s">
        <v>130</v>
      </c>
      <c r="I101" s="6" t="s">
        <v>1185</v>
      </c>
      <c r="J101" s="6"/>
      <c r="K101" s="6"/>
      <c r="L101" s="6" t="s">
        <v>304</v>
      </c>
      <c r="M101" s="6" t="s">
        <v>59</v>
      </c>
      <c r="N101" s="6"/>
    </row>
    <row r="102" ht="15.75" customHeight="1"/>
    <row r="103" ht="15.75" customHeight="1">
      <c r="A103" s="16" t="s">
        <v>855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ht="15.75" customHeight="1">
      <c r="A104" s="17" t="s">
        <v>607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ht="15.75" customHeight="1">
      <c r="A105" s="18" t="s">
        <v>4</v>
      </c>
      <c r="B105" s="18" t="s">
        <v>6</v>
      </c>
      <c r="C105" s="18" t="s">
        <v>7</v>
      </c>
      <c r="D105" s="18" t="s">
        <v>8</v>
      </c>
      <c r="E105" s="18" t="s">
        <v>9</v>
      </c>
      <c r="F105" s="18" t="s">
        <v>10</v>
      </c>
      <c r="G105" s="18" t="s">
        <v>11</v>
      </c>
      <c r="H105" s="18" t="s">
        <v>12</v>
      </c>
      <c r="I105" s="18" t="s">
        <v>13</v>
      </c>
      <c r="J105" s="18" t="s">
        <v>14</v>
      </c>
      <c r="K105" s="18" t="s">
        <v>15</v>
      </c>
      <c r="L105" s="18" t="s">
        <v>16</v>
      </c>
      <c r="M105" s="18" t="s">
        <v>17</v>
      </c>
      <c r="N105" s="18" t="s">
        <v>18</v>
      </c>
    </row>
    <row r="106" ht="15.75" customHeight="1">
      <c r="A106" s="6" t="s">
        <v>863</v>
      </c>
      <c r="B106" s="6" t="s">
        <v>1144</v>
      </c>
      <c r="C106" s="6" t="s">
        <v>825</v>
      </c>
      <c r="D106" s="6" t="s">
        <v>429</v>
      </c>
      <c r="E106" s="6" t="s">
        <v>946</v>
      </c>
      <c r="F106" s="6" t="s">
        <v>24</v>
      </c>
      <c r="G106" s="6" t="s">
        <v>431</v>
      </c>
      <c r="H106" s="6" t="s">
        <v>55</v>
      </c>
      <c r="I106" s="6" t="s">
        <v>1225</v>
      </c>
      <c r="J106" s="6"/>
      <c r="K106" s="6"/>
      <c r="L106" s="6" t="s">
        <v>304</v>
      </c>
      <c r="M106" s="6" t="s">
        <v>59</v>
      </c>
      <c r="N106" s="6"/>
    </row>
    <row r="107" ht="15.75" customHeight="1">
      <c r="A107" s="6" t="s">
        <v>863</v>
      </c>
      <c r="B107" s="6" t="s">
        <v>1228</v>
      </c>
      <c r="C107" s="6" t="s">
        <v>1230</v>
      </c>
      <c r="D107" s="6" t="s">
        <v>429</v>
      </c>
      <c r="E107" s="6" t="s">
        <v>240</v>
      </c>
      <c r="F107" s="6" t="s">
        <v>241</v>
      </c>
      <c r="G107" s="6" t="s">
        <v>997</v>
      </c>
      <c r="H107" s="6" t="s">
        <v>453</v>
      </c>
      <c r="I107" s="6" t="s">
        <v>1231</v>
      </c>
      <c r="J107" s="6" t="s">
        <v>1232</v>
      </c>
      <c r="K107" s="6"/>
      <c r="L107" s="6" t="s">
        <v>304</v>
      </c>
      <c r="M107" s="6" t="s">
        <v>59</v>
      </c>
      <c r="N107" s="6"/>
    </row>
    <row r="108" ht="15.75" customHeight="1">
      <c r="A108" s="6" t="s">
        <v>863</v>
      </c>
      <c r="B108" s="6" t="s">
        <v>1228</v>
      </c>
      <c r="C108" s="6" t="s">
        <v>1230</v>
      </c>
      <c r="D108" s="6" t="s">
        <v>429</v>
      </c>
      <c r="E108" s="6" t="s">
        <v>240</v>
      </c>
      <c r="F108" s="6" t="s">
        <v>257</v>
      </c>
      <c r="G108" s="6" t="s">
        <v>1217</v>
      </c>
      <c r="H108" s="6" t="s">
        <v>453</v>
      </c>
      <c r="I108" s="6" t="s">
        <v>1231</v>
      </c>
      <c r="J108" s="6"/>
      <c r="K108" s="6"/>
      <c r="L108" s="6" t="s">
        <v>304</v>
      </c>
      <c r="M108" s="6" t="s">
        <v>59</v>
      </c>
      <c r="N108" s="6"/>
    </row>
    <row r="109" ht="15.75" customHeight="1">
      <c r="A109" s="6" t="s">
        <v>863</v>
      </c>
      <c r="B109" s="6" t="s">
        <v>1146</v>
      </c>
      <c r="C109" s="6" t="s">
        <v>764</v>
      </c>
      <c r="D109" s="6" t="s">
        <v>553</v>
      </c>
      <c r="E109" s="6" t="s">
        <v>946</v>
      </c>
      <c r="F109" s="6" t="s">
        <v>67</v>
      </c>
      <c r="G109" s="6" t="s">
        <v>976</v>
      </c>
      <c r="H109" s="6" t="s">
        <v>558</v>
      </c>
      <c r="I109" s="6" t="s">
        <v>1190</v>
      </c>
      <c r="J109" s="6" t="s">
        <v>1149</v>
      </c>
      <c r="K109" s="6" t="s">
        <v>824</v>
      </c>
      <c r="M109" s="6"/>
    </row>
    <row r="110" ht="15.75" customHeight="1">
      <c r="A110" s="6" t="s">
        <v>863</v>
      </c>
      <c r="B110" s="6" t="s">
        <v>1172</v>
      </c>
      <c r="C110" s="6" t="s">
        <v>848</v>
      </c>
      <c r="D110" s="6" t="s">
        <v>429</v>
      </c>
      <c r="E110" s="6" t="s">
        <v>541</v>
      </c>
      <c r="F110" s="6" t="s">
        <v>24</v>
      </c>
      <c r="G110" s="6" t="s">
        <v>431</v>
      </c>
      <c r="H110" s="6" t="s">
        <v>70</v>
      </c>
      <c r="I110" s="6" t="s">
        <v>1151</v>
      </c>
      <c r="J110" s="6"/>
      <c r="K110" s="6" t="s">
        <v>820</v>
      </c>
      <c r="L110" s="6" t="s">
        <v>304</v>
      </c>
      <c r="M110" s="6" t="s">
        <v>59</v>
      </c>
      <c r="N110" s="6"/>
    </row>
    <row r="111" ht="15.75" customHeight="1">
      <c r="A111" s="6" t="s">
        <v>863</v>
      </c>
      <c r="B111" s="6" t="s">
        <v>1152</v>
      </c>
      <c r="C111" s="6" t="s">
        <v>805</v>
      </c>
      <c r="D111" s="6" t="s">
        <v>553</v>
      </c>
      <c r="E111" s="6" t="s">
        <v>459</v>
      </c>
      <c r="F111" s="6" t="s">
        <v>78</v>
      </c>
      <c r="G111" s="6" t="s">
        <v>431</v>
      </c>
      <c r="H111" s="6" t="s">
        <v>558</v>
      </c>
      <c r="I111" s="6" t="s">
        <v>1173</v>
      </c>
      <c r="K111" s="6" t="s">
        <v>824</v>
      </c>
      <c r="M111" s="6"/>
    </row>
    <row r="112" ht="15.75" customHeight="1">
      <c r="A112" s="6" t="s">
        <v>863</v>
      </c>
      <c r="B112" s="6" t="s">
        <v>1153</v>
      </c>
      <c r="C112" s="6" t="s">
        <v>770</v>
      </c>
      <c r="D112" s="6" t="s">
        <v>429</v>
      </c>
      <c r="E112" s="6" t="s">
        <v>524</v>
      </c>
      <c r="F112" s="6" t="s">
        <v>24</v>
      </c>
      <c r="G112" s="6" t="s">
        <v>431</v>
      </c>
      <c r="H112" s="6" t="s">
        <v>156</v>
      </c>
      <c r="I112" s="6" t="s">
        <v>1174</v>
      </c>
      <c r="J112" s="6"/>
      <c r="K112" s="6"/>
      <c r="L112" s="6" t="s">
        <v>304</v>
      </c>
      <c r="M112" s="6" t="s">
        <v>59</v>
      </c>
      <c r="N112" s="6"/>
    </row>
    <row r="113" ht="15.75" customHeight="1">
      <c r="A113" s="6" t="s">
        <v>863</v>
      </c>
      <c r="B113" s="6" t="s">
        <v>1154</v>
      </c>
      <c r="C113" s="6" t="s">
        <v>770</v>
      </c>
      <c r="D113" s="6" t="s">
        <v>429</v>
      </c>
      <c r="E113" s="6" t="s">
        <v>524</v>
      </c>
      <c r="F113" s="6" t="s">
        <v>24</v>
      </c>
      <c r="G113" s="6" t="s">
        <v>431</v>
      </c>
      <c r="H113" s="6" t="s">
        <v>66</v>
      </c>
      <c r="I113" s="6" t="s">
        <v>1155</v>
      </c>
      <c r="J113" s="6"/>
      <c r="K113" s="6"/>
      <c r="L113" s="6" t="s">
        <v>304</v>
      </c>
      <c r="M113" s="6" t="s">
        <v>59</v>
      </c>
      <c r="N113" s="6"/>
    </row>
    <row r="114" ht="15.75" customHeight="1"/>
    <row r="115" ht="15.75" customHeight="1">
      <c r="A115" s="16" t="s">
        <v>900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ht="15.75" customHeight="1">
      <c r="A116" s="17" t="s">
        <v>1188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 ht="15.75" customHeight="1">
      <c r="A117" s="18" t="s">
        <v>4</v>
      </c>
      <c r="B117" s="18" t="s">
        <v>6</v>
      </c>
      <c r="C117" s="18" t="s">
        <v>7</v>
      </c>
      <c r="D117" s="18" t="s">
        <v>8</v>
      </c>
      <c r="E117" s="18" t="s">
        <v>9</v>
      </c>
      <c r="F117" s="18" t="s">
        <v>10</v>
      </c>
      <c r="G117" s="18" t="s">
        <v>11</v>
      </c>
      <c r="H117" s="18" t="s">
        <v>12</v>
      </c>
      <c r="I117" s="18" t="s">
        <v>13</v>
      </c>
      <c r="J117" s="18" t="s">
        <v>14</v>
      </c>
      <c r="K117" s="18" t="s">
        <v>15</v>
      </c>
      <c r="L117" s="18" t="s">
        <v>16</v>
      </c>
      <c r="M117" s="18" t="s">
        <v>17</v>
      </c>
      <c r="N117" s="18" t="s">
        <v>18</v>
      </c>
    </row>
    <row r="118" ht="15.75" customHeight="1">
      <c r="A118" s="6" t="s">
        <v>903</v>
      </c>
      <c r="B118" s="6" t="s">
        <v>1157</v>
      </c>
      <c r="C118" s="6" t="s">
        <v>124</v>
      </c>
      <c r="D118" s="6" t="s">
        <v>499</v>
      </c>
      <c r="E118" s="6" t="s">
        <v>37</v>
      </c>
      <c r="F118" s="6" t="s">
        <v>24</v>
      </c>
      <c r="G118" s="6" t="s">
        <v>1145</v>
      </c>
      <c r="H118" s="6" t="s">
        <v>26</v>
      </c>
      <c r="I118" s="6" t="s">
        <v>1158</v>
      </c>
      <c r="J118" s="6"/>
      <c r="K118" s="6"/>
      <c r="L118" s="6" t="s">
        <v>304</v>
      </c>
      <c r="M118" s="6" t="s">
        <v>59</v>
      </c>
      <c r="N118" s="6"/>
    </row>
    <row r="119" ht="15.75" customHeight="1">
      <c r="A119" s="6" t="s">
        <v>903</v>
      </c>
      <c r="B119" s="6" t="s">
        <v>1159</v>
      </c>
      <c r="C119" s="6" t="s">
        <v>177</v>
      </c>
      <c r="D119" s="6" t="s">
        <v>299</v>
      </c>
      <c r="E119" s="6" t="s">
        <v>73</v>
      </c>
      <c r="F119" s="6" t="s">
        <v>24</v>
      </c>
      <c r="G119" s="6" t="s">
        <v>1145</v>
      </c>
      <c r="H119" s="6" t="s">
        <v>156</v>
      </c>
      <c r="I119" s="6" t="s">
        <v>1182</v>
      </c>
      <c r="J119" s="6"/>
      <c r="K119" s="6"/>
      <c r="L119" s="6" t="s">
        <v>304</v>
      </c>
      <c r="M119" s="6" t="s">
        <v>59</v>
      </c>
      <c r="N119" s="6"/>
    </row>
    <row r="120" ht="15.75" customHeight="1">
      <c r="A120" s="6" t="s">
        <v>903</v>
      </c>
      <c r="B120" s="6" t="s">
        <v>1154</v>
      </c>
      <c r="C120" s="6" t="s">
        <v>177</v>
      </c>
      <c r="D120" s="6" t="s">
        <v>299</v>
      </c>
      <c r="E120" s="6" t="s">
        <v>73</v>
      </c>
      <c r="F120" s="6" t="s">
        <v>24</v>
      </c>
      <c r="G120" s="6" t="s">
        <v>1145</v>
      </c>
      <c r="H120" s="6" t="s">
        <v>156</v>
      </c>
      <c r="I120" s="6" t="s">
        <v>1155</v>
      </c>
      <c r="J120" s="6"/>
      <c r="K120" s="6"/>
      <c r="L120" s="6" t="s">
        <v>304</v>
      </c>
      <c r="M120" s="6" t="s">
        <v>59</v>
      </c>
      <c r="N120" s="6"/>
    </row>
    <row r="121" ht="15.75" customHeight="1">
      <c r="A121" s="6" t="s">
        <v>903</v>
      </c>
      <c r="B121" s="6" t="s">
        <v>1161</v>
      </c>
      <c r="C121" s="6" t="s">
        <v>124</v>
      </c>
      <c r="D121" s="6" t="s">
        <v>526</v>
      </c>
      <c r="E121" s="6" t="s">
        <v>37</v>
      </c>
      <c r="F121" s="6" t="s">
        <v>24</v>
      </c>
      <c r="G121" s="6" t="s">
        <v>1145</v>
      </c>
      <c r="H121" s="6" t="s">
        <v>66</v>
      </c>
      <c r="I121" s="6" t="s">
        <v>1256</v>
      </c>
      <c r="J121" s="6"/>
      <c r="K121" s="6"/>
      <c r="L121" s="6" t="s">
        <v>304</v>
      </c>
      <c r="M121" s="6" t="s">
        <v>59</v>
      </c>
      <c r="N121" s="6"/>
    </row>
    <row r="122" ht="15.75" customHeight="1"/>
    <row r="123" ht="15.75" customHeight="1">
      <c r="A123" s="16" t="s">
        <v>928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ht="15.75" customHeight="1">
      <c r="A124" s="17" t="s">
        <v>1258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 ht="15.75" customHeight="1">
      <c r="A125" s="18" t="s">
        <v>4</v>
      </c>
      <c r="B125" s="18" t="s">
        <v>6</v>
      </c>
      <c r="C125" s="18" t="s">
        <v>7</v>
      </c>
      <c r="D125" s="18" t="s">
        <v>8</v>
      </c>
      <c r="E125" s="18" t="s">
        <v>9</v>
      </c>
      <c r="F125" s="18" t="s">
        <v>10</v>
      </c>
      <c r="G125" s="18" t="s">
        <v>11</v>
      </c>
      <c r="H125" s="18" t="s">
        <v>12</v>
      </c>
      <c r="I125" s="18" t="s">
        <v>13</v>
      </c>
      <c r="J125" s="18" t="s">
        <v>14</v>
      </c>
      <c r="K125" s="18" t="s">
        <v>15</v>
      </c>
      <c r="L125" s="18" t="s">
        <v>16</v>
      </c>
      <c r="M125" s="18" t="s">
        <v>17</v>
      </c>
      <c r="N125" s="18" t="s">
        <v>18</v>
      </c>
    </row>
    <row r="126" ht="15.75" customHeight="1">
      <c r="A126" s="6" t="s">
        <v>935</v>
      </c>
      <c r="B126" s="6" t="s">
        <v>1163</v>
      </c>
      <c r="C126" s="6" t="s">
        <v>591</v>
      </c>
      <c r="D126" s="6" t="s">
        <v>429</v>
      </c>
      <c r="E126" s="6" t="s">
        <v>556</v>
      </c>
      <c r="F126" s="6" t="s">
        <v>24</v>
      </c>
      <c r="G126" s="6" t="s">
        <v>936</v>
      </c>
      <c r="H126" s="6" t="s">
        <v>49</v>
      </c>
      <c r="I126" s="6">
        <v>2.582628000007E12</v>
      </c>
      <c r="J126" s="6"/>
      <c r="K126" s="6"/>
      <c r="L126" s="6" t="s">
        <v>304</v>
      </c>
      <c r="M126" s="6" t="s">
        <v>59</v>
      </c>
      <c r="N126" s="6"/>
    </row>
    <row r="127" ht="15.75" customHeight="1">
      <c r="A127" s="6" t="s">
        <v>935</v>
      </c>
      <c r="B127" s="6" t="s">
        <v>1165</v>
      </c>
      <c r="C127" s="6" t="s">
        <v>469</v>
      </c>
      <c r="D127" s="6" t="s">
        <v>429</v>
      </c>
      <c r="E127" s="6" t="s">
        <v>556</v>
      </c>
      <c r="F127" s="6" t="s">
        <v>24</v>
      </c>
      <c r="G127" s="6" t="s">
        <v>936</v>
      </c>
      <c r="H127" s="6" t="s">
        <v>105</v>
      </c>
      <c r="I127" s="6">
        <v>2.482769300029E12</v>
      </c>
      <c r="J127" s="6"/>
      <c r="K127" s="6" t="s">
        <v>945</v>
      </c>
      <c r="L127" s="6" t="s">
        <v>304</v>
      </c>
      <c r="M127" s="6" t="s">
        <v>59</v>
      </c>
      <c r="N127" s="6"/>
    </row>
    <row r="128" ht="15.75" customHeight="1">
      <c r="A128" s="6" t="s">
        <v>935</v>
      </c>
      <c r="B128" s="6" t="s">
        <v>1167</v>
      </c>
      <c r="C128" s="6" t="s">
        <v>428</v>
      </c>
      <c r="D128" s="6" t="s">
        <v>429</v>
      </c>
      <c r="E128" s="6" t="s">
        <v>541</v>
      </c>
      <c r="F128" s="6" t="s">
        <v>24</v>
      </c>
      <c r="G128" s="6" t="s">
        <v>936</v>
      </c>
      <c r="H128" s="6" t="s">
        <v>26</v>
      </c>
      <c r="I128" s="6">
        <v>2.561913100037E12</v>
      </c>
      <c r="J128" s="6"/>
      <c r="K128" s="6"/>
      <c r="L128" s="6" t="s">
        <v>304</v>
      </c>
      <c r="M128" s="6" t="s">
        <v>59</v>
      </c>
      <c r="N128" s="6"/>
    </row>
    <row r="129" ht="15.75" customHeight="1">
      <c r="A129" s="6" t="s">
        <v>935</v>
      </c>
      <c r="B129" s="6" t="s">
        <v>1144</v>
      </c>
      <c r="C129" s="6" t="s">
        <v>539</v>
      </c>
      <c r="D129" s="6" t="s">
        <v>429</v>
      </c>
      <c r="E129" s="6" t="s">
        <v>592</v>
      </c>
      <c r="F129" s="6" t="s">
        <v>24</v>
      </c>
      <c r="G129" s="6" t="s">
        <v>936</v>
      </c>
      <c r="H129" s="6" t="s">
        <v>26</v>
      </c>
      <c r="I129" s="6">
        <v>2.470804200031E12</v>
      </c>
      <c r="J129" s="6"/>
      <c r="K129" s="6"/>
      <c r="L129" s="6" t="s">
        <v>304</v>
      </c>
      <c r="M129" s="6" t="s">
        <v>59</v>
      </c>
      <c r="N129" s="6"/>
    </row>
    <row r="130" ht="15.75" customHeight="1">
      <c r="A130" s="6" t="s">
        <v>935</v>
      </c>
      <c r="B130" s="6" t="s">
        <v>1264</v>
      </c>
      <c r="C130" s="6" t="s">
        <v>576</v>
      </c>
      <c r="D130" s="6" t="s">
        <v>429</v>
      </c>
      <c r="E130" s="6" t="s">
        <v>592</v>
      </c>
      <c r="F130" s="6" t="s">
        <v>24</v>
      </c>
      <c r="G130" s="6" t="s">
        <v>936</v>
      </c>
      <c r="H130" s="6" t="s">
        <v>1115</v>
      </c>
      <c r="I130" s="6">
        <v>2.575430200006E12</v>
      </c>
      <c r="J130" s="6"/>
      <c r="K130" s="6" t="s">
        <v>945</v>
      </c>
      <c r="L130" s="6" t="s">
        <v>304</v>
      </c>
      <c r="M130" s="6" t="s">
        <v>59</v>
      </c>
      <c r="N130" s="6"/>
    </row>
    <row r="131" ht="15.75" customHeight="1">
      <c r="A131" s="6" t="s">
        <v>935</v>
      </c>
      <c r="B131" s="6" t="s">
        <v>1264</v>
      </c>
      <c r="C131" s="6" t="s">
        <v>576</v>
      </c>
      <c r="D131" s="6" t="s">
        <v>429</v>
      </c>
      <c r="E131" s="6" t="s">
        <v>592</v>
      </c>
      <c r="F131" s="6" t="s">
        <v>85</v>
      </c>
      <c r="G131" s="6" t="s">
        <v>936</v>
      </c>
      <c r="H131" s="6" t="s">
        <v>88</v>
      </c>
      <c r="I131" s="6">
        <v>2.575430200006E12</v>
      </c>
      <c r="J131" s="6"/>
      <c r="K131" s="6" t="s">
        <v>945</v>
      </c>
      <c r="L131" s="6" t="s">
        <v>304</v>
      </c>
      <c r="M131" s="6" t="s">
        <v>59</v>
      </c>
      <c r="N131" s="6"/>
    </row>
    <row r="132" ht="15.75" customHeight="1">
      <c r="A132" s="6" t="s">
        <v>935</v>
      </c>
      <c r="B132" s="6" t="s">
        <v>1168</v>
      </c>
      <c r="C132" s="6" t="s">
        <v>469</v>
      </c>
      <c r="D132" s="6" t="s">
        <v>429</v>
      </c>
      <c r="E132" s="6" t="s">
        <v>524</v>
      </c>
      <c r="F132" s="6" t="s">
        <v>24</v>
      </c>
      <c r="G132" s="6" t="s">
        <v>936</v>
      </c>
      <c r="H132" s="6" t="s">
        <v>49</v>
      </c>
      <c r="I132" s="6">
        <v>2.452760801044E12</v>
      </c>
      <c r="J132" s="6"/>
      <c r="K132" s="6"/>
      <c r="L132" s="6" t="s">
        <v>304</v>
      </c>
      <c r="M132" s="6" t="s">
        <v>59</v>
      </c>
      <c r="N132" s="6"/>
    </row>
    <row r="133" ht="15.75" customHeight="1">
      <c r="A133" s="6" t="s">
        <v>935</v>
      </c>
      <c r="B133" s="6" t="s">
        <v>1152</v>
      </c>
      <c r="C133" s="6" t="s">
        <v>469</v>
      </c>
      <c r="D133" s="6" t="s">
        <v>429</v>
      </c>
      <c r="E133" s="6" t="s">
        <v>459</v>
      </c>
      <c r="F133" s="6" t="s">
        <v>24</v>
      </c>
      <c r="G133" s="6" t="s">
        <v>936</v>
      </c>
      <c r="H133" s="6" t="s">
        <v>807</v>
      </c>
      <c r="I133" s="6">
        <v>2.562165700003E12</v>
      </c>
      <c r="L133" s="6" t="s">
        <v>304</v>
      </c>
      <c r="M133" s="6" t="s">
        <v>373</v>
      </c>
    </row>
    <row r="134" ht="15.75" customHeight="1">
      <c r="A134" s="6" t="s">
        <v>935</v>
      </c>
      <c r="B134" s="6" t="s">
        <v>1153</v>
      </c>
      <c r="C134" s="6" t="s">
        <v>469</v>
      </c>
      <c r="D134" s="6" t="s">
        <v>429</v>
      </c>
      <c r="E134" s="6" t="s">
        <v>508</v>
      </c>
      <c r="F134" s="6" t="s">
        <v>67</v>
      </c>
      <c r="G134" s="6" t="s">
        <v>936</v>
      </c>
      <c r="H134" s="6" t="s">
        <v>49</v>
      </c>
      <c r="I134" s="6">
        <v>2.5752999E12</v>
      </c>
      <c r="J134" s="6"/>
      <c r="K134" s="6"/>
      <c r="L134" s="6" t="s">
        <v>304</v>
      </c>
      <c r="M134" s="6" t="s">
        <v>59</v>
      </c>
      <c r="N134" s="6"/>
    </row>
    <row r="135" ht="15.75" customHeight="1">
      <c r="A135" s="6" t="s">
        <v>935</v>
      </c>
      <c r="B135" s="6" t="s">
        <v>1153</v>
      </c>
      <c r="C135" s="6" t="s">
        <v>435</v>
      </c>
      <c r="D135" s="6" t="s">
        <v>429</v>
      </c>
      <c r="E135" s="6" t="s">
        <v>524</v>
      </c>
      <c r="F135" s="6" t="s">
        <v>24</v>
      </c>
      <c r="G135" s="6" t="s">
        <v>936</v>
      </c>
      <c r="H135" s="6" t="s">
        <v>49</v>
      </c>
      <c r="I135" s="6">
        <v>2.5752999E12</v>
      </c>
      <c r="J135" s="6"/>
      <c r="K135" s="6"/>
      <c r="L135" s="6" t="s">
        <v>304</v>
      </c>
      <c r="M135" s="6" t="s">
        <v>59</v>
      </c>
      <c r="N135" s="6"/>
    </row>
    <row r="136" ht="15.75" customHeight="1">
      <c r="A136" s="6" t="s">
        <v>935</v>
      </c>
      <c r="B136" s="6" t="s">
        <v>1154</v>
      </c>
      <c r="C136" s="6" t="s">
        <v>435</v>
      </c>
      <c r="D136" s="6" t="s">
        <v>429</v>
      </c>
      <c r="E136" s="6" t="s">
        <v>524</v>
      </c>
      <c r="F136" s="6" t="s">
        <v>24</v>
      </c>
      <c r="G136" s="6" t="s">
        <v>936</v>
      </c>
      <c r="H136" s="6" t="s">
        <v>49</v>
      </c>
      <c r="I136" s="6" t="s">
        <v>1155</v>
      </c>
      <c r="J136" s="6"/>
      <c r="K136" s="6"/>
      <c r="L136" s="6" t="s">
        <v>304</v>
      </c>
      <c r="M136" s="6" t="s">
        <v>59</v>
      </c>
      <c r="N136" s="6"/>
    </row>
    <row r="137" ht="15.75" customHeight="1">
      <c r="A137" s="6" t="s">
        <v>935</v>
      </c>
      <c r="B137" s="6" t="s">
        <v>1161</v>
      </c>
      <c r="C137" s="6" t="s">
        <v>591</v>
      </c>
      <c r="D137" s="6" t="s">
        <v>429</v>
      </c>
      <c r="E137" s="6" t="s">
        <v>524</v>
      </c>
      <c r="F137" s="6" t="s">
        <v>24</v>
      </c>
      <c r="G137" s="6" t="s">
        <v>936</v>
      </c>
      <c r="H137" s="6" t="s">
        <v>156</v>
      </c>
      <c r="I137" s="6">
        <v>2.546700200025E12</v>
      </c>
      <c r="J137" s="6"/>
      <c r="K137" s="6"/>
      <c r="L137" s="6" t="s">
        <v>304</v>
      </c>
      <c r="M137" s="6" t="s">
        <v>59</v>
      </c>
      <c r="N137" s="6"/>
    </row>
    <row r="138" ht="15.75" customHeight="1"/>
    <row r="139" ht="15.75" customHeight="1">
      <c r="A139" s="16" t="s">
        <v>975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ht="15.75" customHeight="1">
      <c r="A140" s="17" t="s">
        <v>41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 ht="15.75" customHeight="1">
      <c r="A141" s="18" t="s">
        <v>4</v>
      </c>
      <c r="B141" s="18" t="s">
        <v>6</v>
      </c>
      <c r="C141" s="18" t="s">
        <v>7</v>
      </c>
      <c r="D141" s="18" t="s">
        <v>8</v>
      </c>
      <c r="E141" s="18" t="s">
        <v>9</v>
      </c>
      <c r="F141" s="18" t="s">
        <v>10</v>
      </c>
      <c r="G141" s="18" t="s">
        <v>11</v>
      </c>
      <c r="H141" s="18" t="s">
        <v>12</v>
      </c>
      <c r="I141" s="18" t="s">
        <v>13</v>
      </c>
      <c r="J141" s="18" t="s">
        <v>14</v>
      </c>
      <c r="K141" s="18" t="s">
        <v>15</v>
      </c>
      <c r="L141" s="18" t="s">
        <v>16</v>
      </c>
      <c r="M141" s="18" t="s">
        <v>17</v>
      </c>
      <c r="N141" s="18" t="s">
        <v>18</v>
      </c>
    </row>
    <row r="142" ht="15.75" customHeight="1">
      <c r="A142" s="6" t="s">
        <v>978</v>
      </c>
      <c r="B142" s="6" t="s">
        <v>1157</v>
      </c>
      <c r="C142" s="6" t="s">
        <v>457</v>
      </c>
      <c r="D142" s="6" t="s">
        <v>429</v>
      </c>
      <c r="E142" s="6" t="s">
        <v>459</v>
      </c>
      <c r="F142" s="6" t="s">
        <v>24</v>
      </c>
      <c r="G142" s="6" t="s">
        <v>936</v>
      </c>
      <c r="H142" s="6" t="s">
        <v>66</v>
      </c>
      <c r="I142" s="6" t="s">
        <v>1158</v>
      </c>
      <c r="J142" s="6"/>
      <c r="K142" s="6"/>
      <c r="L142" s="6" t="s">
        <v>304</v>
      </c>
      <c r="M142" s="6" t="s">
        <v>59</v>
      </c>
      <c r="N142" s="6"/>
    </row>
    <row r="143" ht="15.75" customHeight="1">
      <c r="A143" s="6" t="s">
        <v>978</v>
      </c>
      <c r="B143" s="6" t="s">
        <v>1150</v>
      </c>
      <c r="C143" s="6" t="s">
        <v>616</v>
      </c>
      <c r="D143" s="6" t="s">
        <v>429</v>
      </c>
      <c r="E143" s="6" t="s">
        <v>541</v>
      </c>
      <c r="F143" s="6" t="s">
        <v>24</v>
      </c>
      <c r="G143" s="6" t="s">
        <v>936</v>
      </c>
      <c r="H143" s="6" t="s">
        <v>101</v>
      </c>
      <c r="I143" s="6" t="s">
        <v>1151</v>
      </c>
      <c r="J143" s="6"/>
      <c r="K143" s="6" t="s">
        <v>985</v>
      </c>
      <c r="L143" s="6" t="s">
        <v>304</v>
      </c>
      <c r="M143" s="6" t="s">
        <v>59</v>
      </c>
      <c r="N143" s="6"/>
    </row>
    <row r="144" ht="15.75" customHeight="1">
      <c r="A144" s="6" t="s">
        <v>978</v>
      </c>
      <c r="B144" s="6" t="s">
        <v>1152</v>
      </c>
      <c r="C144" s="6" t="s">
        <v>469</v>
      </c>
      <c r="D144" s="6" t="s">
        <v>429</v>
      </c>
      <c r="E144" s="6" t="s">
        <v>459</v>
      </c>
      <c r="F144" s="6" t="s">
        <v>24</v>
      </c>
      <c r="G144" s="6" t="s">
        <v>936</v>
      </c>
      <c r="H144" s="6" t="s">
        <v>807</v>
      </c>
      <c r="I144" s="6">
        <v>2.562165700003E12</v>
      </c>
      <c r="L144" s="6" t="s">
        <v>304</v>
      </c>
      <c r="M144" s="6" t="s">
        <v>373</v>
      </c>
    </row>
    <row r="145" ht="15.75" customHeight="1">
      <c r="A145" s="6" t="s">
        <v>978</v>
      </c>
      <c r="B145" s="6" t="s">
        <v>1152</v>
      </c>
      <c r="C145" s="6" t="s">
        <v>435</v>
      </c>
      <c r="D145" s="6" t="s">
        <v>553</v>
      </c>
      <c r="E145" s="6" t="s">
        <v>459</v>
      </c>
      <c r="F145" s="6" t="s">
        <v>78</v>
      </c>
      <c r="G145" s="6" t="s">
        <v>936</v>
      </c>
      <c r="H145" s="6" t="s">
        <v>558</v>
      </c>
      <c r="I145" s="6">
        <v>2.562165700003E12</v>
      </c>
      <c r="L145" s="6" t="s">
        <v>995</v>
      </c>
      <c r="M145" s="6"/>
    </row>
    <row r="146" ht="15.75" customHeight="1">
      <c r="A146" s="6" t="s">
        <v>978</v>
      </c>
      <c r="B146" s="6" t="s">
        <v>1153</v>
      </c>
      <c r="C146" s="6" t="s">
        <v>469</v>
      </c>
      <c r="D146" s="6" t="s">
        <v>553</v>
      </c>
      <c r="E146" s="6" t="s">
        <v>508</v>
      </c>
      <c r="F146" s="6" t="s">
        <v>24</v>
      </c>
      <c r="G146" s="6" t="s">
        <v>936</v>
      </c>
      <c r="H146" s="6" t="s">
        <v>558</v>
      </c>
      <c r="I146" s="6">
        <v>2.5752999E12</v>
      </c>
      <c r="L146" s="6" t="s">
        <v>995</v>
      </c>
      <c r="M146" s="6"/>
    </row>
    <row r="147" ht="15.75" customHeight="1">
      <c r="A147" s="6" t="s">
        <v>978</v>
      </c>
      <c r="B147" s="6" t="s">
        <v>1175</v>
      </c>
      <c r="C147" s="6" t="s">
        <v>608</v>
      </c>
      <c r="D147" s="6" t="s">
        <v>429</v>
      </c>
      <c r="E147" s="6" t="s">
        <v>946</v>
      </c>
      <c r="F147" s="6" t="s">
        <v>67</v>
      </c>
      <c r="G147" s="6" t="s">
        <v>936</v>
      </c>
      <c r="H147" s="6" t="s">
        <v>101</v>
      </c>
      <c r="I147" s="6" t="s">
        <v>1176</v>
      </c>
      <c r="J147" s="6"/>
      <c r="K147" s="6" t="s">
        <v>985</v>
      </c>
      <c r="L147" s="6" t="s">
        <v>304</v>
      </c>
      <c r="M147" s="6" t="s">
        <v>59</v>
      </c>
      <c r="N147" s="6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N1"/>
    <mergeCell ref="A3:N3"/>
    <mergeCell ref="A4:N4"/>
    <mergeCell ref="A13:N13"/>
    <mergeCell ref="A14:N14"/>
    <mergeCell ref="A22:N22"/>
    <mergeCell ref="A23:N23"/>
  </mergeCells>
  <conditionalFormatting sqref="A6:N11">
    <cfRule type="expression" dxfId="0" priority="1">
      <formula>OR(ISNUMBER(SEARCH("Finalizado",$D6)),$M6="Finalizado",$M6="Validado")</formula>
    </cfRule>
  </conditionalFormatting>
  <conditionalFormatting sqref="A6:N11">
    <cfRule type="expression" dxfId="1" priority="2">
      <formula>AND(NOT(ISNUMBER(SEARCH("Finalizado",$D6))),$M6="Pendente",NOT(ISNUMBER(SEARCH("Falta Justificada",$D6))))</formula>
    </cfRule>
  </conditionalFormatting>
  <conditionalFormatting sqref="K6:K11">
    <cfRule type="expression" dxfId="2" priority="3">
      <formula>OR(ISNUMBER(SEARCH("1ª SESSÃO",K6)),ISNUMBER(SEARCH("ALERTA FINAL",K6)),ISNUMBER(SEARCH("MEDSÊNIOR",K6)))</formula>
    </cfRule>
  </conditionalFormatting>
  <conditionalFormatting sqref="A16:N20">
    <cfRule type="expression" dxfId="0" priority="4">
      <formula>OR(ISNUMBER(SEARCH("Finalizado",$D16)),$M16="Finalizado",$M16="Validado")</formula>
    </cfRule>
  </conditionalFormatting>
  <conditionalFormatting sqref="A16:N20">
    <cfRule type="expression" dxfId="1" priority="5">
      <formula>AND(NOT(ISNUMBER(SEARCH("Finalizado",$D16))),$M16="Pendente",NOT(ISNUMBER(SEARCH("Falta Justificada",$D16))))</formula>
    </cfRule>
  </conditionalFormatting>
  <conditionalFormatting sqref="K16:K20">
    <cfRule type="expression" dxfId="2" priority="6">
      <formula>OR(ISNUMBER(SEARCH("1ª SESSÃO",K16)),ISNUMBER(SEARCH("ALERTA FINAL",K16)),ISNUMBER(SEARCH("MEDSÊNIOR",K16)))</formula>
    </cfRule>
  </conditionalFormatting>
  <conditionalFormatting sqref="A25:N33">
    <cfRule type="expression" dxfId="0" priority="7">
      <formula>OR(ISNUMBER(SEARCH("Finalizado",$D25)),$M25="Finalizado",$M25="Validado")</formula>
    </cfRule>
  </conditionalFormatting>
  <conditionalFormatting sqref="A25:N33">
    <cfRule type="expression" dxfId="1" priority="8">
      <formula>AND(NOT(ISNUMBER(SEARCH("Finalizado",$D25))),$M25="Pendente",NOT(ISNUMBER(SEARCH("Falta Justificada",$D25))))</formula>
    </cfRule>
  </conditionalFormatting>
  <conditionalFormatting sqref="K25:K33">
    <cfRule type="expression" dxfId="2" priority="9">
      <formula>OR(ISNUMBER(SEARCH("1ª SESSÃO",K25)),ISNUMBER(SEARCH("ALERTA FINAL",K25)),ISNUMBER(SEARCH("MEDSÊNIOR",K25)))</formula>
    </cfRule>
  </conditionalFormatting>
  <conditionalFormatting sqref="A38:N38">
    <cfRule type="expression" dxfId="3" priority="10">
      <formula>OR($M38="Finalizado",$M38="Validado",$D38="Finalizado")</formula>
    </cfRule>
  </conditionalFormatting>
  <conditionalFormatting sqref="A38:N38">
    <cfRule type="expression" dxfId="4" priority="11">
      <formula>AND($M38="Pendente",$D38&lt;&gt;"Finalizado")</formula>
    </cfRule>
  </conditionalFormatting>
  <conditionalFormatting sqref="A39:N39">
    <cfRule type="expression" dxfId="3" priority="12">
      <formula>OR($M39="Finalizado",$M39="Validado",$D39="Finalizado")</formula>
    </cfRule>
  </conditionalFormatting>
  <conditionalFormatting sqref="A39:N39">
    <cfRule type="expression" dxfId="4" priority="13">
      <formula>AND($M39="Pendente",$D39&lt;&gt;"Finalizado")</formula>
    </cfRule>
  </conditionalFormatting>
  <conditionalFormatting sqref="A40:N40">
    <cfRule type="expression" dxfId="3" priority="14">
      <formula>OR($M40="Finalizado",$M40="Validado",$D40="Finalizado")</formula>
    </cfRule>
  </conditionalFormatting>
  <conditionalFormatting sqref="A40:N40">
    <cfRule type="expression" dxfId="4" priority="15">
      <formula>AND($M40="Pendente",$D40&lt;&gt;"Finalizado")</formula>
    </cfRule>
  </conditionalFormatting>
  <conditionalFormatting sqref="A41:N41">
    <cfRule type="expression" dxfId="3" priority="16">
      <formula>OR($M41="Finalizado",$M41="Validado",$D41="Finalizado")</formula>
    </cfRule>
  </conditionalFormatting>
  <conditionalFormatting sqref="A41:N41">
    <cfRule type="expression" dxfId="4" priority="17">
      <formula>AND($M41="Pendente",$D41&lt;&gt;"Finalizado")</formula>
    </cfRule>
  </conditionalFormatting>
  <conditionalFormatting sqref="A42:N42">
    <cfRule type="expression" dxfId="3" priority="18">
      <formula>OR($M42="Finalizado",$M42="Validado",$D42="Finalizado")</formula>
    </cfRule>
  </conditionalFormatting>
  <conditionalFormatting sqref="A42:N42">
    <cfRule type="expression" dxfId="4" priority="19">
      <formula>AND($M42="Pendente",$D42&lt;&gt;"Finalizado")</formula>
    </cfRule>
  </conditionalFormatting>
  <conditionalFormatting sqref="A43:N43">
    <cfRule type="expression" dxfId="3" priority="20">
      <formula>OR($M43="Finalizado",$M43="Validado",$D43="Finalizado")</formula>
    </cfRule>
  </conditionalFormatting>
  <conditionalFormatting sqref="A43:N43">
    <cfRule type="expression" dxfId="4" priority="21">
      <formula>AND($M43="Pendente",$D43&lt;&gt;"Finalizado")</formula>
    </cfRule>
  </conditionalFormatting>
  <conditionalFormatting sqref="A48:N48">
    <cfRule type="expression" dxfId="3" priority="22">
      <formula>OR($M48="Finalizado",$M48="Validado",$D48="Finalizado")</formula>
    </cfRule>
  </conditionalFormatting>
  <conditionalFormatting sqref="A48:N48">
    <cfRule type="expression" dxfId="4" priority="23">
      <formula>AND($M48="Pendente",$D48&lt;&gt;"Finalizado")</formula>
    </cfRule>
  </conditionalFormatting>
  <conditionalFormatting sqref="A49:N49">
    <cfRule type="expression" dxfId="3" priority="24">
      <formula>OR($M49="Finalizado",$M49="Validado",$D49="Finalizado")</formula>
    </cfRule>
  </conditionalFormatting>
  <conditionalFormatting sqref="A49:N49">
    <cfRule type="expression" dxfId="4" priority="25">
      <formula>AND($M49="Pendente",$D49&lt;&gt;"Finalizado")</formula>
    </cfRule>
  </conditionalFormatting>
  <conditionalFormatting sqref="A50:N50">
    <cfRule type="expression" dxfId="3" priority="26">
      <formula>OR($M50="Finalizado",$M50="Validado",$D50="Finalizado")</formula>
    </cfRule>
  </conditionalFormatting>
  <conditionalFormatting sqref="A50:N50">
    <cfRule type="expression" dxfId="4" priority="27">
      <formula>AND($M50="Pendente",$D50&lt;&gt;"Finalizado")</formula>
    </cfRule>
  </conditionalFormatting>
  <conditionalFormatting sqref="A51:N51">
    <cfRule type="expression" dxfId="3" priority="28">
      <formula>OR($M51="Finalizado",$M51="Validado",$D51="Finalizado")</formula>
    </cfRule>
  </conditionalFormatting>
  <conditionalFormatting sqref="A51:N51">
    <cfRule type="expression" dxfId="4" priority="29">
      <formula>AND($M51="Pendente",$D51&lt;&gt;"Finalizado")</formula>
    </cfRule>
  </conditionalFormatting>
  <conditionalFormatting sqref="A52:N52">
    <cfRule type="expression" dxfId="3" priority="30">
      <formula>OR($M52="Finalizado",$M52="Validado",$D52="Finalizado")</formula>
    </cfRule>
  </conditionalFormatting>
  <conditionalFormatting sqref="A52:N52">
    <cfRule type="expression" dxfId="4" priority="31">
      <formula>AND($M52="Pendente",$D52&lt;&gt;"Finalizado")</formula>
    </cfRule>
  </conditionalFormatting>
  <conditionalFormatting sqref="A53:N53">
    <cfRule type="expression" dxfId="3" priority="32">
      <formula>OR($M53="Finalizado",$M53="Validado",$D53="Finalizado")</formula>
    </cfRule>
  </conditionalFormatting>
  <conditionalFormatting sqref="A53:N53">
    <cfRule type="expression" dxfId="4" priority="33">
      <formula>AND($M53="Pendente",$D53&lt;&gt;"Finalizado")</formula>
    </cfRule>
  </conditionalFormatting>
  <conditionalFormatting sqref="A54:N54">
    <cfRule type="expression" dxfId="3" priority="34">
      <formula>OR($M54="Finalizado",$M54="Validado",$D54="Finalizado")</formula>
    </cfRule>
  </conditionalFormatting>
  <conditionalFormatting sqref="A54:N54">
    <cfRule type="expression" dxfId="4" priority="35">
      <formula>AND($M54="Pendente",$D54&lt;&gt;"Finalizado")</formula>
    </cfRule>
  </conditionalFormatting>
  <conditionalFormatting sqref="A55:N55">
    <cfRule type="expression" dxfId="3" priority="36">
      <formula>OR($M55="Finalizado",$M55="Validado",$D55="Finalizado")</formula>
    </cfRule>
  </conditionalFormatting>
  <conditionalFormatting sqref="A55:N55">
    <cfRule type="expression" dxfId="4" priority="37">
      <formula>AND($M55="Pendente",$D55&lt;&gt;"Finalizado")</formula>
    </cfRule>
  </conditionalFormatting>
  <conditionalFormatting sqref="A56:N56">
    <cfRule type="expression" dxfId="3" priority="38">
      <formula>OR($M56="Finalizado",$M56="Validado",$D56="Finalizado")</formula>
    </cfRule>
  </conditionalFormatting>
  <conditionalFormatting sqref="A56:N56">
    <cfRule type="expression" dxfId="4" priority="39">
      <formula>AND($M56="Pendente",$D56&lt;&gt;"Finalizado")</formula>
    </cfRule>
  </conditionalFormatting>
  <conditionalFormatting sqref="A61:N61">
    <cfRule type="expression" dxfId="3" priority="40">
      <formula>OR($M61="Finalizado",$M61="Validado",LEFT($D61,10)="Finalizado")</formula>
    </cfRule>
  </conditionalFormatting>
  <conditionalFormatting sqref="A61:N61">
    <cfRule type="expression" dxfId="4" priority="41">
      <formula>AND($M61="Pendente",LEFT($D61,10)&lt;&gt;"Finalizado")</formula>
    </cfRule>
  </conditionalFormatting>
  <conditionalFormatting sqref="A62:N62">
    <cfRule type="expression" dxfId="3" priority="42">
      <formula>OR($M62="Finalizado",$M62="Validado",LEFT($D62,10)="Finalizado")</formula>
    </cfRule>
  </conditionalFormatting>
  <conditionalFormatting sqref="A62:N62">
    <cfRule type="expression" dxfId="4" priority="43">
      <formula>AND($M62="Pendente",LEFT($D62,10)&lt;&gt;"Finalizado")</formula>
    </cfRule>
  </conditionalFormatting>
  <conditionalFormatting sqref="A63:N63">
    <cfRule type="expression" dxfId="3" priority="44">
      <formula>OR($M63="Finalizado",$M63="Validado",LEFT($D63,10)="Finalizado")</formula>
    </cfRule>
  </conditionalFormatting>
  <conditionalFormatting sqref="A63:N63">
    <cfRule type="expression" dxfId="4" priority="45">
      <formula>AND($M63="Pendente",LEFT($D63,10)&lt;&gt;"Finalizado")</formula>
    </cfRule>
  </conditionalFormatting>
  <conditionalFormatting sqref="A64:N64">
    <cfRule type="expression" dxfId="3" priority="46">
      <formula>OR($M64="Finalizado",$M64="Validado",LEFT($D64,10)="Finalizado")</formula>
    </cfRule>
  </conditionalFormatting>
  <conditionalFormatting sqref="A64:N64">
    <cfRule type="expression" dxfId="4" priority="47">
      <formula>AND($M64="Pendente",LEFT($D64,10)&lt;&gt;"Finalizado")</formula>
    </cfRule>
  </conditionalFormatting>
  <conditionalFormatting sqref="A69:N69">
    <cfRule type="expression" dxfId="3" priority="48">
      <formula>OR($M69="Validado",$M69="Finalizado",LEFT($D69,10)="Finalizado")</formula>
    </cfRule>
  </conditionalFormatting>
  <conditionalFormatting sqref="A69:N69">
    <cfRule type="expression" dxfId="4" priority="49">
      <formula>AND($M69="Pendente",LEFT($D69,10)&lt;&gt;"Finalizado")</formula>
    </cfRule>
  </conditionalFormatting>
  <conditionalFormatting sqref="A70:N70">
    <cfRule type="expression" dxfId="3" priority="50">
      <formula>OR($M70="Validado",$M70="Finalizado",LEFT($D70,10)="Finalizado")</formula>
    </cfRule>
  </conditionalFormatting>
  <conditionalFormatting sqref="A70:N70">
    <cfRule type="expression" dxfId="4" priority="51">
      <formula>AND($M70="Pendente",LEFT($D70,10)&lt;&gt;"Finalizado")</formula>
    </cfRule>
  </conditionalFormatting>
  <conditionalFormatting sqref="A71:N71">
    <cfRule type="expression" dxfId="3" priority="52">
      <formula>OR($M71="Validado",$M71="Finalizado",LEFT($D71,10)="Finalizado")</formula>
    </cfRule>
  </conditionalFormatting>
  <conditionalFormatting sqref="A71:N71">
    <cfRule type="expression" dxfId="4" priority="53">
      <formula>AND($M71="Pendente",LEFT($D71,10)&lt;&gt;"Finalizado")</formula>
    </cfRule>
  </conditionalFormatting>
  <conditionalFormatting sqref="A72:N72">
    <cfRule type="expression" dxfId="3" priority="54">
      <formula>OR($M72="Validado",$M72="Finalizado",LEFT($D72,10)="Finalizado")</formula>
    </cfRule>
  </conditionalFormatting>
  <conditionalFormatting sqref="A72:N72">
    <cfRule type="expression" dxfId="4" priority="55">
      <formula>AND($M72="Pendente",LEFT($D72,10)&lt;&gt;"Finalizado")</formula>
    </cfRule>
  </conditionalFormatting>
  <conditionalFormatting sqref="A73:N73">
    <cfRule type="expression" dxfId="3" priority="56">
      <formula>OR($M73="Validado",$M73="Finalizado",LEFT($D73,10)="Finalizado")</formula>
    </cfRule>
  </conditionalFormatting>
  <conditionalFormatting sqref="A73:N73">
    <cfRule type="expression" dxfId="4" priority="57">
      <formula>AND($M73="Pendente",LEFT($D73,10)&lt;&gt;"Finalizado")</formula>
    </cfRule>
  </conditionalFormatting>
  <conditionalFormatting sqref="A74:N74">
    <cfRule type="expression" dxfId="3" priority="58">
      <formula>OR($M74="Validado",$M74="Finalizado",LEFT($D74,10)="Finalizado")</formula>
    </cfRule>
  </conditionalFormatting>
  <conditionalFormatting sqref="A74:N74">
    <cfRule type="expression" dxfId="4" priority="59">
      <formula>AND($M74="Pendente",LEFT($D74,10)&lt;&gt;"Finalizado")</formula>
    </cfRule>
  </conditionalFormatting>
  <conditionalFormatting sqref="A75:N75">
    <cfRule type="expression" dxfId="3" priority="60">
      <formula>OR($M75="Validado",$M75="Finalizado",LEFT($D75,10)="Finalizado")</formula>
    </cfRule>
  </conditionalFormatting>
  <conditionalFormatting sqref="A75:N75">
    <cfRule type="expression" dxfId="4" priority="61">
      <formula>AND($M75="Pendente",LEFT($D75,10)&lt;&gt;"Finalizado")</formula>
    </cfRule>
  </conditionalFormatting>
  <conditionalFormatting sqref="A80:N80">
    <cfRule type="expression" dxfId="3" priority="62">
      <formula>OR($M80="Validado",$M80="Finalizado",LEFT($D80,10)="Finalizado")</formula>
    </cfRule>
  </conditionalFormatting>
  <conditionalFormatting sqref="A80:N80">
    <cfRule type="expression" dxfId="4" priority="63">
      <formula>AND($M80="Pendente",LEFT($D80,10)&lt;&gt;"Finalizado")</formula>
    </cfRule>
  </conditionalFormatting>
  <conditionalFormatting sqref="A81:N81">
    <cfRule type="expression" dxfId="3" priority="64">
      <formula>OR($M81="Validado",$M81="Finalizado",LEFT($D81,10)="Finalizado")</formula>
    </cfRule>
  </conditionalFormatting>
  <conditionalFormatting sqref="A81:N81">
    <cfRule type="expression" dxfId="4" priority="65">
      <formula>AND($M81="Pendente",LEFT($D81,10)&lt;&gt;"Finalizado")</formula>
    </cfRule>
  </conditionalFormatting>
  <conditionalFormatting sqref="A82:N82">
    <cfRule type="expression" dxfId="3" priority="66">
      <formula>OR($M82="Validado",$M82="Finalizado",LEFT($D82,10)="Finalizado")</formula>
    </cfRule>
  </conditionalFormatting>
  <conditionalFormatting sqref="A82:N82">
    <cfRule type="expression" dxfId="4" priority="67">
      <formula>AND($M82="Pendente",LEFT($D82,10)&lt;&gt;"Finalizado")</formula>
    </cfRule>
  </conditionalFormatting>
  <conditionalFormatting sqref="A83:N83">
    <cfRule type="expression" dxfId="3" priority="68">
      <formula>OR($M83="Validado",$M83="Finalizado",LEFT($D83,10)="Finalizado")</formula>
    </cfRule>
  </conditionalFormatting>
  <conditionalFormatting sqref="A83:N83">
    <cfRule type="expression" dxfId="4" priority="69">
      <formula>AND($M83="Pendente",LEFT($D83,10)&lt;&gt;"Finalizado")</formula>
    </cfRule>
  </conditionalFormatting>
  <conditionalFormatting sqref="A84:N84">
    <cfRule type="expression" dxfId="3" priority="70">
      <formula>OR($M84="Validado",$M84="Finalizado",LEFT($D84,10)="Finalizado")</formula>
    </cfRule>
  </conditionalFormatting>
  <conditionalFormatting sqref="A84:N84">
    <cfRule type="expression" dxfId="4" priority="71">
      <formula>AND($M84="Pendente",LEFT($D84,10)&lt;&gt;"Finalizado")</formula>
    </cfRule>
  </conditionalFormatting>
  <conditionalFormatting sqref="A85:N85">
    <cfRule type="expression" dxfId="3" priority="72">
      <formula>OR($M85="Validado",$M85="Finalizado",LEFT($D85,10)="Finalizado")</formula>
    </cfRule>
  </conditionalFormatting>
  <conditionalFormatting sqref="A85:N85">
    <cfRule type="expression" dxfId="4" priority="73">
      <formula>AND($M85="Pendente",LEFT($D85,10)&lt;&gt;"Finalizado")</formula>
    </cfRule>
  </conditionalFormatting>
  <conditionalFormatting sqref="A86:N86">
    <cfRule type="expression" dxfId="3" priority="74">
      <formula>OR($M86="Validado",$M86="Finalizado",LEFT($D86,10)="Finalizado")</formula>
    </cfRule>
  </conditionalFormatting>
  <conditionalFormatting sqref="A86:N86">
    <cfRule type="expression" dxfId="4" priority="75">
      <formula>AND($M86="Pendente",LEFT($D86,10)&lt;&gt;"Finalizado")</formula>
    </cfRule>
  </conditionalFormatting>
  <conditionalFormatting sqref="A87:N87">
    <cfRule type="expression" dxfId="3" priority="76">
      <formula>OR($M87="Validado",$M87="Finalizado",LEFT($D87,10)="Finalizado")</formula>
    </cfRule>
  </conditionalFormatting>
  <conditionalFormatting sqref="A87:N87">
    <cfRule type="expression" dxfId="4" priority="77">
      <formula>AND($M87="Pendente",LEFT($D87,10)&lt;&gt;"Finalizado")</formula>
    </cfRule>
  </conditionalFormatting>
  <conditionalFormatting sqref="A88:N88">
    <cfRule type="expression" dxfId="3" priority="78">
      <formula>OR($M88="Validado",$M88="Finalizado",LEFT($D88,10)="Finalizado")</formula>
    </cfRule>
  </conditionalFormatting>
  <conditionalFormatting sqref="A88:N88">
    <cfRule type="expression" dxfId="4" priority="79">
      <formula>AND($M88="Pendente",LEFT($D88,10)&lt;&gt;"Finalizado")</formula>
    </cfRule>
  </conditionalFormatting>
  <conditionalFormatting sqref="A89:N89">
    <cfRule type="expression" dxfId="3" priority="80">
      <formula>OR($M89="Validado",$M89="Finalizado",LEFT($D89,10)="Finalizado")</formula>
    </cfRule>
  </conditionalFormatting>
  <conditionalFormatting sqref="A89:N89">
    <cfRule type="expression" dxfId="4" priority="81">
      <formula>AND($M89="Pendente",LEFT($D89,10)&lt;&gt;"Finalizado")</formula>
    </cfRule>
  </conditionalFormatting>
  <conditionalFormatting sqref="A90:N90">
    <cfRule type="expression" dxfId="3" priority="82">
      <formula>OR($M90="Validado",$M90="Finalizado",LEFT($D90,10)="Finalizado")</formula>
    </cfRule>
  </conditionalFormatting>
  <conditionalFormatting sqref="A90:N90">
    <cfRule type="expression" dxfId="4" priority="83">
      <formula>AND($M90="Pendente",LEFT($D90,10)&lt;&gt;"Finalizado")</formula>
    </cfRule>
  </conditionalFormatting>
  <conditionalFormatting sqref="A95:N95">
    <cfRule type="expression" dxfId="3" priority="84">
      <formula>OR($M95="Validado",$M95="Finalizado",LEFT($D95,10)="Finalizado")</formula>
    </cfRule>
  </conditionalFormatting>
  <conditionalFormatting sqref="A95:N95">
    <cfRule type="expression" dxfId="4" priority="85">
      <formula>AND($M95="Pendente",LEFT($D95,10)&lt;&gt;"Finalizado")</formula>
    </cfRule>
  </conditionalFormatting>
  <conditionalFormatting sqref="A96:N96">
    <cfRule type="expression" dxfId="3" priority="86">
      <formula>OR($M96="Validado",$M96="Finalizado",LEFT($D96,10)="Finalizado")</formula>
    </cfRule>
  </conditionalFormatting>
  <conditionalFormatting sqref="A96:N96">
    <cfRule type="expression" dxfId="4" priority="87">
      <formula>AND($M96="Pendente",LEFT($D96,10)&lt;&gt;"Finalizado")</formula>
    </cfRule>
  </conditionalFormatting>
  <conditionalFormatting sqref="A97:N97">
    <cfRule type="expression" dxfId="3" priority="88">
      <formula>OR($M97="Validado",$M97="Finalizado",LEFT($D97,10)="Finalizado")</formula>
    </cfRule>
  </conditionalFormatting>
  <conditionalFormatting sqref="A97:N97">
    <cfRule type="expression" dxfId="4" priority="89">
      <formula>AND($M97="Pendente",LEFT($D97,10)&lt;&gt;"Finalizado")</formula>
    </cfRule>
  </conditionalFormatting>
  <conditionalFormatting sqref="A98:N98">
    <cfRule type="expression" dxfId="3" priority="90">
      <formula>OR($M98="Validado",$M98="Finalizado",LEFT($D98,10)="Finalizado")</formula>
    </cfRule>
  </conditionalFormatting>
  <conditionalFormatting sqref="A98:N98">
    <cfRule type="expression" dxfId="4" priority="91">
      <formula>AND($M98="Pendente",LEFT($D98,10)&lt;&gt;"Finalizado")</formula>
    </cfRule>
  </conditionalFormatting>
  <conditionalFormatting sqref="A99:N99">
    <cfRule type="expression" dxfId="3" priority="92">
      <formula>OR($M99="Validado",$M99="Finalizado",LEFT($D99,10)="Finalizado")</formula>
    </cfRule>
  </conditionalFormatting>
  <conditionalFormatting sqref="A99:N99">
    <cfRule type="expression" dxfId="4" priority="93">
      <formula>AND($M99="Pendente",LEFT($D99,10)&lt;&gt;"Finalizado")</formula>
    </cfRule>
  </conditionalFormatting>
  <conditionalFormatting sqref="A100:N100">
    <cfRule type="expression" dxfId="3" priority="94">
      <formula>OR($M100="Validado",$M100="Finalizado",LEFT($D100,10)="Finalizado")</formula>
    </cfRule>
  </conditionalFormatting>
  <conditionalFormatting sqref="A100:N100">
    <cfRule type="expression" dxfId="4" priority="95">
      <formula>AND($M100="Pendente",LEFT($D100,10)&lt;&gt;"Finalizado")</formula>
    </cfRule>
  </conditionalFormatting>
  <conditionalFormatting sqref="A101:N101">
    <cfRule type="expression" dxfId="3" priority="96">
      <formula>OR($M101="Validado",$M101="Finalizado",LEFT($D101,10)="Finalizado")</formula>
    </cfRule>
  </conditionalFormatting>
  <conditionalFormatting sqref="A101:N101">
    <cfRule type="expression" dxfId="4" priority="97">
      <formula>AND($M101="Pendente",LEFT($D101,10)&lt;&gt;"Finalizado")</formula>
    </cfRule>
  </conditionalFormatting>
  <conditionalFormatting sqref="A106:N106">
    <cfRule type="expression" dxfId="3" priority="98">
      <formula>OR($M106="Validado",$M106="Finalizado",LEFT($D106,10)="Finalizado")</formula>
    </cfRule>
  </conditionalFormatting>
  <conditionalFormatting sqref="A106:N106">
    <cfRule type="expression" dxfId="4" priority="99">
      <formula>AND($M106="Pendente",LEFT($D106,10)&lt;&gt;"Finalizado")</formula>
    </cfRule>
  </conditionalFormatting>
  <conditionalFormatting sqref="A107:N107">
    <cfRule type="expression" dxfId="3" priority="100">
      <formula>OR($M107="Validado",$M107="Finalizado",LEFT($D107,10)="Finalizado")</formula>
    </cfRule>
  </conditionalFormatting>
  <conditionalFormatting sqref="A107:N107">
    <cfRule type="expression" dxfId="4" priority="101">
      <formula>AND($M107="Pendente",LEFT($D107,10)&lt;&gt;"Finalizado")</formula>
    </cfRule>
  </conditionalFormatting>
  <conditionalFormatting sqref="A108:N108">
    <cfRule type="expression" dxfId="3" priority="102">
      <formula>OR($M108="Validado",$M108="Finalizado",LEFT($D108,10)="Finalizado")</formula>
    </cfRule>
  </conditionalFormatting>
  <conditionalFormatting sqref="A108:N108">
    <cfRule type="expression" dxfId="4" priority="103">
      <formula>AND($M108="Pendente",LEFT($D108,10)&lt;&gt;"Finalizado")</formula>
    </cfRule>
  </conditionalFormatting>
  <conditionalFormatting sqref="A109:N109">
    <cfRule type="expression" dxfId="3" priority="104">
      <formula>OR($M109="Validado",$M109="Finalizado",LEFT($D109,10)="Finalizado")</formula>
    </cfRule>
  </conditionalFormatting>
  <conditionalFormatting sqref="A109:N109">
    <cfRule type="expression" dxfId="4" priority="105">
      <formula>AND($M109="Pendente",LEFT($D109,10)&lt;&gt;"Finalizado")</formula>
    </cfRule>
  </conditionalFormatting>
  <conditionalFormatting sqref="A110:N110">
    <cfRule type="expression" dxfId="3" priority="106">
      <formula>OR($M110="Validado",$M110="Finalizado",LEFT($D110,10)="Finalizado")</formula>
    </cfRule>
  </conditionalFormatting>
  <conditionalFormatting sqref="A110:N110">
    <cfRule type="expression" dxfId="4" priority="107">
      <formula>AND($M110="Pendente",LEFT($D110,10)&lt;&gt;"Finalizado")</formula>
    </cfRule>
  </conditionalFormatting>
  <conditionalFormatting sqref="A111:N111">
    <cfRule type="expression" dxfId="3" priority="108">
      <formula>OR($M111="Validado",$M111="Finalizado",LEFT($D111,10)="Finalizado")</formula>
    </cfRule>
  </conditionalFormatting>
  <conditionalFormatting sqref="A111:N111">
    <cfRule type="expression" dxfId="4" priority="109">
      <formula>AND($M111="Pendente",LEFT($D111,10)&lt;&gt;"Finalizado")</formula>
    </cfRule>
  </conditionalFormatting>
  <conditionalFormatting sqref="A112:N112">
    <cfRule type="expression" dxfId="3" priority="110">
      <formula>OR($M112="Validado",$M112="Finalizado",LEFT($D112,10)="Finalizado")</formula>
    </cfRule>
  </conditionalFormatting>
  <conditionalFormatting sqref="A112:N112">
    <cfRule type="expression" dxfId="4" priority="111">
      <formula>AND($M112="Pendente",LEFT($D112,10)&lt;&gt;"Finalizado")</formula>
    </cfRule>
  </conditionalFormatting>
  <conditionalFormatting sqref="A113:N113">
    <cfRule type="expression" dxfId="3" priority="112">
      <formula>OR($M113="Validado",$M113="Finalizado",LEFT($D113,10)="Finalizado")</formula>
    </cfRule>
  </conditionalFormatting>
  <conditionalFormatting sqref="A113:N113">
    <cfRule type="expression" dxfId="4" priority="113">
      <formula>AND($M113="Pendente",LEFT($D113,10)&lt;&gt;"Finalizado")</formula>
    </cfRule>
  </conditionalFormatting>
  <conditionalFormatting sqref="A118:N118">
    <cfRule type="expression" dxfId="3" priority="114">
      <formula>OR($M118="Validado",$M118="Finalizado",LEFT($D118,10)="Finalizado")</formula>
    </cfRule>
  </conditionalFormatting>
  <conditionalFormatting sqref="A118:N118">
    <cfRule type="expression" dxfId="4" priority="115">
      <formula>AND($M118="Pendente",LEFT($D118,10)&lt;&gt;"Finalizado")</formula>
    </cfRule>
  </conditionalFormatting>
  <conditionalFormatting sqref="A119:N119">
    <cfRule type="expression" dxfId="3" priority="116">
      <formula>OR($M119="Validado",$M119="Finalizado",LEFT($D119,10)="Finalizado")</formula>
    </cfRule>
  </conditionalFormatting>
  <conditionalFormatting sqref="A119:N119">
    <cfRule type="expression" dxfId="4" priority="117">
      <formula>AND($M119="Pendente",LEFT($D119,10)&lt;&gt;"Finalizado")</formula>
    </cfRule>
  </conditionalFormatting>
  <conditionalFormatting sqref="A120:N120">
    <cfRule type="expression" dxfId="3" priority="118">
      <formula>OR($M120="Validado",$M120="Finalizado",LEFT($D120,10)="Finalizado")</formula>
    </cfRule>
  </conditionalFormatting>
  <conditionalFormatting sqref="A120:N120">
    <cfRule type="expression" dxfId="4" priority="119">
      <formula>AND($M120="Pendente",LEFT($D120,10)&lt;&gt;"Finalizado")</formula>
    </cfRule>
  </conditionalFormatting>
  <conditionalFormatting sqref="A121:N121">
    <cfRule type="expression" dxfId="3" priority="120">
      <formula>OR($M121="Validado",$M121="Finalizado",LEFT($D121,10)="Finalizado")</formula>
    </cfRule>
  </conditionalFormatting>
  <conditionalFormatting sqref="A121:N121">
    <cfRule type="expression" dxfId="4" priority="121">
      <formula>AND($M121="Pendente",LEFT($D121,10)&lt;&gt;"Finalizado")</formula>
    </cfRule>
  </conditionalFormatting>
  <conditionalFormatting sqref="A126:N137">
    <cfRule type="expression" dxfId="5" priority="122">
      <formula>OR($M126="Validado",$M126="Finalizado")</formula>
    </cfRule>
  </conditionalFormatting>
  <conditionalFormatting sqref="A126:N137">
    <cfRule type="expression" dxfId="6" priority="123">
      <formula>AND($M126="Pendente",NOT(ISNUMBER(SEARCH("Falta Justificada",$D126))),NOT(ISNUMBER(SEARCH("Cancelado",$D126))),NOT(ISNUMBER(SEARCH("Desmarcado",$D126))))</formula>
    </cfRule>
  </conditionalFormatting>
  <conditionalFormatting sqref="A142:N147">
    <cfRule type="expression" dxfId="5" priority="124">
      <formula>OR($M142="Validado",$M142="Finalizado")</formula>
    </cfRule>
  </conditionalFormatting>
  <conditionalFormatting sqref="A142:N147">
    <cfRule type="expression" dxfId="6" priority="125">
      <formula>AND($M142="Pendente",NOT(ISNUMBER(SEARCH("Falta Justificada",$D142))),NOT(ISNUMBER(SEARCH("Cancelado",$D142))),NOT(ISNUMBER(SEARCH("Desmarcado",$D142))))</formula>
    </cfRule>
  </conditionalFormatting>
  <dataValidations>
    <dataValidation type="list" allowBlank="1" sqref="M6:M11 M16:M20 M25:M33 M38:M43 M48:M56 M61:M64 M69:M75 M80:M90 M95:M101 M106:M113 M118:M121 M126:M137 M142:M147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0.0"/>
    <col customWidth="1" min="3" max="3" width="11.0"/>
    <col customWidth="1" min="4" max="4" width="22.0"/>
    <col customWidth="1" min="5" max="5" width="28.0"/>
    <col customWidth="1" min="6" max="6" width="30.0"/>
    <col customWidth="1" min="7" max="7" width="38.0"/>
    <col customWidth="1" min="8" max="8" width="10.0"/>
    <col customWidth="1" min="9" max="9" width="20.0"/>
    <col customWidth="1" min="10" max="10" width="22.0"/>
    <col customWidth="1" min="11" max="11" width="50.0"/>
    <col customWidth="1" min="12" max="12" width="22.0"/>
    <col customWidth="1" min="13" max="13" width="18.0"/>
    <col customWidth="1" min="14" max="14" width="32.0"/>
  </cols>
  <sheetData>
    <row r="1">
      <c r="A1" s="1" t="s">
        <v>1221</v>
      </c>
    </row>
    <row r="3">
      <c r="A3" s="2" t="s">
        <v>2</v>
      </c>
    </row>
    <row r="4">
      <c r="A4" s="3" t="s">
        <v>1188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1223</v>
      </c>
      <c r="C6" s="5" t="s">
        <v>94</v>
      </c>
      <c r="D6" s="5" t="s">
        <v>64</v>
      </c>
      <c r="E6" s="5" t="s">
        <v>211</v>
      </c>
      <c r="F6" s="5" t="s">
        <v>67</v>
      </c>
      <c r="G6" s="5" t="s">
        <v>1224</v>
      </c>
      <c r="H6" s="5" t="s">
        <v>70</v>
      </c>
      <c r="I6" s="5">
        <v>2.546744001009E12</v>
      </c>
      <c r="J6" s="5"/>
      <c r="K6" s="5" t="s">
        <v>40</v>
      </c>
      <c r="L6" s="5" t="s">
        <v>29</v>
      </c>
      <c r="M6" s="5" t="s">
        <v>30</v>
      </c>
      <c r="N6" s="5"/>
    </row>
    <row r="7">
      <c r="A7" s="5" t="s">
        <v>19</v>
      </c>
      <c r="B7" s="5" t="s">
        <v>1223</v>
      </c>
      <c r="C7" s="5" t="s">
        <v>50</v>
      </c>
      <c r="D7" s="5" t="s">
        <v>153</v>
      </c>
      <c r="E7" s="5" t="s">
        <v>37</v>
      </c>
      <c r="F7" s="5" t="s">
        <v>24</v>
      </c>
      <c r="G7" s="5" t="s">
        <v>1226</v>
      </c>
      <c r="H7" s="5" t="s">
        <v>156</v>
      </c>
      <c r="I7" s="5">
        <v>2.546744001009E12</v>
      </c>
      <c r="J7" s="5"/>
      <c r="K7" s="5" t="s">
        <v>28</v>
      </c>
      <c r="L7" s="5" t="s">
        <v>29</v>
      </c>
      <c r="M7" s="5" t="s">
        <v>30</v>
      </c>
      <c r="N7" s="5"/>
    </row>
    <row r="8">
      <c r="A8" s="5" t="s">
        <v>19</v>
      </c>
      <c r="B8" s="5" t="s">
        <v>1229</v>
      </c>
      <c r="C8" s="5" t="s">
        <v>35</v>
      </c>
      <c r="D8" s="5" t="s">
        <v>44</v>
      </c>
      <c r="E8" s="5" t="s">
        <v>73</v>
      </c>
      <c r="F8" s="5" t="s">
        <v>24</v>
      </c>
      <c r="G8" s="5" t="s">
        <v>1226</v>
      </c>
      <c r="H8" s="5" t="s">
        <v>49</v>
      </c>
      <c r="I8" s="5">
        <v>2.51074260201E12</v>
      </c>
      <c r="J8" s="5"/>
      <c r="K8" s="5" t="s">
        <v>28</v>
      </c>
      <c r="L8" s="5" t="s">
        <v>29</v>
      </c>
      <c r="M8" s="5" t="s">
        <v>30</v>
      </c>
      <c r="N8" s="5"/>
    </row>
    <row r="9">
      <c r="A9" s="5" t="s">
        <v>19</v>
      </c>
      <c r="B9" s="5" t="s">
        <v>1233</v>
      </c>
      <c r="C9" s="5" t="s">
        <v>235</v>
      </c>
      <c r="D9" s="5" t="s">
        <v>160</v>
      </c>
      <c r="E9" s="5" t="s">
        <v>211</v>
      </c>
      <c r="F9" s="5" t="s">
        <v>244</v>
      </c>
      <c r="G9" s="5" t="s">
        <v>1234</v>
      </c>
      <c r="H9" s="5" t="s">
        <v>162</v>
      </c>
      <c r="I9" s="5" t="s">
        <v>1235</v>
      </c>
      <c r="J9" s="5"/>
      <c r="K9" s="5" t="s">
        <v>28</v>
      </c>
      <c r="L9" s="5" t="s">
        <v>29</v>
      </c>
      <c r="M9" s="5" t="s">
        <v>30</v>
      </c>
      <c r="N9" s="5"/>
    </row>
    <row r="11">
      <c r="A11" s="2" t="s">
        <v>170</v>
      </c>
    </row>
    <row r="12">
      <c r="A12" s="3" t="s">
        <v>1188</v>
      </c>
    </row>
    <row r="13">
      <c r="A13" s="4" t="s">
        <v>4</v>
      </c>
      <c r="B13" s="4" t="s">
        <v>6</v>
      </c>
      <c r="C13" s="4" t="s">
        <v>7</v>
      </c>
      <c r="D13" s="4" t="s">
        <v>8</v>
      </c>
      <c r="E13" s="4" t="s">
        <v>9</v>
      </c>
      <c r="F13" s="4" t="s">
        <v>10</v>
      </c>
      <c r="G13" s="4" t="s">
        <v>11</v>
      </c>
      <c r="H13" s="4" t="s">
        <v>12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</row>
    <row r="14">
      <c r="A14" s="5" t="s">
        <v>183</v>
      </c>
      <c r="B14" s="5" t="s">
        <v>1239</v>
      </c>
      <c r="C14" s="5" t="s">
        <v>112</v>
      </c>
      <c r="D14" s="5" t="s">
        <v>1240</v>
      </c>
      <c r="E14" s="5" t="s">
        <v>196</v>
      </c>
      <c r="F14" s="5" t="s">
        <v>138</v>
      </c>
      <c r="G14" s="5" t="s">
        <v>1241</v>
      </c>
      <c r="H14" s="5" t="s">
        <v>1242</v>
      </c>
      <c r="I14" s="5">
        <v>2.514045002001E12</v>
      </c>
      <c r="J14" s="5" t="s">
        <v>1243</v>
      </c>
      <c r="K14" s="5" t="s">
        <v>57</v>
      </c>
      <c r="L14" s="5" t="s">
        <v>58</v>
      </c>
      <c r="M14" s="5" t="s">
        <v>59</v>
      </c>
      <c r="N14" s="5"/>
    </row>
    <row r="15">
      <c r="A15" s="5" t="s">
        <v>183</v>
      </c>
      <c r="B15" s="5" t="s">
        <v>1233</v>
      </c>
      <c r="C15" s="5" t="s">
        <v>177</v>
      </c>
      <c r="D15" s="5" t="s">
        <v>63</v>
      </c>
      <c r="E15" s="5" t="s">
        <v>280</v>
      </c>
      <c r="F15" s="5" t="s">
        <v>98</v>
      </c>
      <c r="G15" s="5" t="s">
        <v>1224</v>
      </c>
      <c r="H15" s="5" t="s">
        <v>66</v>
      </c>
      <c r="I15" s="5" t="s">
        <v>1235</v>
      </c>
      <c r="J15" s="5"/>
      <c r="K15" s="5" t="s">
        <v>28</v>
      </c>
      <c r="L15" s="5" t="s">
        <v>29</v>
      </c>
      <c r="M15" s="5" t="s">
        <v>30</v>
      </c>
      <c r="N15" s="5"/>
    </row>
    <row r="16">
      <c r="A16" s="5" t="s">
        <v>183</v>
      </c>
      <c r="B16" s="5" t="s">
        <v>1244</v>
      </c>
      <c r="C16" s="5" t="s">
        <v>43</v>
      </c>
      <c r="D16" s="5" t="s">
        <v>1245</v>
      </c>
      <c r="E16" s="5" t="s">
        <v>196</v>
      </c>
      <c r="F16" s="5" t="s">
        <v>138</v>
      </c>
      <c r="G16" s="5" t="s">
        <v>1241</v>
      </c>
      <c r="H16" s="5" t="s">
        <v>1098</v>
      </c>
      <c r="I16" s="5">
        <v>2.506638200059E12</v>
      </c>
      <c r="J16" s="5" t="s">
        <v>1246</v>
      </c>
      <c r="K16" s="5" t="s">
        <v>28</v>
      </c>
      <c r="L16" s="5" t="s">
        <v>29</v>
      </c>
      <c r="M16" s="5" t="s">
        <v>30</v>
      </c>
      <c r="N16" s="5"/>
    </row>
    <row r="17">
      <c r="A17" s="5" t="s">
        <v>183</v>
      </c>
      <c r="B17" s="5" t="s">
        <v>1247</v>
      </c>
      <c r="C17" s="5" t="s">
        <v>235</v>
      </c>
      <c r="D17" s="5" t="s">
        <v>1248</v>
      </c>
      <c r="E17" s="5" t="s">
        <v>224</v>
      </c>
      <c r="F17" s="5" t="s">
        <v>138</v>
      </c>
      <c r="G17" s="5" t="s">
        <v>1241</v>
      </c>
      <c r="H17" s="5" t="s">
        <v>1193</v>
      </c>
      <c r="I17" s="5">
        <v>2.492699000037E12</v>
      </c>
      <c r="J17" s="5" t="s">
        <v>1249</v>
      </c>
      <c r="K17" s="5" t="s">
        <v>28</v>
      </c>
      <c r="L17" s="5" t="s">
        <v>29</v>
      </c>
      <c r="M17" s="5" t="s">
        <v>30</v>
      </c>
      <c r="N17" s="5" t="s">
        <v>1250</v>
      </c>
    </row>
    <row r="19">
      <c r="A19" s="2" t="s">
        <v>286</v>
      </c>
    </row>
    <row r="20">
      <c r="A20" s="3" t="s">
        <v>1251</v>
      </c>
    </row>
    <row r="21" ht="15.75" customHeight="1">
      <c r="A21" s="4" t="s">
        <v>4</v>
      </c>
      <c r="B21" s="4" t="s">
        <v>6</v>
      </c>
      <c r="C21" s="4" t="s">
        <v>7</v>
      </c>
      <c r="D21" s="4" t="s">
        <v>8</v>
      </c>
      <c r="E21" s="4" t="s">
        <v>9</v>
      </c>
      <c r="F21" s="4" t="s">
        <v>10</v>
      </c>
      <c r="G21" s="4" t="s">
        <v>11</v>
      </c>
      <c r="H21" s="4" t="s">
        <v>12</v>
      </c>
      <c r="I21" s="4" t="s">
        <v>13</v>
      </c>
      <c r="J21" s="4" t="s">
        <v>14</v>
      </c>
      <c r="K21" s="4" t="s">
        <v>15</v>
      </c>
      <c r="L21" s="4" t="s">
        <v>16</v>
      </c>
      <c r="M21" s="4" t="s">
        <v>17</v>
      </c>
      <c r="N21" s="4" t="s">
        <v>18</v>
      </c>
    </row>
    <row r="22" ht="15.75" customHeight="1">
      <c r="A22" s="5" t="s">
        <v>297</v>
      </c>
      <c r="B22" s="5" t="s">
        <v>1252</v>
      </c>
      <c r="C22" s="5" t="s">
        <v>21</v>
      </c>
      <c r="D22" s="5" t="s">
        <v>925</v>
      </c>
      <c r="E22" s="5" t="s">
        <v>325</v>
      </c>
      <c r="F22" s="5" t="s">
        <v>138</v>
      </c>
      <c r="G22" s="5" t="s">
        <v>1253</v>
      </c>
      <c r="H22" s="5" t="s">
        <v>162</v>
      </c>
      <c r="I22" s="5">
        <v>2.578161801009E12</v>
      </c>
      <c r="J22" s="5" t="s">
        <v>1254</v>
      </c>
      <c r="K22" s="5" t="s">
        <v>302</v>
      </c>
      <c r="L22" s="5" t="s">
        <v>304</v>
      </c>
      <c r="M22" s="5" t="s">
        <v>373</v>
      </c>
      <c r="N22" s="5"/>
    </row>
    <row r="23" ht="15.75" customHeight="1">
      <c r="A23" s="5" t="s">
        <v>297</v>
      </c>
      <c r="B23" s="5" t="s">
        <v>1255</v>
      </c>
      <c r="C23" s="5" t="s">
        <v>142</v>
      </c>
      <c r="D23" s="5" t="s">
        <v>731</v>
      </c>
      <c r="E23" s="5" t="s">
        <v>37</v>
      </c>
      <c r="F23" s="5" t="s">
        <v>24</v>
      </c>
      <c r="G23" s="5" t="s">
        <v>1226</v>
      </c>
      <c r="H23" s="5" t="s">
        <v>38</v>
      </c>
      <c r="I23" s="5">
        <v>2.546744000001E12</v>
      </c>
      <c r="J23" s="5"/>
      <c r="K23" s="5" t="s">
        <v>348</v>
      </c>
      <c r="L23" s="5" t="s">
        <v>304</v>
      </c>
      <c r="M23" s="5" t="s">
        <v>59</v>
      </c>
      <c r="N23" s="5"/>
    </row>
    <row r="24" ht="15.75" customHeight="1"/>
    <row r="25" ht="15.75" customHeight="1">
      <c r="A25" s="6" t="s">
        <v>414</v>
      </c>
    </row>
    <row r="26" ht="15.75" customHeight="1">
      <c r="A26" s="6" t="s">
        <v>1251</v>
      </c>
    </row>
    <row r="27" ht="15.75" customHeight="1">
      <c r="A27" s="6" t="s">
        <v>4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  <c r="G27" s="6" t="s">
        <v>11</v>
      </c>
      <c r="H27" s="6" t="s">
        <v>12</v>
      </c>
      <c r="I27" s="6" t="s">
        <v>13</v>
      </c>
      <c r="J27" s="6" t="s">
        <v>14</v>
      </c>
      <c r="K27" s="6" t="s">
        <v>15</v>
      </c>
      <c r="L27" s="6" t="s">
        <v>16</v>
      </c>
      <c r="M27" s="6" t="s">
        <v>17</v>
      </c>
      <c r="N27" s="6" t="s">
        <v>18</v>
      </c>
    </row>
    <row r="28" ht="15.75" customHeight="1">
      <c r="A28" s="8" t="s">
        <v>424</v>
      </c>
      <c r="B28" s="8" t="s">
        <v>1229</v>
      </c>
      <c r="C28" s="8" t="s">
        <v>591</v>
      </c>
      <c r="D28" s="8" t="s">
        <v>429</v>
      </c>
      <c r="E28" s="8" t="s">
        <v>508</v>
      </c>
      <c r="F28" s="8" t="s">
        <v>67</v>
      </c>
      <c r="G28" s="8" t="s">
        <v>649</v>
      </c>
      <c r="H28" s="8" t="s">
        <v>70</v>
      </c>
      <c r="I28" s="8" t="s">
        <v>1259</v>
      </c>
      <c r="J28" s="8"/>
      <c r="K28" s="8"/>
      <c r="L28" s="8"/>
      <c r="M28" s="8" t="s">
        <v>30</v>
      </c>
      <c r="N28" s="8"/>
    </row>
    <row r="29" ht="15.75" customHeight="1">
      <c r="A29" s="8" t="s">
        <v>424</v>
      </c>
      <c r="B29" s="8" t="s">
        <v>1233</v>
      </c>
      <c r="C29" s="8" t="s">
        <v>482</v>
      </c>
      <c r="D29" s="8" t="s">
        <v>429</v>
      </c>
      <c r="E29" s="8" t="s">
        <v>459</v>
      </c>
      <c r="F29" s="8" t="s">
        <v>244</v>
      </c>
      <c r="G29" s="8" t="s">
        <v>1260</v>
      </c>
      <c r="H29" s="8" t="s">
        <v>969</v>
      </c>
      <c r="I29" s="8" t="s">
        <v>1235</v>
      </c>
      <c r="J29" s="8"/>
      <c r="K29" s="8"/>
      <c r="L29" s="8"/>
      <c r="M29" s="8" t="s">
        <v>30</v>
      </c>
      <c r="N29" s="8"/>
    </row>
    <row r="30" ht="15.75" customHeight="1"/>
    <row r="31" ht="15.75" customHeight="1">
      <c r="A31" s="6" t="s">
        <v>515</v>
      </c>
    </row>
    <row r="32" ht="15.75" customHeight="1">
      <c r="A32" s="6" t="s">
        <v>1261</v>
      </c>
    </row>
    <row r="33" ht="15.75" customHeight="1">
      <c r="A33" s="6" t="s">
        <v>4</v>
      </c>
      <c r="B33" s="6" t="s">
        <v>6</v>
      </c>
      <c r="C33" s="6" t="s">
        <v>7</v>
      </c>
      <c r="D33" s="6" t="s">
        <v>8</v>
      </c>
      <c r="E33" s="6" t="s">
        <v>9</v>
      </c>
      <c r="F33" s="6" t="s">
        <v>10</v>
      </c>
      <c r="G33" s="6" t="s">
        <v>11</v>
      </c>
      <c r="H33" s="6" t="s">
        <v>12</v>
      </c>
      <c r="I33" s="6" t="s">
        <v>13</v>
      </c>
      <c r="J33" s="6" t="s">
        <v>14</v>
      </c>
      <c r="K33" s="6" t="s">
        <v>15</v>
      </c>
      <c r="L33" s="6" t="s">
        <v>16</v>
      </c>
      <c r="M33" s="6" t="s">
        <v>17</v>
      </c>
      <c r="N33" s="6" t="s">
        <v>18</v>
      </c>
    </row>
    <row r="34" ht="15.75" customHeight="1">
      <c r="A34" s="8" t="s">
        <v>521</v>
      </c>
      <c r="B34" s="8" t="s">
        <v>1255</v>
      </c>
      <c r="C34" s="8" t="s">
        <v>608</v>
      </c>
      <c r="D34" s="8" t="s">
        <v>429</v>
      </c>
      <c r="E34" s="8" t="s">
        <v>459</v>
      </c>
      <c r="F34" s="8" t="s">
        <v>24</v>
      </c>
      <c r="G34" s="8" t="s">
        <v>431</v>
      </c>
      <c r="H34" s="8" t="s">
        <v>70</v>
      </c>
      <c r="I34" s="8" t="s">
        <v>1262</v>
      </c>
      <c r="J34" s="8"/>
      <c r="K34" s="8"/>
      <c r="L34" s="8"/>
      <c r="M34" s="8" t="s">
        <v>59</v>
      </c>
      <c r="N34" s="8"/>
    </row>
    <row r="35" ht="15.75" customHeight="1">
      <c r="A35" s="6" t="s">
        <v>521</v>
      </c>
      <c r="B35" s="6" t="s">
        <v>1263</v>
      </c>
      <c r="C35" s="6" t="s">
        <v>501</v>
      </c>
      <c r="D35" s="6" t="s">
        <v>553</v>
      </c>
      <c r="E35" s="6" t="s">
        <v>430</v>
      </c>
      <c r="F35" s="6" t="s">
        <v>1265</v>
      </c>
      <c r="G35" s="6" t="s">
        <v>431</v>
      </c>
      <c r="H35" s="6" t="s">
        <v>558</v>
      </c>
      <c r="I35" s="6" t="s">
        <v>1266</v>
      </c>
      <c r="M35" s="6" t="s">
        <v>561</v>
      </c>
    </row>
    <row r="36" ht="15.75" customHeight="1">
      <c r="A36" s="8" t="s">
        <v>521</v>
      </c>
      <c r="B36" s="8" t="s">
        <v>1247</v>
      </c>
      <c r="C36" s="8" t="s">
        <v>596</v>
      </c>
      <c r="D36" s="8" t="s">
        <v>429</v>
      </c>
      <c r="E36" s="8" t="s">
        <v>224</v>
      </c>
      <c r="F36" s="8" t="s">
        <v>138</v>
      </c>
      <c r="G36" s="8" t="s">
        <v>1268</v>
      </c>
      <c r="H36" s="8" t="s">
        <v>1269</v>
      </c>
      <c r="I36" s="8" t="s">
        <v>1270</v>
      </c>
      <c r="J36" s="8" t="s">
        <v>1249</v>
      </c>
      <c r="K36" s="8"/>
      <c r="L36" s="8"/>
      <c r="M36" s="8" t="s">
        <v>59</v>
      </c>
      <c r="N36" s="8"/>
    </row>
    <row r="37" ht="15.75" customHeight="1"/>
    <row r="38" ht="15.75" customHeight="1">
      <c r="A38" s="6" t="s">
        <v>605</v>
      </c>
    </row>
    <row r="39" ht="15.75" customHeight="1">
      <c r="A39" s="6" t="s">
        <v>1156</v>
      </c>
    </row>
    <row r="40" ht="15.75" customHeight="1">
      <c r="A40" s="6" t="s">
        <v>4</v>
      </c>
      <c r="B40" s="6" t="s">
        <v>6</v>
      </c>
      <c r="C40" s="6" t="s">
        <v>7</v>
      </c>
      <c r="D40" s="6" t="s">
        <v>8</v>
      </c>
      <c r="E40" s="6" t="s">
        <v>9</v>
      </c>
      <c r="F40" s="6" t="s">
        <v>10</v>
      </c>
      <c r="G40" s="6" t="s">
        <v>11</v>
      </c>
      <c r="H40" s="6" t="s">
        <v>12</v>
      </c>
      <c r="I40" s="6" t="s">
        <v>13</v>
      </c>
      <c r="J40" s="6" t="s">
        <v>14</v>
      </c>
      <c r="K40" s="6" t="s">
        <v>15</v>
      </c>
      <c r="L40" s="6" t="s">
        <v>16</v>
      </c>
      <c r="M40" s="6" t="s">
        <v>17</v>
      </c>
      <c r="N40" s="6" t="s">
        <v>18</v>
      </c>
    </row>
    <row r="41" ht="15.75" customHeight="1">
      <c r="A41" s="6" t="s">
        <v>613</v>
      </c>
      <c r="B41" s="6" t="s">
        <v>1223</v>
      </c>
      <c r="C41" s="6" t="s">
        <v>469</v>
      </c>
      <c r="D41" s="6" t="s">
        <v>401</v>
      </c>
      <c r="E41" s="6" t="s">
        <v>430</v>
      </c>
      <c r="F41" s="6" t="s">
        <v>67</v>
      </c>
      <c r="G41" s="6" t="s">
        <v>1224</v>
      </c>
      <c r="H41" s="6" t="s">
        <v>101</v>
      </c>
      <c r="I41" s="6" t="s">
        <v>1271</v>
      </c>
      <c r="J41" s="6"/>
      <c r="K41" s="6" t="s">
        <v>638</v>
      </c>
      <c r="L41" s="6" t="s">
        <v>304</v>
      </c>
      <c r="M41" s="6" t="s">
        <v>59</v>
      </c>
      <c r="N41" s="6"/>
    </row>
    <row r="42" ht="15.75" customHeight="1">
      <c r="A42" s="6" t="s">
        <v>613</v>
      </c>
      <c r="B42" s="6" t="s">
        <v>1223</v>
      </c>
      <c r="C42" s="6" t="s">
        <v>435</v>
      </c>
      <c r="D42" s="6" t="s">
        <v>365</v>
      </c>
      <c r="E42" s="6" t="s">
        <v>459</v>
      </c>
      <c r="F42" s="6" t="s">
        <v>24</v>
      </c>
      <c r="G42" s="6" t="s">
        <v>1226</v>
      </c>
      <c r="H42" s="6" t="s">
        <v>49</v>
      </c>
      <c r="I42" s="6" t="s">
        <v>1271</v>
      </c>
      <c r="J42" s="6"/>
      <c r="K42" s="6"/>
      <c r="L42" s="6" t="s">
        <v>304</v>
      </c>
      <c r="M42" s="6" t="s">
        <v>59</v>
      </c>
      <c r="N42" s="6"/>
    </row>
    <row r="43" ht="15.75" customHeight="1">
      <c r="A43" s="6" t="s">
        <v>613</v>
      </c>
      <c r="B43" s="6" t="s">
        <v>1229</v>
      </c>
      <c r="C43" s="6" t="s">
        <v>591</v>
      </c>
      <c r="D43" s="6" t="s">
        <v>731</v>
      </c>
      <c r="E43" s="6" t="s">
        <v>524</v>
      </c>
      <c r="F43" s="6" t="s">
        <v>24</v>
      </c>
      <c r="G43" s="6" t="s">
        <v>1226</v>
      </c>
      <c r="H43" s="6" t="s">
        <v>38</v>
      </c>
      <c r="I43" s="6" t="s">
        <v>1259</v>
      </c>
      <c r="K43" s="6" t="s">
        <v>638</v>
      </c>
      <c r="L43" s="6" t="s">
        <v>304</v>
      </c>
      <c r="M43" s="6" t="s">
        <v>373</v>
      </c>
    </row>
    <row r="44" ht="15.75" customHeight="1">
      <c r="A44" s="6" t="s">
        <v>613</v>
      </c>
      <c r="B44" s="6" t="s">
        <v>1263</v>
      </c>
      <c r="C44" s="6" t="s">
        <v>588</v>
      </c>
      <c r="D44" s="6" t="s">
        <v>401</v>
      </c>
      <c r="E44" s="6" t="s">
        <v>430</v>
      </c>
      <c r="F44" s="6" t="s">
        <v>67</v>
      </c>
      <c r="G44" s="6" t="s">
        <v>1224</v>
      </c>
      <c r="H44" s="6" t="s">
        <v>101</v>
      </c>
      <c r="I44" s="6" t="s">
        <v>1266</v>
      </c>
      <c r="K44" s="6" t="s">
        <v>638</v>
      </c>
      <c r="L44" s="6" t="s">
        <v>304</v>
      </c>
      <c r="M44" s="6" t="s">
        <v>373</v>
      </c>
    </row>
    <row r="45" ht="15.75" customHeight="1">
      <c r="A45" s="6" t="s">
        <v>613</v>
      </c>
      <c r="B45" s="6" t="s">
        <v>1233</v>
      </c>
      <c r="C45" s="6" t="s">
        <v>482</v>
      </c>
      <c r="D45" s="6" t="s">
        <v>1116</v>
      </c>
      <c r="E45" s="6" t="s">
        <v>430</v>
      </c>
      <c r="F45" s="6" t="s">
        <v>244</v>
      </c>
      <c r="G45" s="6" t="s">
        <v>1234</v>
      </c>
      <c r="H45" s="6" t="s">
        <v>384</v>
      </c>
      <c r="I45" s="6" t="s">
        <v>1235</v>
      </c>
      <c r="J45" s="6"/>
      <c r="K45" s="6"/>
      <c r="L45" s="6" t="s">
        <v>304</v>
      </c>
      <c r="M45" s="6" t="s">
        <v>59</v>
      </c>
      <c r="N45" s="6"/>
    </row>
    <row r="46" ht="15.75" customHeight="1"/>
    <row r="47" ht="15.75" customHeight="1">
      <c r="A47" s="16" t="s">
        <v>661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ht="15.75" customHeight="1">
      <c r="A48" s="17" t="s">
        <v>1156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ht="15.75" customHeight="1">
      <c r="A49" s="18" t="s">
        <v>4</v>
      </c>
      <c r="B49" s="18" t="s">
        <v>6</v>
      </c>
      <c r="C49" s="18" t="s">
        <v>7</v>
      </c>
      <c r="D49" s="18" t="s">
        <v>8</v>
      </c>
      <c r="E49" s="18" t="s">
        <v>9</v>
      </c>
      <c r="F49" s="18" t="s">
        <v>10</v>
      </c>
      <c r="G49" s="18" t="s">
        <v>11</v>
      </c>
      <c r="H49" s="18" t="s">
        <v>12</v>
      </c>
      <c r="I49" s="18" t="s">
        <v>13</v>
      </c>
      <c r="J49" s="18" t="s">
        <v>14</v>
      </c>
      <c r="K49" s="18" t="s">
        <v>15</v>
      </c>
      <c r="L49" s="18" t="s">
        <v>16</v>
      </c>
      <c r="M49" s="18" t="s">
        <v>17</v>
      </c>
      <c r="N49" s="18" t="s">
        <v>18</v>
      </c>
    </row>
    <row r="50" ht="15.75" customHeight="1">
      <c r="A50" s="6" t="s">
        <v>669</v>
      </c>
      <c r="B50" s="6" t="s">
        <v>1239</v>
      </c>
      <c r="C50" s="6" t="s">
        <v>914</v>
      </c>
      <c r="D50" s="6" t="s">
        <v>429</v>
      </c>
      <c r="E50" s="6" t="s">
        <v>196</v>
      </c>
      <c r="F50" s="6" t="s">
        <v>138</v>
      </c>
      <c r="G50" s="6" t="s">
        <v>1268</v>
      </c>
      <c r="H50" s="6" t="s">
        <v>1273</v>
      </c>
      <c r="I50" s="6" t="s">
        <v>1274</v>
      </c>
      <c r="J50" s="6" t="s">
        <v>1243</v>
      </c>
      <c r="K50" s="6"/>
      <c r="L50" s="6" t="s">
        <v>304</v>
      </c>
      <c r="M50" s="6" t="s">
        <v>59</v>
      </c>
      <c r="N50" s="6"/>
    </row>
    <row r="51" ht="15.75" customHeight="1">
      <c r="A51" s="6" t="s">
        <v>669</v>
      </c>
      <c r="B51" s="6" t="s">
        <v>1275</v>
      </c>
      <c r="C51" s="6" t="s">
        <v>1237</v>
      </c>
      <c r="D51" s="6" t="s">
        <v>429</v>
      </c>
      <c r="E51" s="6" t="s">
        <v>240</v>
      </c>
      <c r="F51" s="6" t="s">
        <v>241</v>
      </c>
      <c r="G51" s="6" t="s">
        <v>1276</v>
      </c>
      <c r="H51" s="6" t="s">
        <v>396</v>
      </c>
      <c r="I51" s="6" t="s">
        <v>1277</v>
      </c>
      <c r="J51" s="6" t="s">
        <v>1278</v>
      </c>
      <c r="K51" s="6" t="s">
        <v>724</v>
      </c>
      <c r="L51" s="6" t="s">
        <v>304</v>
      </c>
      <c r="M51" s="6" t="s">
        <v>59</v>
      </c>
      <c r="N51" s="6"/>
    </row>
    <row r="52" ht="15.75" customHeight="1">
      <c r="A52" s="6" t="s">
        <v>669</v>
      </c>
      <c r="B52" s="6" t="s">
        <v>1275</v>
      </c>
      <c r="C52" s="6" t="s">
        <v>1237</v>
      </c>
      <c r="D52" s="6" t="s">
        <v>429</v>
      </c>
      <c r="E52" s="6" t="s">
        <v>240</v>
      </c>
      <c r="F52" s="6" t="s">
        <v>257</v>
      </c>
      <c r="G52" s="6" t="s">
        <v>1001</v>
      </c>
      <c r="H52" s="6" t="s">
        <v>396</v>
      </c>
      <c r="I52" s="6" t="s">
        <v>1277</v>
      </c>
      <c r="J52" s="6"/>
      <c r="K52" s="6" t="s">
        <v>724</v>
      </c>
      <c r="L52" s="6" t="s">
        <v>304</v>
      </c>
      <c r="M52" s="6" t="s">
        <v>59</v>
      </c>
      <c r="N52" s="6"/>
    </row>
    <row r="53" ht="15.75" customHeight="1">
      <c r="A53" s="6" t="s">
        <v>669</v>
      </c>
      <c r="B53" s="6" t="s">
        <v>1233</v>
      </c>
      <c r="C53" s="6" t="s">
        <v>870</v>
      </c>
      <c r="D53" s="6" t="s">
        <v>553</v>
      </c>
      <c r="E53" s="6" t="s">
        <v>714</v>
      </c>
      <c r="F53" s="6" t="s">
        <v>98</v>
      </c>
      <c r="G53" s="6" t="s">
        <v>649</v>
      </c>
      <c r="H53" s="6" t="s">
        <v>558</v>
      </c>
      <c r="I53" s="6" t="s">
        <v>1235</v>
      </c>
      <c r="K53" s="6" t="s">
        <v>753</v>
      </c>
      <c r="M53" s="6"/>
    </row>
    <row r="54" ht="15.75" customHeight="1">
      <c r="A54" s="6" t="s">
        <v>669</v>
      </c>
      <c r="B54" s="6" t="s">
        <v>1244</v>
      </c>
      <c r="C54" s="6" t="s">
        <v>837</v>
      </c>
      <c r="D54" s="6" t="s">
        <v>429</v>
      </c>
      <c r="E54" s="6" t="s">
        <v>196</v>
      </c>
      <c r="F54" s="6" t="s">
        <v>138</v>
      </c>
      <c r="G54" s="6" t="s">
        <v>1268</v>
      </c>
      <c r="H54" s="6" t="s">
        <v>1189</v>
      </c>
      <c r="I54" s="6" t="s">
        <v>1279</v>
      </c>
      <c r="J54" s="6" t="s">
        <v>1246</v>
      </c>
      <c r="K54" s="6"/>
      <c r="L54" s="6" t="s">
        <v>304</v>
      </c>
      <c r="M54" s="6" t="s">
        <v>59</v>
      </c>
      <c r="N54" s="6"/>
    </row>
    <row r="55" ht="15.75" customHeight="1"/>
    <row r="56" ht="15.75" customHeight="1">
      <c r="A56" s="16" t="s">
        <v>738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ht="15.75" customHeight="1">
      <c r="A57" s="17" t="s">
        <v>1188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ht="15.75" customHeight="1">
      <c r="A58" s="18" t="s">
        <v>4</v>
      </c>
      <c r="B58" s="18" t="s">
        <v>6</v>
      </c>
      <c r="C58" s="18" t="s">
        <v>7</v>
      </c>
      <c r="D58" s="18" t="s">
        <v>8</v>
      </c>
      <c r="E58" s="18" t="s">
        <v>9</v>
      </c>
      <c r="F58" s="18" t="s">
        <v>10</v>
      </c>
      <c r="G58" s="18" t="s">
        <v>11</v>
      </c>
      <c r="H58" s="18" t="s">
        <v>12</v>
      </c>
      <c r="I58" s="18" t="s">
        <v>13</v>
      </c>
      <c r="J58" s="18" t="s">
        <v>14</v>
      </c>
      <c r="K58" s="18" t="s">
        <v>15</v>
      </c>
      <c r="L58" s="18" t="s">
        <v>16</v>
      </c>
      <c r="M58" s="18" t="s">
        <v>17</v>
      </c>
      <c r="N58" s="18" t="s">
        <v>18</v>
      </c>
    </row>
    <row r="59" ht="15.75" customHeight="1">
      <c r="A59" s="6" t="s">
        <v>745</v>
      </c>
      <c r="B59" s="6" t="s">
        <v>1223</v>
      </c>
      <c r="C59" s="6" t="s">
        <v>747</v>
      </c>
      <c r="D59" s="6" t="s">
        <v>429</v>
      </c>
      <c r="E59" s="6" t="s">
        <v>459</v>
      </c>
      <c r="F59" s="6" t="s">
        <v>24</v>
      </c>
      <c r="G59" s="6" t="s">
        <v>431</v>
      </c>
      <c r="H59" s="6" t="s">
        <v>38</v>
      </c>
      <c r="I59" s="6" t="s">
        <v>1271</v>
      </c>
      <c r="J59" s="6"/>
      <c r="K59" s="6" t="s">
        <v>674</v>
      </c>
      <c r="L59" s="6" t="s">
        <v>304</v>
      </c>
      <c r="M59" s="6" t="s">
        <v>59</v>
      </c>
      <c r="N59" s="6"/>
    </row>
    <row r="60" ht="15.75" customHeight="1">
      <c r="A60" s="6" t="s">
        <v>745</v>
      </c>
      <c r="B60" s="6" t="s">
        <v>1229</v>
      </c>
      <c r="C60" s="6" t="s">
        <v>914</v>
      </c>
      <c r="D60" s="6" t="s">
        <v>429</v>
      </c>
      <c r="E60" s="6" t="s">
        <v>524</v>
      </c>
      <c r="F60" s="6" t="s">
        <v>24</v>
      </c>
      <c r="G60" s="6" t="s">
        <v>431</v>
      </c>
      <c r="H60" s="6" t="s">
        <v>38</v>
      </c>
      <c r="I60" s="6" t="s">
        <v>1259</v>
      </c>
      <c r="J60" s="6"/>
      <c r="K60" s="6" t="s">
        <v>674</v>
      </c>
      <c r="L60" s="6" t="s">
        <v>304</v>
      </c>
      <c r="M60" s="6" t="s">
        <v>59</v>
      </c>
      <c r="N60" s="6"/>
    </row>
    <row r="61" ht="15.75" customHeight="1">
      <c r="A61" s="6" t="s">
        <v>745</v>
      </c>
      <c r="B61" s="6" t="s">
        <v>1229</v>
      </c>
      <c r="C61" s="6" t="s">
        <v>705</v>
      </c>
      <c r="D61" s="6" t="s">
        <v>429</v>
      </c>
      <c r="E61" s="6" t="s">
        <v>508</v>
      </c>
      <c r="F61" s="6" t="s">
        <v>67</v>
      </c>
      <c r="G61" s="6" t="s">
        <v>649</v>
      </c>
      <c r="H61" s="6" t="s">
        <v>101</v>
      </c>
      <c r="I61" s="6" t="s">
        <v>1259</v>
      </c>
      <c r="J61" s="6"/>
      <c r="K61" s="6" t="s">
        <v>674</v>
      </c>
      <c r="L61" s="6" t="s">
        <v>304</v>
      </c>
      <c r="M61" s="6" t="s">
        <v>59</v>
      </c>
      <c r="N61" s="6"/>
    </row>
    <row r="62" ht="15.75" customHeight="1">
      <c r="A62" s="6" t="s">
        <v>745</v>
      </c>
      <c r="B62" s="6" t="s">
        <v>1233</v>
      </c>
      <c r="C62" s="6" t="s">
        <v>899</v>
      </c>
      <c r="D62" s="6" t="s">
        <v>553</v>
      </c>
      <c r="E62" s="6" t="s">
        <v>459</v>
      </c>
      <c r="F62" s="6" t="s">
        <v>244</v>
      </c>
      <c r="G62" s="6" t="s">
        <v>1260</v>
      </c>
      <c r="H62" s="6" t="s">
        <v>1105</v>
      </c>
      <c r="I62" s="6" t="s">
        <v>1235</v>
      </c>
      <c r="K62" s="6" t="s">
        <v>753</v>
      </c>
      <c r="M62" s="6"/>
    </row>
    <row r="63" ht="15.75" customHeight="1"/>
    <row r="64" ht="15.75" customHeight="1">
      <c r="A64" s="16" t="s">
        <v>809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ht="15.75" customHeight="1">
      <c r="A65" s="17" t="s">
        <v>1251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ht="15.75" customHeight="1">
      <c r="A66" s="18" t="s">
        <v>4</v>
      </c>
      <c r="B66" s="18" t="s">
        <v>6</v>
      </c>
      <c r="C66" s="18" t="s">
        <v>7</v>
      </c>
      <c r="D66" s="18" t="s">
        <v>8</v>
      </c>
      <c r="E66" s="18" t="s">
        <v>9</v>
      </c>
      <c r="F66" s="18" t="s">
        <v>10</v>
      </c>
      <c r="G66" s="18" t="s">
        <v>11</v>
      </c>
      <c r="H66" s="18" t="s">
        <v>12</v>
      </c>
      <c r="I66" s="18" t="s">
        <v>13</v>
      </c>
      <c r="J66" s="18" t="s">
        <v>14</v>
      </c>
      <c r="K66" s="18" t="s">
        <v>15</v>
      </c>
      <c r="L66" s="18" t="s">
        <v>16</v>
      </c>
      <c r="M66" s="18" t="s">
        <v>17</v>
      </c>
      <c r="N66" s="18" t="s">
        <v>18</v>
      </c>
    </row>
    <row r="67" ht="15.75" customHeight="1">
      <c r="A67" s="6" t="s">
        <v>818</v>
      </c>
      <c r="B67" s="6" t="s">
        <v>1255</v>
      </c>
      <c r="C67" s="6" t="s">
        <v>670</v>
      </c>
      <c r="D67" s="6" t="s">
        <v>553</v>
      </c>
      <c r="E67" s="6" t="s">
        <v>459</v>
      </c>
      <c r="F67" s="6" t="s">
        <v>24</v>
      </c>
      <c r="G67" s="6" t="s">
        <v>431</v>
      </c>
      <c r="H67" s="6" t="s">
        <v>558</v>
      </c>
      <c r="I67" s="6" t="s">
        <v>1262</v>
      </c>
      <c r="K67" s="6" t="s">
        <v>824</v>
      </c>
      <c r="M67" s="6"/>
    </row>
    <row r="68" ht="15.75" customHeight="1">
      <c r="A68" s="6" t="s">
        <v>818</v>
      </c>
      <c r="B68" s="6" t="s">
        <v>1263</v>
      </c>
      <c r="C68" s="6" t="s">
        <v>781</v>
      </c>
      <c r="D68" s="6" t="s">
        <v>429</v>
      </c>
      <c r="E68" s="6" t="s">
        <v>430</v>
      </c>
      <c r="F68" s="6" t="s">
        <v>1265</v>
      </c>
      <c r="G68" s="6" t="s">
        <v>431</v>
      </c>
      <c r="H68" s="6" t="s">
        <v>55</v>
      </c>
      <c r="I68" s="6" t="s">
        <v>1266</v>
      </c>
      <c r="J68" s="6"/>
      <c r="K68" s="6"/>
      <c r="L68" s="6" t="s">
        <v>304</v>
      </c>
      <c r="M68" s="6" t="s">
        <v>59</v>
      </c>
      <c r="N68" s="6"/>
    </row>
    <row r="69" ht="15.75" customHeight="1"/>
    <row r="70" ht="15.75" customHeight="1">
      <c r="A70" s="16" t="s">
        <v>855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ht="15.75" customHeight="1">
      <c r="A71" s="17" t="s">
        <v>1188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ht="15.75" customHeight="1">
      <c r="A72" s="18" t="s">
        <v>4</v>
      </c>
      <c r="B72" s="18" t="s">
        <v>6</v>
      </c>
      <c r="C72" s="18" t="s">
        <v>7</v>
      </c>
      <c r="D72" s="18" t="s">
        <v>8</v>
      </c>
      <c r="E72" s="18" t="s">
        <v>9</v>
      </c>
      <c r="F72" s="18" t="s">
        <v>10</v>
      </c>
      <c r="G72" s="18" t="s">
        <v>11</v>
      </c>
      <c r="H72" s="18" t="s">
        <v>12</v>
      </c>
      <c r="I72" s="18" t="s">
        <v>13</v>
      </c>
      <c r="J72" s="18" t="s">
        <v>14</v>
      </c>
      <c r="K72" s="18" t="s">
        <v>15</v>
      </c>
      <c r="L72" s="18" t="s">
        <v>16</v>
      </c>
      <c r="M72" s="18" t="s">
        <v>17</v>
      </c>
      <c r="N72" s="18" t="s">
        <v>18</v>
      </c>
    </row>
    <row r="73" ht="15.75" customHeight="1">
      <c r="A73" s="6" t="s">
        <v>863</v>
      </c>
      <c r="B73" s="6" t="s">
        <v>1223</v>
      </c>
      <c r="C73" s="6" t="s">
        <v>747</v>
      </c>
      <c r="D73" s="6" t="s">
        <v>429</v>
      </c>
      <c r="E73" s="6" t="s">
        <v>430</v>
      </c>
      <c r="F73" s="6" t="s">
        <v>67</v>
      </c>
      <c r="G73" s="6" t="s">
        <v>649</v>
      </c>
      <c r="H73" s="6" t="s">
        <v>105</v>
      </c>
      <c r="I73" s="6" t="s">
        <v>1271</v>
      </c>
      <c r="J73" s="6"/>
      <c r="K73" s="6" t="s">
        <v>724</v>
      </c>
      <c r="L73" s="6" t="s">
        <v>304</v>
      </c>
      <c r="M73" s="6" t="s">
        <v>59</v>
      </c>
      <c r="N73" s="6"/>
    </row>
    <row r="74" ht="15.75" customHeight="1">
      <c r="A74" s="6" t="s">
        <v>863</v>
      </c>
      <c r="B74" s="6" t="s">
        <v>1223</v>
      </c>
      <c r="C74" s="6" t="s">
        <v>770</v>
      </c>
      <c r="D74" s="6" t="s">
        <v>429</v>
      </c>
      <c r="E74" s="6" t="s">
        <v>459</v>
      </c>
      <c r="F74" s="6" t="s">
        <v>24</v>
      </c>
      <c r="G74" s="6" t="s">
        <v>431</v>
      </c>
      <c r="H74" s="6" t="s">
        <v>70</v>
      </c>
      <c r="I74" s="6" t="s">
        <v>1271</v>
      </c>
      <c r="J74" s="6"/>
      <c r="K74" s="6" t="s">
        <v>820</v>
      </c>
      <c r="L74" s="6" t="s">
        <v>304</v>
      </c>
      <c r="M74" s="6" t="s">
        <v>59</v>
      </c>
      <c r="N74" s="6"/>
    </row>
    <row r="75" ht="15.75" customHeight="1">
      <c r="A75" s="6" t="s">
        <v>863</v>
      </c>
      <c r="B75" s="6" t="s">
        <v>1229</v>
      </c>
      <c r="C75" s="6" t="s">
        <v>705</v>
      </c>
      <c r="D75" s="6" t="s">
        <v>429</v>
      </c>
      <c r="E75" s="6" t="s">
        <v>524</v>
      </c>
      <c r="F75" s="6" t="s">
        <v>24</v>
      </c>
      <c r="G75" s="6" t="s">
        <v>431</v>
      </c>
      <c r="H75" s="6" t="s">
        <v>70</v>
      </c>
      <c r="I75" s="6" t="s">
        <v>1259</v>
      </c>
      <c r="J75" s="6"/>
      <c r="K75" s="6" t="s">
        <v>820</v>
      </c>
      <c r="L75" s="6" t="s">
        <v>304</v>
      </c>
      <c r="M75" s="6" t="s">
        <v>59</v>
      </c>
      <c r="N75" s="6"/>
    </row>
    <row r="76" ht="15.75" customHeight="1">
      <c r="A76" s="6" t="s">
        <v>863</v>
      </c>
      <c r="B76" s="6" t="s">
        <v>1233</v>
      </c>
      <c r="C76" s="6" t="s">
        <v>899</v>
      </c>
      <c r="D76" s="6" t="s">
        <v>553</v>
      </c>
      <c r="E76" s="6" t="s">
        <v>430</v>
      </c>
      <c r="F76" s="6" t="s">
        <v>244</v>
      </c>
      <c r="G76" s="6" t="s">
        <v>1260</v>
      </c>
      <c r="H76" s="6" t="s">
        <v>1105</v>
      </c>
      <c r="I76" s="6" t="s">
        <v>1235</v>
      </c>
      <c r="K76" s="6" t="s">
        <v>824</v>
      </c>
      <c r="M76" s="6"/>
    </row>
    <row r="77" ht="15.75" customHeight="1"/>
    <row r="78" ht="15.75" customHeight="1">
      <c r="A78" s="16" t="s">
        <v>900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ht="15.75" customHeight="1">
      <c r="A79" s="17" t="s">
        <v>1188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ht="15.75" customHeight="1">
      <c r="A80" s="18" t="s">
        <v>4</v>
      </c>
      <c r="B80" s="18" t="s">
        <v>6</v>
      </c>
      <c r="C80" s="18" t="s">
        <v>7</v>
      </c>
      <c r="D80" s="18" t="s">
        <v>8</v>
      </c>
      <c r="E80" s="18" t="s">
        <v>9</v>
      </c>
      <c r="F80" s="18" t="s">
        <v>10</v>
      </c>
      <c r="G80" s="18" t="s">
        <v>11</v>
      </c>
      <c r="H80" s="18" t="s">
        <v>12</v>
      </c>
      <c r="I80" s="18" t="s">
        <v>13</v>
      </c>
      <c r="J80" s="18" t="s">
        <v>14</v>
      </c>
      <c r="K80" s="18" t="s">
        <v>15</v>
      </c>
      <c r="L80" s="18" t="s">
        <v>16</v>
      </c>
      <c r="M80" s="18" t="s">
        <v>17</v>
      </c>
      <c r="N80" s="18" t="s">
        <v>18</v>
      </c>
    </row>
    <row r="81" ht="15.75" customHeight="1">
      <c r="A81" s="6" t="s">
        <v>903</v>
      </c>
      <c r="B81" s="6" t="s">
        <v>1239</v>
      </c>
      <c r="C81" s="6" t="s">
        <v>112</v>
      </c>
      <c r="D81" s="6" t="s">
        <v>1284</v>
      </c>
      <c r="E81" s="6" t="s">
        <v>907</v>
      </c>
      <c r="F81" s="6" t="s">
        <v>138</v>
      </c>
      <c r="G81" s="6" t="s">
        <v>1241</v>
      </c>
      <c r="H81" s="6" t="s">
        <v>1285</v>
      </c>
      <c r="I81" s="6" t="s">
        <v>1274</v>
      </c>
      <c r="J81" s="6" t="s">
        <v>1243</v>
      </c>
      <c r="K81" s="6"/>
      <c r="L81" s="6" t="s">
        <v>304</v>
      </c>
      <c r="M81" s="6" t="s">
        <v>59</v>
      </c>
      <c r="N81" s="6"/>
    </row>
    <row r="82" ht="15.75" customHeight="1">
      <c r="A82" s="6" t="s">
        <v>903</v>
      </c>
      <c r="B82" s="6" t="s">
        <v>1286</v>
      </c>
      <c r="C82" s="6" t="s">
        <v>145</v>
      </c>
      <c r="D82" s="6" t="s">
        <v>821</v>
      </c>
      <c r="E82" s="6" t="s">
        <v>53</v>
      </c>
      <c r="F82" s="6" t="s">
        <v>67</v>
      </c>
      <c r="G82" s="6" t="s">
        <v>1224</v>
      </c>
      <c r="H82" s="6" t="s">
        <v>55</v>
      </c>
      <c r="I82" s="6" t="s">
        <v>1287</v>
      </c>
      <c r="J82" s="6"/>
      <c r="K82" s="6"/>
      <c r="L82" s="6" t="s">
        <v>304</v>
      </c>
      <c r="M82" s="6" t="s">
        <v>59</v>
      </c>
      <c r="N82" s="6"/>
    </row>
    <row r="83" ht="15.75" customHeight="1">
      <c r="A83" s="6" t="s">
        <v>903</v>
      </c>
      <c r="B83" s="6" t="s">
        <v>1244</v>
      </c>
      <c r="C83" s="6" t="s">
        <v>43</v>
      </c>
      <c r="D83" s="6" t="s">
        <v>1288</v>
      </c>
      <c r="E83" s="6" t="s">
        <v>907</v>
      </c>
      <c r="F83" s="6" t="s">
        <v>138</v>
      </c>
      <c r="G83" s="6" t="s">
        <v>1241</v>
      </c>
      <c r="H83" s="6" t="s">
        <v>1289</v>
      </c>
      <c r="I83" s="6" t="s">
        <v>1279</v>
      </c>
      <c r="J83" s="6" t="s">
        <v>1246</v>
      </c>
      <c r="K83" s="6"/>
      <c r="L83" s="6" t="s">
        <v>304</v>
      </c>
      <c r="M83" s="6" t="s">
        <v>59</v>
      </c>
      <c r="N83" s="6"/>
    </row>
    <row r="84" ht="15.75" customHeight="1">
      <c r="A84" s="6" t="s">
        <v>903</v>
      </c>
      <c r="B84" s="6" t="s">
        <v>1247</v>
      </c>
      <c r="C84" s="6" t="s">
        <v>235</v>
      </c>
      <c r="D84" s="6" t="s">
        <v>1290</v>
      </c>
      <c r="E84" s="6" t="s">
        <v>1049</v>
      </c>
      <c r="F84" s="6" t="s">
        <v>138</v>
      </c>
      <c r="G84" s="6" t="s">
        <v>1241</v>
      </c>
      <c r="H84" s="6" t="s">
        <v>1291</v>
      </c>
      <c r="I84" s="6" t="s">
        <v>1270</v>
      </c>
      <c r="J84" s="6" t="s">
        <v>1249</v>
      </c>
      <c r="K84" s="6" t="s">
        <v>820</v>
      </c>
      <c r="L84" s="6" t="s">
        <v>304</v>
      </c>
      <c r="M84" s="6" t="s">
        <v>59</v>
      </c>
      <c r="N84" s="6"/>
    </row>
    <row r="85" ht="15.75" customHeight="1"/>
    <row r="86" ht="15.75" customHeight="1">
      <c r="A86" s="16" t="s">
        <v>928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ht="15.75" customHeight="1">
      <c r="A87" s="17" t="s">
        <v>1292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ht="15.75" customHeight="1">
      <c r="A88" s="18" t="s">
        <v>4</v>
      </c>
      <c r="B88" s="18" t="s">
        <v>6</v>
      </c>
      <c r="C88" s="18" t="s">
        <v>7</v>
      </c>
      <c r="D88" s="18" t="s">
        <v>8</v>
      </c>
      <c r="E88" s="18" t="s">
        <v>9</v>
      </c>
      <c r="F88" s="18" t="s">
        <v>10</v>
      </c>
      <c r="G88" s="18" t="s">
        <v>11</v>
      </c>
      <c r="H88" s="18" t="s">
        <v>12</v>
      </c>
      <c r="I88" s="18" t="s">
        <v>13</v>
      </c>
      <c r="J88" s="18" t="s">
        <v>14</v>
      </c>
      <c r="K88" s="18" t="s">
        <v>15</v>
      </c>
      <c r="L88" s="18" t="s">
        <v>16</v>
      </c>
      <c r="M88" s="18" t="s">
        <v>17</v>
      </c>
      <c r="N88" s="18" t="s">
        <v>18</v>
      </c>
    </row>
    <row r="89" ht="15.75" customHeight="1">
      <c r="A89" s="6" t="s">
        <v>935</v>
      </c>
      <c r="B89" s="6" t="s">
        <v>1252</v>
      </c>
      <c r="C89" s="6" t="s">
        <v>428</v>
      </c>
      <c r="D89" s="6" t="s">
        <v>429</v>
      </c>
      <c r="E89" s="6" t="s">
        <v>325</v>
      </c>
      <c r="F89" s="6" t="s">
        <v>138</v>
      </c>
      <c r="G89" s="6" t="s">
        <v>936</v>
      </c>
      <c r="H89" s="6" t="s">
        <v>162</v>
      </c>
      <c r="I89" s="6">
        <v>2.578161801009E12</v>
      </c>
      <c r="J89" s="6" t="s">
        <v>1254</v>
      </c>
      <c r="K89" s="6"/>
      <c r="L89" s="6" t="s">
        <v>304</v>
      </c>
      <c r="M89" s="6" t="s">
        <v>59</v>
      </c>
      <c r="N89" s="6"/>
    </row>
    <row r="90" ht="15.75" customHeight="1"/>
    <row r="91" ht="15.75" customHeight="1">
      <c r="A91" s="16" t="s">
        <v>975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ht="15.75" customHeight="1">
      <c r="A92" s="17" t="s">
        <v>1251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ht="15.75" customHeight="1">
      <c r="A93" s="18" t="s">
        <v>4</v>
      </c>
      <c r="B93" s="18" t="s">
        <v>6</v>
      </c>
      <c r="C93" s="18" t="s">
        <v>7</v>
      </c>
      <c r="D93" s="18" t="s">
        <v>8</v>
      </c>
      <c r="E93" s="18" t="s">
        <v>9</v>
      </c>
      <c r="F93" s="18" t="s">
        <v>10</v>
      </c>
      <c r="G93" s="18" t="s">
        <v>11</v>
      </c>
      <c r="H93" s="18" t="s">
        <v>12</v>
      </c>
      <c r="I93" s="18" t="s">
        <v>13</v>
      </c>
      <c r="J93" s="18" t="s">
        <v>14</v>
      </c>
      <c r="K93" s="18" t="s">
        <v>15</v>
      </c>
      <c r="L93" s="18" t="s">
        <v>16</v>
      </c>
      <c r="M93" s="18" t="s">
        <v>17</v>
      </c>
      <c r="N93" s="18" t="s">
        <v>18</v>
      </c>
    </row>
    <row r="94" ht="15.75" customHeight="1">
      <c r="A94" s="6" t="s">
        <v>978</v>
      </c>
      <c r="B94" s="6" t="s">
        <v>1223</v>
      </c>
      <c r="C94" s="6" t="s">
        <v>469</v>
      </c>
      <c r="D94" s="6" t="s">
        <v>429</v>
      </c>
      <c r="E94" s="6" t="s">
        <v>459</v>
      </c>
      <c r="F94" s="6" t="s">
        <v>24</v>
      </c>
      <c r="G94" s="6" t="s">
        <v>936</v>
      </c>
      <c r="H94" s="6" t="s">
        <v>101</v>
      </c>
      <c r="I94" s="6">
        <v>2.546744001009E12</v>
      </c>
      <c r="K94" s="6" t="s">
        <v>985</v>
      </c>
      <c r="L94" s="6" t="s">
        <v>304</v>
      </c>
      <c r="M94" s="6" t="s">
        <v>373</v>
      </c>
    </row>
    <row r="95" ht="15.75" customHeight="1">
      <c r="A95" s="6" t="s">
        <v>978</v>
      </c>
      <c r="B95" s="6" t="s">
        <v>1263</v>
      </c>
      <c r="C95" s="6" t="s">
        <v>501</v>
      </c>
      <c r="D95" s="6" t="s">
        <v>429</v>
      </c>
      <c r="E95" s="6" t="s">
        <v>459</v>
      </c>
      <c r="F95" s="6" t="s">
        <v>1265</v>
      </c>
      <c r="G95" s="6" t="s">
        <v>936</v>
      </c>
      <c r="H95" s="6" t="s">
        <v>26</v>
      </c>
      <c r="I95" s="6">
        <v>2.505260600016E12</v>
      </c>
      <c r="J95" s="6"/>
      <c r="K95" s="6"/>
      <c r="L95" s="6" t="s">
        <v>304</v>
      </c>
      <c r="M95" s="6" t="s">
        <v>59</v>
      </c>
      <c r="N95" s="6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N1"/>
    <mergeCell ref="A3:N3"/>
    <mergeCell ref="A4:N4"/>
    <mergeCell ref="A11:N11"/>
    <mergeCell ref="A12:N12"/>
    <mergeCell ref="A19:N19"/>
    <mergeCell ref="A20:N20"/>
  </mergeCells>
  <conditionalFormatting sqref="A6:N9">
    <cfRule type="expression" dxfId="0" priority="1">
      <formula>OR(ISNUMBER(SEARCH("Finalizado",$D6)),$M6="Finalizado",$M6="Validado")</formula>
    </cfRule>
  </conditionalFormatting>
  <conditionalFormatting sqref="A6:N9">
    <cfRule type="expression" dxfId="1" priority="2">
      <formula>AND(NOT(ISNUMBER(SEARCH("Finalizado",$D6))),$M6="Pendente",NOT(ISNUMBER(SEARCH("Falta Justificada",$D6))))</formula>
    </cfRule>
  </conditionalFormatting>
  <conditionalFormatting sqref="K6:K9">
    <cfRule type="expression" dxfId="2" priority="3">
      <formula>OR(ISNUMBER(SEARCH("1ª SESSÃO",K6)),ISNUMBER(SEARCH("ALERTA FINAL",K6)),ISNUMBER(SEARCH("MEDSÊNIOR",K6)))</formula>
    </cfRule>
  </conditionalFormatting>
  <conditionalFormatting sqref="A14:N17">
    <cfRule type="expression" dxfId="0" priority="4">
      <formula>OR(ISNUMBER(SEARCH("Finalizado",$D14)),$M14="Finalizado",$M14="Validado")</formula>
    </cfRule>
  </conditionalFormatting>
  <conditionalFormatting sqref="A14:N17">
    <cfRule type="expression" dxfId="1" priority="5">
      <formula>AND(NOT(ISNUMBER(SEARCH("Finalizado",$D14))),$M14="Pendente",NOT(ISNUMBER(SEARCH("Falta Justificada",$D14))))</formula>
    </cfRule>
  </conditionalFormatting>
  <conditionalFormatting sqref="K14:K17">
    <cfRule type="expression" dxfId="2" priority="6">
      <formula>OR(ISNUMBER(SEARCH("1ª SESSÃO",K14)),ISNUMBER(SEARCH("ALERTA FINAL",K14)),ISNUMBER(SEARCH("MEDSÊNIOR",K14)))</formula>
    </cfRule>
  </conditionalFormatting>
  <conditionalFormatting sqref="A22:N23">
    <cfRule type="expression" dxfId="0" priority="7">
      <formula>OR(ISNUMBER(SEARCH("Finalizado",$D22)),$M22="Finalizado",$M22="Validado")</formula>
    </cfRule>
  </conditionalFormatting>
  <conditionalFormatting sqref="A22:N23">
    <cfRule type="expression" dxfId="1" priority="8">
      <formula>AND(NOT(ISNUMBER(SEARCH("Finalizado",$D22))),$M22="Pendente",NOT(ISNUMBER(SEARCH("Falta Justificada",$D22))))</formula>
    </cfRule>
  </conditionalFormatting>
  <conditionalFormatting sqref="K22:K23">
    <cfRule type="expression" dxfId="2" priority="9">
      <formula>OR(ISNUMBER(SEARCH("1ª SESSÃO",K22)),ISNUMBER(SEARCH("ALERTA FINAL",K22)),ISNUMBER(SEARCH("MEDSÊNIOR",K22)))</formula>
    </cfRule>
  </conditionalFormatting>
  <conditionalFormatting sqref="A28:N28">
    <cfRule type="expression" dxfId="3" priority="10">
      <formula>OR($M28="Finalizado",$M28="Validado",$D28="Finalizado")</formula>
    </cfRule>
  </conditionalFormatting>
  <conditionalFormatting sqref="A28:N28">
    <cfRule type="expression" dxfId="4" priority="11">
      <formula>AND($M28="Pendente",$D28&lt;&gt;"Finalizado")</formula>
    </cfRule>
  </conditionalFormatting>
  <conditionalFormatting sqref="A29:N29">
    <cfRule type="expression" dxfId="3" priority="12">
      <formula>OR($M29="Finalizado",$M29="Validado",$D29="Finalizado")</formula>
    </cfRule>
  </conditionalFormatting>
  <conditionalFormatting sqref="A29:N29">
    <cfRule type="expression" dxfId="4" priority="13">
      <formula>AND($M29="Pendente",$D29&lt;&gt;"Finalizado")</formula>
    </cfRule>
  </conditionalFormatting>
  <conditionalFormatting sqref="A34:N34">
    <cfRule type="expression" dxfId="3" priority="14">
      <formula>OR($M34="Finalizado",$M34="Validado",$D34="Finalizado")</formula>
    </cfRule>
  </conditionalFormatting>
  <conditionalFormatting sqref="A34:N34">
    <cfRule type="expression" dxfId="4" priority="15">
      <formula>AND($M34="Pendente",$D34&lt;&gt;"Finalizado")</formula>
    </cfRule>
  </conditionalFormatting>
  <conditionalFormatting sqref="A35:N35">
    <cfRule type="expression" dxfId="3" priority="16">
      <formula>OR($M35="Finalizado",$M35="Validado",$D35="Finalizado")</formula>
    </cfRule>
  </conditionalFormatting>
  <conditionalFormatting sqref="A35:N35">
    <cfRule type="expression" dxfId="4" priority="17">
      <formula>AND($M35="Pendente",$D35&lt;&gt;"Finalizado")</formula>
    </cfRule>
  </conditionalFormatting>
  <conditionalFormatting sqref="A36:N36">
    <cfRule type="expression" dxfId="3" priority="18">
      <formula>OR($M36="Finalizado",$M36="Validado",$D36="Finalizado")</formula>
    </cfRule>
  </conditionalFormatting>
  <conditionalFormatting sqref="A36:N36">
    <cfRule type="expression" dxfId="4" priority="19">
      <formula>AND($M36="Pendente",$D36&lt;&gt;"Finalizado")</formula>
    </cfRule>
  </conditionalFormatting>
  <conditionalFormatting sqref="A41:N41">
    <cfRule type="expression" dxfId="3" priority="20">
      <formula>OR($M41="Finalizado",$M41="Validado",LEFT($D41,10)="Finalizado")</formula>
    </cfRule>
  </conditionalFormatting>
  <conditionalFormatting sqref="A41:N41">
    <cfRule type="expression" dxfId="4" priority="21">
      <formula>AND($M41="Pendente",LEFT($D41,10)&lt;&gt;"Finalizado")</formula>
    </cfRule>
  </conditionalFormatting>
  <conditionalFormatting sqref="A42:N42">
    <cfRule type="expression" dxfId="3" priority="22">
      <formula>OR($M42="Finalizado",$M42="Validado",LEFT($D42,10)="Finalizado")</formula>
    </cfRule>
  </conditionalFormatting>
  <conditionalFormatting sqref="A42:N42">
    <cfRule type="expression" dxfId="4" priority="23">
      <formula>AND($M42="Pendente",LEFT($D42,10)&lt;&gt;"Finalizado")</formula>
    </cfRule>
  </conditionalFormatting>
  <conditionalFormatting sqref="A43:N43">
    <cfRule type="expression" dxfId="3" priority="24">
      <formula>OR($M43="Finalizado",$M43="Validado",LEFT($D43,10)="Finalizado")</formula>
    </cfRule>
  </conditionalFormatting>
  <conditionalFormatting sqref="A43:N43">
    <cfRule type="expression" dxfId="4" priority="25">
      <formula>AND($M43="Pendente",LEFT($D43,10)&lt;&gt;"Finalizado")</formula>
    </cfRule>
  </conditionalFormatting>
  <conditionalFormatting sqref="A44:N44">
    <cfRule type="expression" dxfId="3" priority="26">
      <formula>OR($M44="Finalizado",$M44="Validado",LEFT($D44,10)="Finalizado")</formula>
    </cfRule>
  </conditionalFormatting>
  <conditionalFormatting sqref="A44:N44">
    <cfRule type="expression" dxfId="4" priority="27">
      <formula>AND($M44="Pendente",LEFT($D44,10)&lt;&gt;"Finalizado")</formula>
    </cfRule>
  </conditionalFormatting>
  <conditionalFormatting sqref="A45:N45">
    <cfRule type="expression" dxfId="3" priority="28">
      <formula>OR($M45="Finalizado",$M45="Validado",LEFT($D45,10)="Finalizado")</formula>
    </cfRule>
  </conditionalFormatting>
  <conditionalFormatting sqref="A45:N45">
    <cfRule type="expression" dxfId="4" priority="29">
      <formula>AND($M45="Pendente",LEFT($D45,10)&lt;&gt;"Finalizado")</formula>
    </cfRule>
  </conditionalFormatting>
  <conditionalFormatting sqref="A50:N50">
    <cfRule type="expression" dxfId="3" priority="30">
      <formula>OR($M50="Validado",$M50="Finalizado",LEFT($D50,10)="Finalizado")</formula>
    </cfRule>
  </conditionalFormatting>
  <conditionalFormatting sqref="A50:N50">
    <cfRule type="expression" dxfId="4" priority="31">
      <formula>AND($M50="Pendente",LEFT($D50,10)&lt;&gt;"Finalizado")</formula>
    </cfRule>
  </conditionalFormatting>
  <conditionalFormatting sqref="A51:N51">
    <cfRule type="expression" dxfId="3" priority="32">
      <formula>OR($M51="Validado",$M51="Finalizado",LEFT($D51,10)="Finalizado")</formula>
    </cfRule>
  </conditionalFormatting>
  <conditionalFormatting sqref="A51:N51">
    <cfRule type="expression" dxfId="4" priority="33">
      <formula>AND($M51="Pendente",LEFT($D51,10)&lt;&gt;"Finalizado")</formula>
    </cfRule>
  </conditionalFormatting>
  <conditionalFormatting sqref="A52:N52">
    <cfRule type="expression" dxfId="3" priority="34">
      <formula>OR($M52="Validado",$M52="Finalizado",LEFT($D52,10)="Finalizado")</formula>
    </cfRule>
  </conditionalFormatting>
  <conditionalFormatting sqref="A52:N52">
    <cfRule type="expression" dxfId="4" priority="35">
      <formula>AND($M52="Pendente",LEFT($D52,10)&lt;&gt;"Finalizado")</formula>
    </cfRule>
  </conditionalFormatting>
  <conditionalFormatting sqref="A53:N53">
    <cfRule type="expression" dxfId="3" priority="36">
      <formula>OR($M53="Validado",$M53="Finalizado",LEFT($D53,10)="Finalizado")</formula>
    </cfRule>
  </conditionalFormatting>
  <conditionalFormatting sqref="A53:N53">
    <cfRule type="expression" dxfId="4" priority="37">
      <formula>AND($M53="Pendente",LEFT($D53,10)&lt;&gt;"Finalizado")</formula>
    </cfRule>
  </conditionalFormatting>
  <conditionalFormatting sqref="A54:N54">
    <cfRule type="expression" dxfId="3" priority="38">
      <formula>OR($M54="Validado",$M54="Finalizado",LEFT($D54,10)="Finalizado")</formula>
    </cfRule>
  </conditionalFormatting>
  <conditionalFormatting sqref="A54:N54">
    <cfRule type="expression" dxfId="4" priority="39">
      <formula>AND($M54="Pendente",LEFT($D54,10)&lt;&gt;"Finalizado")</formula>
    </cfRule>
  </conditionalFormatting>
  <conditionalFormatting sqref="A59:N59">
    <cfRule type="expression" dxfId="3" priority="40">
      <formula>OR($M59="Validado",$M59="Finalizado",LEFT($D59,10)="Finalizado")</formula>
    </cfRule>
  </conditionalFormatting>
  <conditionalFormatting sqref="A59:N59">
    <cfRule type="expression" dxfId="4" priority="41">
      <formula>AND($M59="Pendente",LEFT($D59,10)&lt;&gt;"Finalizado")</formula>
    </cfRule>
  </conditionalFormatting>
  <conditionalFormatting sqref="A60:N60">
    <cfRule type="expression" dxfId="3" priority="42">
      <formula>OR($M60="Validado",$M60="Finalizado",LEFT($D60,10)="Finalizado")</formula>
    </cfRule>
  </conditionalFormatting>
  <conditionalFormatting sqref="A60:N60">
    <cfRule type="expression" dxfId="4" priority="43">
      <formula>AND($M60="Pendente",LEFT($D60,10)&lt;&gt;"Finalizado")</formula>
    </cfRule>
  </conditionalFormatting>
  <conditionalFormatting sqref="A61:N61">
    <cfRule type="expression" dxfId="3" priority="44">
      <formula>OR($M61="Validado",$M61="Finalizado",LEFT($D61,10)="Finalizado")</formula>
    </cfRule>
  </conditionalFormatting>
  <conditionalFormatting sqref="A61:N61">
    <cfRule type="expression" dxfId="4" priority="45">
      <formula>AND($M61="Pendente",LEFT($D61,10)&lt;&gt;"Finalizado")</formula>
    </cfRule>
  </conditionalFormatting>
  <conditionalFormatting sqref="A62:N62">
    <cfRule type="expression" dxfId="3" priority="46">
      <formula>OR($M62="Validado",$M62="Finalizado",LEFT($D62,10)="Finalizado")</formula>
    </cfRule>
  </conditionalFormatting>
  <conditionalFormatting sqref="A62:N62">
    <cfRule type="expression" dxfId="4" priority="47">
      <formula>AND($M62="Pendente",LEFT($D62,10)&lt;&gt;"Finalizado")</formula>
    </cfRule>
  </conditionalFormatting>
  <conditionalFormatting sqref="A67:N67">
    <cfRule type="expression" dxfId="3" priority="48">
      <formula>OR($M67="Validado",$M67="Finalizado",LEFT($D67,10)="Finalizado")</formula>
    </cfRule>
  </conditionalFormatting>
  <conditionalFormatting sqref="A67:N67">
    <cfRule type="expression" dxfId="4" priority="49">
      <formula>AND($M67="Pendente",LEFT($D67,10)&lt;&gt;"Finalizado")</formula>
    </cfRule>
  </conditionalFormatting>
  <conditionalFormatting sqref="A68:N68">
    <cfRule type="expression" dxfId="3" priority="50">
      <formula>OR($M68="Validado",$M68="Finalizado",LEFT($D68,10)="Finalizado")</formula>
    </cfRule>
  </conditionalFormatting>
  <conditionalFormatting sqref="A68:N68">
    <cfRule type="expression" dxfId="4" priority="51">
      <formula>AND($M68="Pendente",LEFT($D68,10)&lt;&gt;"Finalizado")</formula>
    </cfRule>
  </conditionalFormatting>
  <conditionalFormatting sqref="A73:N73">
    <cfRule type="expression" dxfId="3" priority="52">
      <formula>OR($M73="Validado",$M73="Finalizado",LEFT($D73,10)="Finalizado")</formula>
    </cfRule>
  </conditionalFormatting>
  <conditionalFormatting sqref="A73:N73">
    <cfRule type="expression" dxfId="4" priority="53">
      <formula>AND($M73="Pendente",LEFT($D73,10)&lt;&gt;"Finalizado")</formula>
    </cfRule>
  </conditionalFormatting>
  <conditionalFormatting sqref="A74:N74">
    <cfRule type="expression" dxfId="3" priority="54">
      <formula>OR($M74="Validado",$M74="Finalizado",LEFT($D74,10)="Finalizado")</formula>
    </cfRule>
  </conditionalFormatting>
  <conditionalFormatting sqref="A74:N74">
    <cfRule type="expression" dxfId="4" priority="55">
      <formula>AND($M74="Pendente",LEFT($D74,10)&lt;&gt;"Finalizado")</formula>
    </cfRule>
  </conditionalFormatting>
  <conditionalFormatting sqref="A75:N75">
    <cfRule type="expression" dxfId="3" priority="56">
      <formula>OR($M75="Validado",$M75="Finalizado",LEFT($D75,10)="Finalizado")</formula>
    </cfRule>
  </conditionalFormatting>
  <conditionalFormatting sqref="A75:N75">
    <cfRule type="expression" dxfId="4" priority="57">
      <formula>AND($M75="Pendente",LEFT($D75,10)&lt;&gt;"Finalizado")</formula>
    </cfRule>
  </conditionalFormatting>
  <conditionalFormatting sqref="A76:N76">
    <cfRule type="expression" dxfId="3" priority="58">
      <formula>OR($M76="Validado",$M76="Finalizado",LEFT($D76,10)="Finalizado")</formula>
    </cfRule>
  </conditionalFormatting>
  <conditionalFormatting sqref="A76:N76">
    <cfRule type="expression" dxfId="4" priority="59">
      <formula>AND($M76="Pendente",LEFT($D76,10)&lt;&gt;"Finalizado")</formula>
    </cfRule>
  </conditionalFormatting>
  <conditionalFormatting sqref="A81:N81">
    <cfRule type="expression" dxfId="3" priority="60">
      <formula>OR($M81="Validado",$M81="Finalizado",LEFT($D81,10)="Finalizado")</formula>
    </cfRule>
  </conditionalFormatting>
  <conditionalFormatting sqref="A81:N81">
    <cfRule type="expression" dxfId="4" priority="61">
      <formula>AND($M81="Pendente",LEFT($D81,10)&lt;&gt;"Finalizado")</formula>
    </cfRule>
  </conditionalFormatting>
  <conditionalFormatting sqref="A82:N82">
    <cfRule type="expression" dxfId="3" priority="62">
      <formula>OR($M82="Validado",$M82="Finalizado",LEFT($D82,10)="Finalizado")</formula>
    </cfRule>
  </conditionalFormatting>
  <conditionalFormatting sqref="A82:N82">
    <cfRule type="expression" dxfId="4" priority="63">
      <formula>AND($M82="Pendente",LEFT($D82,10)&lt;&gt;"Finalizado")</formula>
    </cfRule>
  </conditionalFormatting>
  <conditionalFormatting sqref="A83:N83">
    <cfRule type="expression" dxfId="3" priority="64">
      <formula>OR($M83="Validado",$M83="Finalizado",LEFT($D83,10)="Finalizado")</formula>
    </cfRule>
  </conditionalFormatting>
  <conditionalFormatting sqref="A83:N83">
    <cfRule type="expression" dxfId="4" priority="65">
      <formula>AND($M83="Pendente",LEFT($D83,10)&lt;&gt;"Finalizado")</formula>
    </cfRule>
  </conditionalFormatting>
  <conditionalFormatting sqref="A84:N84">
    <cfRule type="expression" dxfId="3" priority="66">
      <formula>OR($M84="Validado",$M84="Finalizado",LEFT($D84,10)="Finalizado")</formula>
    </cfRule>
  </conditionalFormatting>
  <conditionalFormatting sqref="A84:N84">
    <cfRule type="expression" dxfId="4" priority="67">
      <formula>AND($M84="Pendente",LEFT($D84,10)&lt;&gt;"Finalizado")</formula>
    </cfRule>
  </conditionalFormatting>
  <conditionalFormatting sqref="A89:N89">
    <cfRule type="expression" dxfId="5" priority="68">
      <formula>OR($M89="Validado",$M89="Finalizado")</formula>
    </cfRule>
  </conditionalFormatting>
  <conditionalFormatting sqref="A89:N89">
    <cfRule type="expression" dxfId="6" priority="69">
      <formula>AND($M89="Pendente",NOT(ISNUMBER(SEARCH("Falta Justificada",$D89))),NOT(ISNUMBER(SEARCH("Cancelado",$D89))),NOT(ISNUMBER(SEARCH("Desmarcado",$D89))))</formula>
    </cfRule>
  </conditionalFormatting>
  <conditionalFormatting sqref="A94:N95">
    <cfRule type="expression" dxfId="5" priority="70">
      <formula>OR($M94="Validado",$M94="Finalizado")</formula>
    </cfRule>
  </conditionalFormatting>
  <conditionalFormatting sqref="A94:N95">
    <cfRule type="expression" dxfId="6" priority="71">
      <formula>AND($M94="Pendente",NOT(ISNUMBER(SEARCH("Falta Justificada",$D94))),NOT(ISNUMBER(SEARCH("Cancelado",$D94))),NOT(ISNUMBER(SEARCH("Desmarcado",$D94))))</formula>
    </cfRule>
  </conditionalFormatting>
  <dataValidations>
    <dataValidation type="list" allowBlank="1" sqref="M6:M9 M14:M17 M22:M23 M28:M29 M34:M36 M41:M45 M50:M54 M59:M62 M67:M68 M73:M76 M81:M84 M89 M94:M95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5"/>
    <col customWidth="1" min="3" max="3" width="4.13"/>
    <col customWidth="1" min="4" max="4" width="15.13"/>
    <col customWidth="1" min="5" max="5" width="13.5"/>
    <col customWidth="1" min="6" max="6" width="10.13"/>
    <col customWidth="1" min="7" max="7" width="16.13"/>
    <col customWidth="1" min="8" max="8" width="10.0"/>
    <col customWidth="1" min="9" max="9" width="20.0"/>
    <col customWidth="1" min="10" max="10" width="9.13"/>
    <col customWidth="1" min="11" max="11" width="10.25"/>
    <col customWidth="1" min="12" max="12" width="8.38"/>
    <col customWidth="1" min="13" max="13" width="9.5"/>
    <col customWidth="1" min="14" max="14" width="32.0"/>
  </cols>
  <sheetData>
    <row r="1">
      <c r="A1" s="1" t="s">
        <v>1296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1298</v>
      </c>
      <c r="C6" s="5" t="s">
        <v>21</v>
      </c>
      <c r="D6" s="5" t="s">
        <v>1299</v>
      </c>
      <c r="E6" s="5" t="s">
        <v>1065</v>
      </c>
      <c r="F6" s="5" t="s">
        <v>1300</v>
      </c>
      <c r="G6" s="5" t="s">
        <v>1301</v>
      </c>
      <c r="H6" s="5" t="s">
        <v>1302</v>
      </c>
      <c r="I6" s="5" t="s">
        <v>1303</v>
      </c>
      <c r="J6" s="5"/>
      <c r="K6" s="5" t="s">
        <v>107</v>
      </c>
      <c r="L6" s="5" t="s">
        <v>29</v>
      </c>
      <c r="M6" s="5" t="s">
        <v>30</v>
      </c>
      <c r="N6" s="5"/>
    </row>
    <row r="8">
      <c r="A8" s="2" t="s">
        <v>170</v>
      </c>
    </row>
    <row r="9">
      <c r="A9" s="3" t="s">
        <v>1304</v>
      </c>
    </row>
    <row r="10">
      <c r="A10" s="4" t="s">
        <v>4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4" t="s">
        <v>18</v>
      </c>
    </row>
    <row r="11">
      <c r="A11" s="5" t="s">
        <v>183</v>
      </c>
      <c r="B11" s="5" t="s">
        <v>1306</v>
      </c>
      <c r="C11" s="5" t="s">
        <v>124</v>
      </c>
      <c r="D11" s="5" t="s">
        <v>1307</v>
      </c>
      <c r="E11" s="5" t="s">
        <v>1065</v>
      </c>
      <c r="F11" s="5" t="s">
        <v>78</v>
      </c>
      <c r="G11" s="5" t="s">
        <v>1301</v>
      </c>
      <c r="H11" s="5" t="s">
        <v>1309</v>
      </c>
      <c r="I11" s="5" t="s">
        <v>1303</v>
      </c>
      <c r="J11" s="5"/>
      <c r="K11" s="5" t="s">
        <v>28</v>
      </c>
      <c r="L11" s="5" t="s">
        <v>29</v>
      </c>
      <c r="M11" s="5" t="s">
        <v>30</v>
      </c>
      <c r="N11" s="5"/>
    </row>
    <row r="12">
      <c r="A12" s="5" t="s">
        <v>183</v>
      </c>
      <c r="B12" s="5" t="s">
        <v>1310</v>
      </c>
      <c r="C12" s="5" t="s">
        <v>21</v>
      </c>
      <c r="D12" s="5" t="s">
        <v>99</v>
      </c>
      <c r="E12" s="5" t="s">
        <v>1311</v>
      </c>
      <c r="F12" s="5" t="s">
        <v>1300</v>
      </c>
      <c r="G12" s="5" t="s">
        <v>1301</v>
      </c>
      <c r="H12" s="5" t="s">
        <v>105</v>
      </c>
      <c r="I12" s="5" t="s">
        <v>1303</v>
      </c>
      <c r="J12" s="5"/>
      <c r="K12" s="5" t="s">
        <v>107</v>
      </c>
      <c r="L12" s="5" t="s">
        <v>29</v>
      </c>
      <c r="M12" s="5" t="s">
        <v>30</v>
      </c>
      <c r="N12" s="5"/>
    </row>
    <row r="14">
      <c r="A14" s="2" t="s">
        <v>286</v>
      </c>
    </row>
    <row r="15">
      <c r="A15" s="3" t="s">
        <v>3</v>
      </c>
    </row>
    <row r="16">
      <c r="A16" s="4" t="s">
        <v>4</v>
      </c>
      <c r="B16" s="4" t="s">
        <v>6</v>
      </c>
      <c r="C16" s="4" t="s">
        <v>7</v>
      </c>
      <c r="D16" s="4" t="s">
        <v>8</v>
      </c>
      <c r="E16" s="4" t="s">
        <v>9</v>
      </c>
      <c r="F16" s="4" t="s">
        <v>10</v>
      </c>
      <c r="G16" s="4" t="s">
        <v>11</v>
      </c>
      <c r="H16" s="4" t="s">
        <v>12</v>
      </c>
      <c r="I16" s="4" t="s">
        <v>13</v>
      </c>
      <c r="J16" s="4" t="s">
        <v>14</v>
      </c>
      <c r="K16" s="4" t="s">
        <v>15</v>
      </c>
      <c r="L16" s="4" t="s">
        <v>16</v>
      </c>
      <c r="M16" s="4" t="s">
        <v>17</v>
      </c>
      <c r="N16" s="4" t="s">
        <v>18</v>
      </c>
    </row>
    <row r="17">
      <c r="A17" s="5" t="s">
        <v>297</v>
      </c>
      <c r="B17" s="5" t="s">
        <v>1312</v>
      </c>
      <c r="C17" s="5" t="s">
        <v>21</v>
      </c>
      <c r="D17" s="5" t="s">
        <v>1313</v>
      </c>
      <c r="E17" s="5" t="s">
        <v>1311</v>
      </c>
      <c r="F17" s="5" t="s">
        <v>1300</v>
      </c>
      <c r="G17" s="5" t="s">
        <v>1301</v>
      </c>
      <c r="H17" s="5" t="s">
        <v>1314</v>
      </c>
      <c r="I17" s="5" t="s">
        <v>314</v>
      </c>
      <c r="J17" s="5"/>
      <c r="K17" s="5"/>
      <c r="L17" s="5" t="s">
        <v>304</v>
      </c>
      <c r="M17" s="5" t="s">
        <v>30</v>
      </c>
      <c r="N17" s="5"/>
    </row>
    <row r="19">
      <c r="A19" s="3" t="s">
        <v>1251</v>
      </c>
    </row>
    <row r="20">
      <c r="A20" s="4" t="s">
        <v>4</v>
      </c>
      <c r="B20" s="4" t="s">
        <v>6</v>
      </c>
      <c r="C20" s="4" t="s">
        <v>7</v>
      </c>
      <c r="D20" s="4" t="s">
        <v>8</v>
      </c>
      <c r="E20" s="4" t="s">
        <v>9</v>
      </c>
      <c r="F20" s="4" t="s">
        <v>10</v>
      </c>
      <c r="G20" s="4" t="s">
        <v>11</v>
      </c>
      <c r="H20" s="4" t="s">
        <v>12</v>
      </c>
      <c r="I20" s="4" t="s">
        <v>13</v>
      </c>
      <c r="J20" s="4" t="s">
        <v>14</v>
      </c>
      <c r="K20" s="4" t="s">
        <v>15</v>
      </c>
      <c r="L20" s="4" t="s">
        <v>16</v>
      </c>
      <c r="M20" s="4" t="s">
        <v>17</v>
      </c>
      <c r="N20" s="4" t="s">
        <v>18</v>
      </c>
    </row>
    <row r="21" ht="15.75" customHeight="1">
      <c r="A21" s="5" t="s">
        <v>297</v>
      </c>
      <c r="B21" s="5" t="s">
        <v>351</v>
      </c>
      <c r="C21" s="5" t="s">
        <v>235</v>
      </c>
      <c r="D21" s="5" t="s">
        <v>353</v>
      </c>
      <c r="E21" s="5" t="s">
        <v>37</v>
      </c>
      <c r="F21" s="5" t="s">
        <v>1316</v>
      </c>
      <c r="G21" s="5" t="s">
        <v>1317</v>
      </c>
      <c r="H21" s="5" t="s">
        <v>88</v>
      </c>
      <c r="I21" s="5">
        <v>5.39010003101E11</v>
      </c>
      <c r="J21" s="5"/>
      <c r="K21" s="5" t="s">
        <v>1318</v>
      </c>
      <c r="L21" s="5" t="s">
        <v>304</v>
      </c>
      <c r="M21" s="5" t="s">
        <v>30</v>
      </c>
      <c r="N21" s="5"/>
    </row>
    <row r="22" ht="15.75" customHeight="1">
      <c r="A22" s="5" t="s">
        <v>297</v>
      </c>
      <c r="B22" s="5" t="s">
        <v>1319</v>
      </c>
      <c r="C22" s="5" t="s">
        <v>124</v>
      </c>
      <c r="D22" s="5" t="s">
        <v>1320</v>
      </c>
      <c r="E22" s="5" t="s">
        <v>23</v>
      </c>
      <c r="F22" s="5" t="s">
        <v>1321</v>
      </c>
      <c r="G22" s="5" t="s">
        <v>1301</v>
      </c>
      <c r="H22" s="5" t="s">
        <v>306</v>
      </c>
      <c r="I22" s="5" t="s">
        <v>1322</v>
      </c>
      <c r="J22" s="5"/>
      <c r="K22" s="5"/>
      <c r="L22" s="5" t="s">
        <v>304</v>
      </c>
      <c r="M22" s="5" t="s">
        <v>30</v>
      </c>
      <c r="N22" s="5"/>
    </row>
    <row r="23" ht="15.75" customHeight="1"/>
    <row r="24" ht="15.75" customHeight="1">
      <c r="A24" s="6" t="s">
        <v>414</v>
      </c>
    </row>
    <row r="25" ht="15.75" customHeight="1">
      <c r="A25" s="6" t="s">
        <v>792</v>
      </c>
    </row>
    <row r="26" ht="15.75" customHeight="1">
      <c r="A26" s="6" t="s">
        <v>4</v>
      </c>
      <c r="B26" s="6" t="s">
        <v>6</v>
      </c>
      <c r="C26" s="6" t="s">
        <v>7</v>
      </c>
      <c r="D26" s="6" t="s">
        <v>8</v>
      </c>
      <c r="E26" s="6" t="s">
        <v>9</v>
      </c>
      <c r="F26" s="6" t="s">
        <v>10</v>
      </c>
      <c r="G26" s="6" t="s">
        <v>11</v>
      </c>
      <c r="H26" s="6" t="s">
        <v>12</v>
      </c>
      <c r="I26" s="6" t="s">
        <v>13</v>
      </c>
      <c r="J26" s="6" t="s">
        <v>14</v>
      </c>
      <c r="K26" s="6" t="s">
        <v>15</v>
      </c>
      <c r="L26" s="6" t="s">
        <v>16</v>
      </c>
      <c r="M26" s="6" t="s">
        <v>17</v>
      </c>
      <c r="N26" s="6" t="s">
        <v>18</v>
      </c>
    </row>
    <row r="27" ht="15.75" customHeight="1">
      <c r="A27" s="8" t="s">
        <v>424</v>
      </c>
      <c r="B27" s="8" t="s">
        <v>1323</v>
      </c>
      <c r="C27" s="8" t="s">
        <v>482</v>
      </c>
      <c r="D27" s="8" t="s">
        <v>429</v>
      </c>
      <c r="E27" s="8" t="s">
        <v>812</v>
      </c>
      <c r="F27" s="8" t="s">
        <v>1321</v>
      </c>
      <c r="G27" s="8" t="s">
        <v>1324</v>
      </c>
      <c r="H27" s="8" t="s">
        <v>101</v>
      </c>
      <c r="I27" s="8" t="s">
        <v>314</v>
      </c>
      <c r="J27" s="8"/>
      <c r="K27" s="8"/>
      <c r="L27" s="8"/>
      <c r="M27" s="8" t="s">
        <v>373</v>
      </c>
      <c r="N27" s="8"/>
    </row>
    <row r="28" ht="15.75" customHeight="1">
      <c r="A28" s="8" t="s">
        <v>424</v>
      </c>
      <c r="B28" s="8" t="s">
        <v>1310</v>
      </c>
      <c r="C28" s="8" t="s">
        <v>428</v>
      </c>
      <c r="D28" s="8" t="s">
        <v>125</v>
      </c>
      <c r="E28" s="8" t="s">
        <v>800</v>
      </c>
      <c r="F28" s="8" t="s">
        <v>1300</v>
      </c>
      <c r="G28" s="8" t="s">
        <v>1324</v>
      </c>
      <c r="H28" s="8" t="s">
        <v>130</v>
      </c>
      <c r="I28" s="8" t="s">
        <v>1303</v>
      </c>
      <c r="J28" s="8"/>
      <c r="K28" s="8"/>
      <c r="L28" s="8"/>
      <c r="M28" s="8" t="s">
        <v>30</v>
      </c>
      <c r="N28" s="8"/>
    </row>
    <row r="29" ht="15.75" customHeight="1">
      <c r="A29" s="8" t="s">
        <v>424</v>
      </c>
      <c r="B29" s="8" t="s">
        <v>1298</v>
      </c>
      <c r="C29" s="8" t="s">
        <v>501</v>
      </c>
      <c r="D29" s="8" t="s">
        <v>1313</v>
      </c>
      <c r="E29" s="8" t="s">
        <v>812</v>
      </c>
      <c r="F29" s="8" t="s">
        <v>1300</v>
      </c>
      <c r="G29" s="8" t="s">
        <v>1324</v>
      </c>
      <c r="H29" s="8" t="s">
        <v>1314</v>
      </c>
      <c r="I29" s="8" t="s">
        <v>1303</v>
      </c>
      <c r="J29" s="8"/>
      <c r="K29" s="8"/>
      <c r="L29" s="8"/>
      <c r="M29" s="8" t="s">
        <v>30</v>
      </c>
      <c r="N29" s="8"/>
    </row>
    <row r="30" ht="15.75" customHeight="1"/>
    <row r="31" ht="15.75" customHeight="1">
      <c r="A31" s="6" t="s">
        <v>515</v>
      </c>
    </row>
    <row r="32" ht="15.75" customHeight="1">
      <c r="A32" s="6" t="s">
        <v>3</v>
      </c>
    </row>
    <row r="33" ht="15.75" customHeight="1">
      <c r="A33" s="6" t="s">
        <v>4</v>
      </c>
      <c r="B33" s="6" t="s">
        <v>6</v>
      </c>
      <c r="C33" s="6" t="s">
        <v>7</v>
      </c>
      <c r="D33" s="6" t="s">
        <v>8</v>
      </c>
      <c r="E33" s="6" t="s">
        <v>9</v>
      </c>
      <c r="F33" s="6" t="s">
        <v>10</v>
      </c>
      <c r="G33" s="6" t="s">
        <v>11</v>
      </c>
      <c r="H33" s="6" t="s">
        <v>12</v>
      </c>
      <c r="I33" s="6" t="s">
        <v>13</v>
      </c>
      <c r="J33" s="6" t="s">
        <v>14</v>
      </c>
      <c r="K33" s="6" t="s">
        <v>15</v>
      </c>
      <c r="L33" s="6" t="s">
        <v>16</v>
      </c>
      <c r="M33" s="6" t="s">
        <v>17</v>
      </c>
      <c r="N33" s="6" t="s">
        <v>18</v>
      </c>
    </row>
    <row r="34" ht="15.75" customHeight="1">
      <c r="A34" s="8" t="s">
        <v>521</v>
      </c>
      <c r="B34" s="8" t="s">
        <v>1312</v>
      </c>
      <c r="C34" s="8" t="s">
        <v>596</v>
      </c>
      <c r="D34" s="8" t="s">
        <v>1329</v>
      </c>
      <c r="E34" s="8" t="s">
        <v>800</v>
      </c>
      <c r="F34" s="8" t="s">
        <v>1300</v>
      </c>
      <c r="G34" s="8" t="s">
        <v>1324</v>
      </c>
      <c r="H34" s="8" t="s">
        <v>1330</v>
      </c>
      <c r="I34" s="8" t="s">
        <v>314</v>
      </c>
      <c r="J34" s="8"/>
      <c r="K34" s="8"/>
      <c r="L34" s="8"/>
      <c r="M34" s="8" t="s">
        <v>30</v>
      </c>
      <c r="N34" s="8"/>
    </row>
    <row r="35" ht="15.75" customHeight="1"/>
    <row r="36" ht="15.75" customHeight="1">
      <c r="A36" s="6" t="s">
        <v>515</v>
      </c>
    </row>
    <row r="37" ht="15.75" customHeight="1">
      <c r="A37" s="6" t="s">
        <v>1292</v>
      </c>
    </row>
    <row r="38" ht="15.75" customHeight="1">
      <c r="A38" s="6" t="s">
        <v>4</v>
      </c>
      <c r="B38" s="6" t="s">
        <v>6</v>
      </c>
      <c r="C38" s="6" t="s">
        <v>7</v>
      </c>
      <c r="D38" s="6" t="s">
        <v>8</v>
      </c>
      <c r="E38" s="6" t="s">
        <v>9</v>
      </c>
      <c r="F38" s="6" t="s">
        <v>10</v>
      </c>
      <c r="G38" s="6" t="s">
        <v>11</v>
      </c>
      <c r="H38" s="6" t="s">
        <v>12</v>
      </c>
      <c r="I38" s="6" t="s">
        <v>13</v>
      </c>
      <c r="J38" s="6" t="s">
        <v>14</v>
      </c>
      <c r="K38" s="6" t="s">
        <v>15</v>
      </c>
      <c r="L38" s="6" t="s">
        <v>16</v>
      </c>
      <c r="M38" s="6" t="s">
        <v>17</v>
      </c>
      <c r="N38" s="6" t="s">
        <v>18</v>
      </c>
    </row>
    <row r="39" ht="15.75" customHeight="1">
      <c r="A39" s="8" t="s">
        <v>521</v>
      </c>
      <c r="B39" s="8" t="s">
        <v>1319</v>
      </c>
      <c r="C39" s="8" t="s">
        <v>457</v>
      </c>
      <c r="D39" s="8" t="s">
        <v>429</v>
      </c>
      <c r="E39" s="8" t="s">
        <v>714</v>
      </c>
      <c r="F39" s="8" t="s">
        <v>1321</v>
      </c>
      <c r="G39" s="8" t="s">
        <v>1324</v>
      </c>
      <c r="H39" s="8" t="s">
        <v>117</v>
      </c>
      <c r="I39" s="8" t="s">
        <v>1322</v>
      </c>
      <c r="J39" s="8"/>
      <c r="K39" s="8"/>
      <c r="L39" s="8"/>
      <c r="M39" s="8" t="s">
        <v>30</v>
      </c>
      <c r="N39" s="8"/>
    </row>
    <row r="40" ht="15.75" customHeight="1"/>
    <row r="41" ht="15.75" customHeight="1">
      <c r="A41" s="6" t="s">
        <v>605</v>
      </c>
    </row>
    <row r="42" ht="15.75" customHeight="1">
      <c r="A42" s="6" t="s">
        <v>1292</v>
      </c>
    </row>
    <row r="43" ht="15.75" customHeight="1">
      <c r="A43" s="6" t="s">
        <v>4</v>
      </c>
      <c r="B43" s="6" t="s">
        <v>6</v>
      </c>
      <c r="C43" s="6" t="s">
        <v>7</v>
      </c>
      <c r="D43" s="6" t="s">
        <v>8</v>
      </c>
      <c r="E43" s="6" t="s">
        <v>9</v>
      </c>
      <c r="F43" s="6" t="s">
        <v>10</v>
      </c>
      <c r="G43" s="6" t="s">
        <v>11</v>
      </c>
      <c r="H43" s="6" t="s">
        <v>12</v>
      </c>
      <c r="I43" s="6" t="s">
        <v>13</v>
      </c>
      <c r="J43" s="6" t="s">
        <v>14</v>
      </c>
      <c r="K43" s="6" t="s">
        <v>15</v>
      </c>
      <c r="L43" s="6" t="s">
        <v>16</v>
      </c>
      <c r="M43" s="6" t="s">
        <v>17</v>
      </c>
      <c r="N43" s="6" t="s">
        <v>18</v>
      </c>
    </row>
    <row r="44" ht="15.75" customHeight="1">
      <c r="A44" s="6" t="s">
        <v>613</v>
      </c>
      <c r="B44" s="6" t="s">
        <v>633</v>
      </c>
      <c r="C44" s="6" t="s">
        <v>616</v>
      </c>
      <c r="D44" s="6" t="s">
        <v>353</v>
      </c>
      <c r="E44" s="6" t="s">
        <v>459</v>
      </c>
      <c r="F44" s="6" t="s">
        <v>1316</v>
      </c>
      <c r="G44" s="6" t="s">
        <v>1317</v>
      </c>
      <c r="H44" s="6" t="s">
        <v>88</v>
      </c>
      <c r="I44" s="6" t="s">
        <v>635</v>
      </c>
      <c r="J44" s="6"/>
      <c r="K44" s="6" t="s">
        <v>833</v>
      </c>
      <c r="L44" s="6" t="s">
        <v>304</v>
      </c>
      <c r="M44" s="6" t="s">
        <v>59</v>
      </c>
      <c r="N44" s="6"/>
    </row>
    <row r="45" ht="15.75" customHeight="1"/>
    <row r="46" ht="15.75" customHeight="1">
      <c r="A46" s="6" t="s">
        <v>605</v>
      </c>
    </row>
    <row r="47" ht="15.75" customHeight="1">
      <c r="A47" s="6" t="s">
        <v>3</v>
      </c>
    </row>
    <row r="48" ht="15.75" customHeight="1">
      <c r="A48" s="6" t="s">
        <v>4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  <c r="H48" s="6" t="s">
        <v>12</v>
      </c>
      <c r="I48" s="6" t="s">
        <v>13</v>
      </c>
      <c r="J48" s="6" t="s">
        <v>14</v>
      </c>
      <c r="K48" s="6" t="s">
        <v>15</v>
      </c>
      <c r="L48" s="6" t="s">
        <v>16</v>
      </c>
      <c r="M48" s="6" t="s">
        <v>17</v>
      </c>
      <c r="N48" s="6" t="s">
        <v>18</v>
      </c>
    </row>
    <row r="49" ht="15.75" customHeight="1">
      <c r="A49" s="6" t="s">
        <v>613</v>
      </c>
      <c r="B49" s="6" t="s">
        <v>1298</v>
      </c>
      <c r="C49" s="6" t="s">
        <v>428</v>
      </c>
      <c r="D49" s="6" t="s">
        <v>1329</v>
      </c>
      <c r="E49" s="6" t="s">
        <v>812</v>
      </c>
      <c r="F49" s="6" t="s">
        <v>1300</v>
      </c>
      <c r="G49" s="6" t="s">
        <v>1301</v>
      </c>
      <c r="H49" s="6" t="s">
        <v>1330</v>
      </c>
      <c r="I49" s="6" t="s">
        <v>1303</v>
      </c>
      <c r="J49" s="6"/>
      <c r="K49" s="6"/>
      <c r="L49" s="6" t="s">
        <v>304</v>
      </c>
      <c r="M49" s="6" t="s">
        <v>30</v>
      </c>
      <c r="N49" s="6"/>
    </row>
    <row r="50" ht="15.75" customHeight="1"/>
    <row r="51" ht="15.75" customHeight="1">
      <c r="A51" s="16" t="s">
        <v>661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ht="15.75" customHeight="1">
      <c r="A52" s="17" t="s">
        <v>926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ht="15.75" customHeight="1">
      <c r="A53" s="18" t="s">
        <v>4</v>
      </c>
      <c r="B53" s="18" t="s">
        <v>6</v>
      </c>
      <c r="C53" s="18" t="s">
        <v>7</v>
      </c>
      <c r="D53" s="18" t="s">
        <v>8</v>
      </c>
      <c r="E53" s="18" t="s">
        <v>9</v>
      </c>
      <c r="F53" s="18" t="s">
        <v>10</v>
      </c>
      <c r="G53" s="18" t="s">
        <v>11</v>
      </c>
      <c r="H53" s="18" t="s">
        <v>12</v>
      </c>
      <c r="I53" s="18" t="s">
        <v>13</v>
      </c>
      <c r="J53" s="18" t="s">
        <v>14</v>
      </c>
      <c r="K53" s="18" t="s">
        <v>15</v>
      </c>
      <c r="L53" s="18" t="s">
        <v>16</v>
      </c>
      <c r="M53" s="18" t="s">
        <v>17</v>
      </c>
      <c r="N53" s="18" t="s">
        <v>18</v>
      </c>
    </row>
    <row r="54" ht="15.75" customHeight="1">
      <c r="A54" s="6" t="s">
        <v>669</v>
      </c>
      <c r="B54" s="6" t="s">
        <v>1306</v>
      </c>
      <c r="C54" s="6" t="s">
        <v>684</v>
      </c>
      <c r="D54" s="6" t="s">
        <v>429</v>
      </c>
      <c r="E54" s="6" t="s">
        <v>812</v>
      </c>
      <c r="F54" s="6" t="s">
        <v>78</v>
      </c>
      <c r="G54" s="6" t="s">
        <v>1324</v>
      </c>
      <c r="H54" s="6" t="s">
        <v>1331</v>
      </c>
      <c r="I54" s="6" t="s">
        <v>1303</v>
      </c>
      <c r="J54" s="6"/>
      <c r="K54" s="6" t="s">
        <v>674</v>
      </c>
      <c r="L54" s="6" t="s">
        <v>304</v>
      </c>
      <c r="M54" s="6" t="s">
        <v>30</v>
      </c>
      <c r="N54" s="6"/>
    </row>
    <row r="55" ht="15.75" customHeight="1">
      <c r="A55" s="6" t="s">
        <v>669</v>
      </c>
      <c r="B55" s="6" t="s">
        <v>1332</v>
      </c>
      <c r="C55" s="6" t="s">
        <v>764</v>
      </c>
      <c r="D55" s="6" t="s">
        <v>429</v>
      </c>
      <c r="E55" s="6" t="s">
        <v>800</v>
      </c>
      <c r="F55" s="6" t="s">
        <v>1300</v>
      </c>
      <c r="G55" s="6" t="s">
        <v>1333</v>
      </c>
      <c r="H55" s="6" t="s">
        <v>130</v>
      </c>
      <c r="I55" s="6"/>
      <c r="J55" s="6"/>
      <c r="K55" s="6"/>
      <c r="L55" s="6" t="s">
        <v>304</v>
      </c>
      <c r="M55" s="6" t="s">
        <v>30</v>
      </c>
      <c r="N55" s="6"/>
    </row>
    <row r="56" ht="15.75" customHeight="1">
      <c r="A56" s="6" t="s">
        <v>669</v>
      </c>
      <c r="B56" s="6" t="s">
        <v>1334</v>
      </c>
      <c r="C56" s="6" t="s">
        <v>848</v>
      </c>
      <c r="D56" s="6" t="s">
        <v>429</v>
      </c>
      <c r="E56" s="6" t="s">
        <v>800</v>
      </c>
      <c r="F56" s="6" t="s">
        <v>1300</v>
      </c>
      <c r="G56" s="6" t="s">
        <v>1324</v>
      </c>
      <c r="H56" s="6" t="s">
        <v>156</v>
      </c>
      <c r="I56" s="6" t="s">
        <v>497</v>
      </c>
      <c r="J56" s="6"/>
      <c r="K56" s="6"/>
      <c r="L56" s="6" t="s">
        <v>304</v>
      </c>
      <c r="M56" s="6" t="s">
        <v>30</v>
      </c>
      <c r="N56" s="6"/>
    </row>
    <row r="57" ht="15.75" customHeight="1">
      <c r="A57" s="6" t="s">
        <v>669</v>
      </c>
      <c r="B57" s="6" t="s">
        <v>939</v>
      </c>
      <c r="C57" s="6" t="s">
        <v>870</v>
      </c>
      <c r="D57" s="6" t="s">
        <v>429</v>
      </c>
      <c r="E57" s="6" t="s">
        <v>812</v>
      </c>
      <c r="F57" s="6" t="s">
        <v>1335</v>
      </c>
      <c r="G57" s="6" t="s">
        <v>1336</v>
      </c>
      <c r="H57" s="6" t="s">
        <v>88</v>
      </c>
      <c r="I57" s="6" t="s">
        <v>314</v>
      </c>
      <c r="J57" s="6"/>
      <c r="K57" s="6" t="s">
        <v>941</v>
      </c>
      <c r="L57" s="6" t="s">
        <v>304</v>
      </c>
      <c r="M57" s="6" t="s">
        <v>30</v>
      </c>
      <c r="N57" s="6"/>
    </row>
    <row r="58" ht="15.75" customHeight="1"/>
    <row r="59" ht="15.75" customHeight="1">
      <c r="A59" s="16" t="s">
        <v>738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ht="15.75" customHeight="1">
      <c r="A60" s="17" t="s">
        <v>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ht="15.75" customHeight="1">
      <c r="A61" s="18" t="s">
        <v>4</v>
      </c>
      <c r="B61" s="18" t="s">
        <v>6</v>
      </c>
      <c r="C61" s="18" t="s">
        <v>7</v>
      </c>
      <c r="D61" s="18" t="s">
        <v>8</v>
      </c>
      <c r="E61" s="18" t="s">
        <v>9</v>
      </c>
      <c r="F61" s="18" t="s">
        <v>10</v>
      </c>
      <c r="G61" s="18" t="s">
        <v>11</v>
      </c>
      <c r="H61" s="18" t="s">
        <v>12</v>
      </c>
      <c r="I61" s="18" t="s">
        <v>13</v>
      </c>
      <c r="J61" s="18" t="s">
        <v>14</v>
      </c>
      <c r="K61" s="18" t="s">
        <v>15</v>
      </c>
      <c r="L61" s="18" t="s">
        <v>16</v>
      </c>
      <c r="M61" s="18" t="s">
        <v>17</v>
      </c>
      <c r="N61" s="18" t="s">
        <v>18</v>
      </c>
    </row>
    <row r="62" ht="15.75" customHeight="1">
      <c r="A62" s="6" t="s">
        <v>745</v>
      </c>
      <c r="B62" s="6" t="s">
        <v>1298</v>
      </c>
      <c r="C62" s="6" t="s">
        <v>781</v>
      </c>
      <c r="D62" s="6" t="s">
        <v>429</v>
      </c>
      <c r="E62" s="6" t="s">
        <v>812</v>
      </c>
      <c r="F62" s="6" t="s">
        <v>1300</v>
      </c>
      <c r="G62" s="6" t="s">
        <v>1324</v>
      </c>
      <c r="H62" s="6" t="s">
        <v>1337</v>
      </c>
      <c r="I62" s="6" t="s">
        <v>1303</v>
      </c>
      <c r="J62" s="6"/>
      <c r="K62" s="6"/>
      <c r="L62" s="6" t="s">
        <v>304</v>
      </c>
      <c r="M62" s="6" t="s">
        <v>30</v>
      </c>
      <c r="N62" s="6"/>
    </row>
    <row r="63" ht="15.75" customHeight="1"/>
    <row r="64" ht="15.75" customHeight="1">
      <c r="A64" s="16" t="s">
        <v>809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ht="15.75" customHeight="1">
      <c r="A65" s="17" t="s">
        <v>1292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ht="15.75" customHeight="1">
      <c r="A66" s="18" t="s">
        <v>4</v>
      </c>
      <c r="B66" s="18" t="s">
        <v>6</v>
      </c>
      <c r="C66" s="18" t="s">
        <v>7</v>
      </c>
      <c r="D66" s="18" t="s">
        <v>8</v>
      </c>
      <c r="E66" s="18" t="s">
        <v>9</v>
      </c>
      <c r="F66" s="18" t="s">
        <v>10</v>
      </c>
      <c r="G66" s="18" t="s">
        <v>11</v>
      </c>
      <c r="H66" s="18" t="s">
        <v>12</v>
      </c>
      <c r="I66" s="18" t="s">
        <v>13</v>
      </c>
      <c r="J66" s="18" t="s">
        <v>14</v>
      </c>
      <c r="K66" s="18" t="s">
        <v>15</v>
      </c>
      <c r="L66" s="18" t="s">
        <v>16</v>
      </c>
      <c r="M66" s="18" t="s">
        <v>17</v>
      </c>
      <c r="N66" s="18" t="s">
        <v>18</v>
      </c>
    </row>
    <row r="67" ht="15.75" customHeight="1">
      <c r="A67" s="6" t="s">
        <v>818</v>
      </c>
      <c r="B67" s="6" t="s">
        <v>1319</v>
      </c>
      <c r="C67" s="6" t="s">
        <v>684</v>
      </c>
      <c r="D67" s="6" t="s">
        <v>429</v>
      </c>
      <c r="E67" s="6" t="s">
        <v>714</v>
      </c>
      <c r="F67" s="6" t="s">
        <v>1321</v>
      </c>
      <c r="G67" s="6" t="s">
        <v>1324</v>
      </c>
      <c r="H67" s="6" t="s">
        <v>554</v>
      </c>
      <c r="I67" s="6" t="s">
        <v>1322</v>
      </c>
      <c r="J67" s="6"/>
      <c r="K67" s="6" t="s">
        <v>820</v>
      </c>
      <c r="L67" s="6" t="s">
        <v>304</v>
      </c>
      <c r="M67" s="6" t="s">
        <v>59</v>
      </c>
      <c r="N67" s="6"/>
    </row>
    <row r="68" ht="15.75" customHeight="1"/>
    <row r="69" ht="15.75" customHeight="1">
      <c r="A69" s="16" t="s">
        <v>855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ht="15.75" customHeight="1">
      <c r="A70" s="17" t="s">
        <v>3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ht="15.75" customHeight="1">
      <c r="A71" s="18" t="s">
        <v>4</v>
      </c>
      <c r="B71" s="18" t="s">
        <v>6</v>
      </c>
      <c r="C71" s="18" t="s">
        <v>7</v>
      </c>
      <c r="D71" s="18" t="s">
        <v>8</v>
      </c>
      <c r="E71" s="18" t="s">
        <v>9</v>
      </c>
      <c r="F71" s="18" t="s">
        <v>10</v>
      </c>
      <c r="G71" s="18" t="s">
        <v>11</v>
      </c>
      <c r="H71" s="18" t="s">
        <v>12</v>
      </c>
      <c r="I71" s="18" t="s">
        <v>13</v>
      </c>
      <c r="J71" s="18" t="s">
        <v>14</v>
      </c>
      <c r="K71" s="18" t="s">
        <v>15</v>
      </c>
      <c r="L71" s="18" t="s">
        <v>16</v>
      </c>
      <c r="M71" s="18" t="s">
        <v>17</v>
      </c>
      <c r="N71" s="18" t="s">
        <v>18</v>
      </c>
    </row>
    <row r="72" ht="15.75" customHeight="1">
      <c r="A72" s="6" t="s">
        <v>863</v>
      </c>
      <c r="B72" s="6" t="s">
        <v>1298</v>
      </c>
      <c r="C72" s="6" t="s">
        <v>672</v>
      </c>
      <c r="D72" s="6" t="s">
        <v>429</v>
      </c>
      <c r="E72" s="6" t="s">
        <v>812</v>
      </c>
      <c r="F72" s="6" t="s">
        <v>1300</v>
      </c>
      <c r="G72" s="6" t="s">
        <v>1324</v>
      </c>
      <c r="H72" s="6" t="s">
        <v>1338</v>
      </c>
      <c r="I72" s="6" t="s">
        <v>1303</v>
      </c>
      <c r="J72" s="6"/>
      <c r="K72" s="6"/>
      <c r="L72" s="6" t="s">
        <v>304</v>
      </c>
      <c r="M72" s="6" t="s">
        <v>30</v>
      </c>
      <c r="N72" s="6"/>
    </row>
    <row r="73" ht="15.75" customHeight="1"/>
    <row r="74" ht="15.75" customHeight="1">
      <c r="A74" s="16" t="s">
        <v>900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ht="15.75" customHeight="1">
      <c r="A75" s="17" t="s">
        <v>926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ht="15.75" customHeight="1">
      <c r="A76" s="18" t="s">
        <v>4</v>
      </c>
      <c r="B76" s="18" t="s">
        <v>6</v>
      </c>
      <c r="C76" s="18" t="s">
        <v>7</v>
      </c>
      <c r="D76" s="18" t="s">
        <v>8</v>
      </c>
      <c r="E76" s="18" t="s">
        <v>9</v>
      </c>
      <c r="F76" s="18" t="s">
        <v>10</v>
      </c>
      <c r="G76" s="18" t="s">
        <v>11</v>
      </c>
      <c r="H76" s="18" t="s">
        <v>12</v>
      </c>
      <c r="I76" s="18" t="s">
        <v>13</v>
      </c>
      <c r="J76" s="18" t="s">
        <v>14</v>
      </c>
      <c r="K76" s="18" t="s">
        <v>15</v>
      </c>
      <c r="L76" s="18" t="s">
        <v>16</v>
      </c>
      <c r="M76" s="18" t="s">
        <v>17</v>
      </c>
      <c r="N76" s="18" t="s">
        <v>18</v>
      </c>
    </row>
    <row r="77" ht="15.75" customHeight="1">
      <c r="A77" s="6" t="s">
        <v>903</v>
      </c>
      <c r="B77" s="6" t="s">
        <v>1312</v>
      </c>
      <c r="C77" s="6" t="s">
        <v>133</v>
      </c>
      <c r="D77" s="6" t="s">
        <v>1339</v>
      </c>
      <c r="E77" s="6" t="s">
        <v>1311</v>
      </c>
      <c r="F77" s="6" t="s">
        <v>1300</v>
      </c>
      <c r="G77" s="6" t="s">
        <v>1301</v>
      </c>
      <c r="H77" s="6" t="s">
        <v>1338</v>
      </c>
      <c r="I77" s="6" t="s">
        <v>314</v>
      </c>
      <c r="J77" s="6"/>
      <c r="K77" s="6"/>
      <c r="L77" s="6" t="s">
        <v>304</v>
      </c>
      <c r="M77" s="6" t="s">
        <v>30</v>
      </c>
      <c r="N77" s="6"/>
    </row>
    <row r="78" ht="15.75" customHeight="1">
      <c r="A78" s="6" t="s">
        <v>903</v>
      </c>
      <c r="B78" s="6" t="s">
        <v>1306</v>
      </c>
      <c r="C78" s="6" t="s">
        <v>124</v>
      </c>
      <c r="D78" s="6" t="s">
        <v>1340</v>
      </c>
      <c r="E78" s="6" t="s">
        <v>1065</v>
      </c>
      <c r="F78" s="6" t="s">
        <v>78</v>
      </c>
      <c r="G78" s="6" t="s">
        <v>1301</v>
      </c>
      <c r="H78" s="6" t="s">
        <v>1341</v>
      </c>
      <c r="I78" s="6" t="s">
        <v>1303</v>
      </c>
      <c r="J78" s="6"/>
      <c r="K78" s="6" t="s">
        <v>820</v>
      </c>
      <c r="L78" s="6" t="s">
        <v>304</v>
      </c>
      <c r="M78" s="6" t="s">
        <v>30</v>
      </c>
      <c r="N78" s="6"/>
    </row>
    <row r="79" ht="15.75" customHeight="1">
      <c r="A79" s="6" t="s">
        <v>903</v>
      </c>
      <c r="B79" s="6" t="s">
        <v>1310</v>
      </c>
      <c r="C79" s="6" t="s">
        <v>21</v>
      </c>
      <c r="D79" s="6" t="s">
        <v>499</v>
      </c>
      <c r="E79" s="6" t="s">
        <v>1311</v>
      </c>
      <c r="F79" s="6" t="s">
        <v>1300</v>
      </c>
      <c r="G79" s="6" t="s">
        <v>1301</v>
      </c>
      <c r="H79" s="6" t="s">
        <v>26</v>
      </c>
      <c r="I79" s="6" t="s">
        <v>1303</v>
      </c>
      <c r="J79" s="6"/>
      <c r="K79" s="6"/>
      <c r="L79" s="6" t="s">
        <v>304</v>
      </c>
      <c r="M79" s="6" t="s">
        <v>30</v>
      </c>
      <c r="N79" s="6"/>
    </row>
    <row r="80" ht="15.75" customHeight="1">
      <c r="A80" s="6" t="s">
        <v>903</v>
      </c>
      <c r="B80" s="6" t="s">
        <v>1334</v>
      </c>
      <c r="C80" s="6" t="s">
        <v>61</v>
      </c>
      <c r="D80" s="6" t="s">
        <v>365</v>
      </c>
      <c r="E80" s="6" t="s">
        <v>1311</v>
      </c>
      <c r="F80" s="6" t="s">
        <v>1300</v>
      </c>
      <c r="G80" s="6" t="s">
        <v>1301</v>
      </c>
      <c r="H80" s="6" t="s">
        <v>49</v>
      </c>
      <c r="I80" s="6" t="s">
        <v>497</v>
      </c>
      <c r="J80" s="6"/>
      <c r="K80" s="6"/>
      <c r="L80" s="6" t="s">
        <v>304</v>
      </c>
      <c r="M80" s="6" t="s">
        <v>30</v>
      </c>
      <c r="N80" s="6"/>
    </row>
    <row r="81" ht="15.75" customHeight="1"/>
    <row r="82" ht="15.75" customHeight="1">
      <c r="A82" s="16" t="s">
        <v>928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ht="15.75" customHeight="1">
      <c r="A83" s="17" t="s">
        <v>3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ht="15.75" customHeight="1">
      <c r="A84" s="18" t="s">
        <v>4</v>
      </c>
      <c r="B84" s="18" t="s">
        <v>6</v>
      </c>
      <c r="C84" s="18" t="s">
        <v>7</v>
      </c>
      <c r="D84" s="18" t="s">
        <v>8</v>
      </c>
      <c r="E84" s="18" t="s">
        <v>9</v>
      </c>
      <c r="F84" s="18" t="s">
        <v>10</v>
      </c>
      <c r="G84" s="18" t="s">
        <v>11</v>
      </c>
      <c r="H84" s="18" t="s">
        <v>12</v>
      </c>
      <c r="I84" s="18" t="s">
        <v>13</v>
      </c>
      <c r="J84" s="18" t="s">
        <v>14</v>
      </c>
      <c r="K84" s="18" t="s">
        <v>15</v>
      </c>
      <c r="L84" s="18" t="s">
        <v>16</v>
      </c>
      <c r="M84" s="18" t="s">
        <v>17</v>
      </c>
      <c r="N84" s="18" t="s">
        <v>18</v>
      </c>
    </row>
    <row r="85" ht="15.75" customHeight="1">
      <c r="A85" s="6" t="s">
        <v>935</v>
      </c>
      <c r="B85" s="6" t="s">
        <v>1342</v>
      </c>
      <c r="C85" s="6" t="s">
        <v>539</v>
      </c>
      <c r="D85" s="6" t="s">
        <v>429</v>
      </c>
      <c r="E85" s="6" t="s">
        <v>800</v>
      </c>
      <c r="F85" s="6" t="s">
        <v>1300</v>
      </c>
      <c r="G85" s="6" t="s">
        <v>936</v>
      </c>
      <c r="H85" s="6" t="s">
        <v>55</v>
      </c>
      <c r="I85" s="6"/>
      <c r="J85" s="6"/>
      <c r="K85" s="6"/>
      <c r="L85" s="6" t="s">
        <v>304</v>
      </c>
      <c r="M85" s="6" t="s">
        <v>30</v>
      </c>
      <c r="N85" s="6"/>
    </row>
    <row r="86" ht="15.75" customHeight="1"/>
    <row r="87" ht="15.75" customHeight="1">
      <c r="A87" s="16" t="s">
        <v>975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ht="15.75" customHeight="1">
      <c r="A88" s="17" t="s">
        <v>1304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ht="15.75" customHeight="1">
      <c r="A89" s="18" t="s">
        <v>4</v>
      </c>
      <c r="B89" s="18" t="s">
        <v>6</v>
      </c>
      <c r="C89" s="18" t="s">
        <v>7</v>
      </c>
      <c r="D89" s="18" t="s">
        <v>8</v>
      </c>
      <c r="E89" s="18" t="s">
        <v>9</v>
      </c>
      <c r="F89" s="18" t="s">
        <v>10</v>
      </c>
      <c r="G89" s="18" t="s">
        <v>11</v>
      </c>
      <c r="H89" s="18" t="s">
        <v>12</v>
      </c>
      <c r="I89" s="18" t="s">
        <v>13</v>
      </c>
      <c r="J89" s="18" t="s">
        <v>14</v>
      </c>
      <c r="K89" s="18" t="s">
        <v>15</v>
      </c>
      <c r="L89" s="18" t="s">
        <v>16</v>
      </c>
      <c r="M89" s="18" t="s">
        <v>17</v>
      </c>
      <c r="N89" s="18" t="s">
        <v>18</v>
      </c>
    </row>
    <row r="90" ht="15.75" customHeight="1">
      <c r="A90" s="6" t="s">
        <v>978</v>
      </c>
      <c r="B90" s="6" t="s">
        <v>1312</v>
      </c>
      <c r="C90" s="6" t="s">
        <v>576</v>
      </c>
      <c r="D90" s="6" t="s">
        <v>429</v>
      </c>
      <c r="E90" s="6" t="s">
        <v>800</v>
      </c>
      <c r="F90" s="6" t="s">
        <v>1300</v>
      </c>
      <c r="G90" s="6" t="s">
        <v>936</v>
      </c>
      <c r="H90" s="6" t="s">
        <v>1343</v>
      </c>
      <c r="I90" s="6" t="s">
        <v>314</v>
      </c>
      <c r="J90" s="6"/>
      <c r="K90" s="6"/>
      <c r="L90" s="6" t="s">
        <v>304</v>
      </c>
      <c r="M90" s="6" t="s">
        <v>984</v>
      </c>
      <c r="N90" s="6"/>
    </row>
    <row r="91" ht="15.75" customHeight="1">
      <c r="A91" s="6" t="s">
        <v>978</v>
      </c>
      <c r="B91" s="6" t="s">
        <v>1298</v>
      </c>
      <c r="C91" s="6" t="s">
        <v>501</v>
      </c>
      <c r="D91" s="6" t="s">
        <v>429</v>
      </c>
      <c r="E91" s="6" t="s">
        <v>812</v>
      </c>
      <c r="F91" s="6" t="s">
        <v>1300</v>
      </c>
      <c r="G91" s="6" t="s">
        <v>936</v>
      </c>
      <c r="H91" s="6" t="s">
        <v>1343</v>
      </c>
      <c r="I91" s="6" t="s">
        <v>1303</v>
      </c>
      <c r="J91" s="6"/>
      <c r="K91" s="6"/>
      <c r="L91" s="6" t="s">
        <v>304</v>
      </c>
      <c r="M91" s="6" t="s">
        <v>984</v>
      </c>
      <c r="N91" s="6"/>
    </row>
    <row r="92" ht="15.75" customHeight="1"/>
    <row r="93" ht="15.75" customHeight="1">
      <c r="A93" s="16" t="s">
        <v>975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ht="15.75" customHeight="1">
      <c r="A94" s="17" t="s">
        <v>1251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ht="15.75" customHeight="1">
      <c r="A95" s="18" t="s">
        <v>4</v>
      </c>
      <c r="B95" s="18" t="s">
        <v>6</v>
      </c>
      <c r="C95" s="18" t="s">
        <v>7</v>
      </c>
      <c r="D95" s="18" t="s">
        <v>8</v>
      </c>
      <c r="E95" s="18" t="s">
        <v>9</v>
      </c>
      <c r="F95" s="18" t="s">
        <v>10</v>
      </c>
      <c r="G95" s="18" t="s">
        <v>11</v>
      </c>
      <c r="H95" s="18" t="s">
        <v>12</v>
      </c>
      <c r="I95" s="18" t="s">
        <v>13</v>
      </c>
      <c r="J95" s="18" t="s">
        <v>14</v>
      </c>
      <c r="K95" s="18" t="s">
        <v>15</v>
      </c>
      <c r="L95" s="18" t="s">
        <v>16</v>
      </c>
      <c r="M95" s="18" t="s">
        <v>17</v>
      </c>
      <c r="N95" s="18" t="s">
        <v>18</v>
      </c>
    </row>
    <row r="96" ht="15.75" customHeight="1">
      <c r="A96" s="6" t="s">
        <v>978</v>
      </c>
      <c r="B96" s="6" t="s">
        <v>1344</v>
      </c>
      <c r="C96" s="6" t="s">
        <v>588</v>
      </c>
      <c r="D96" s="6" t="s">
        <v>429</v>
      </c>
      <c r="E96" s="6" t="s">
        <v>430</v>
      </c>
      <c r="F96" s="6" t="s">
        <v>1300</v>
      </c>
      <c r="G96" s="6" t="s">
        <v>936</v>
      </c>
      <c r="H96" s="6" t="s">
        <v>105</v>
      </c>
      <c r="I96" s="6" t="s">
        <v>1345</v>
      </c>
      <c r="J96" s="6"/>
      <c r="K96" s="6" t="s">
        <v>988</v>
      </c>
      <c r="L96" s="6" t="s">
        <v>304</v>
      </c>
      <c r="M96" s="6" t="s">
        <v>59</v>
      </c>
      <c r="N96" s="6"/>
    </row>
    <row r="97" ht="15.75" customHeight="1">
      <c r="A97" s="6" t="s">
        <v>978</v>
      </c>
      <c r="B97" s="6" t="s">
        <v>1325</v>
      </c>
      <c r="C97" s="6" t="s">
        <v>428</v>
      </c>
      <c r="D97" s="6" t="s">
        <v>429</v>
      </c>
      <c r="E97" s="6" t="s">
        <v>459</v>
      </c>
      <c r="F97" s="6" t="s">
        <v>1316</v>
      </c>
      <c r="G97" s="6" t="s">
        <v>936</v>
      </c>
      <c r="H97" s="6" t="s">
        <v>88</v>
      </c>
      <c r="I97" s="6" t="s">
        <v>1326</v>
      </c>
      <c r="J97" s="6"/>
      <c r="K97" s="6" t="s">
        <v>1327</v>
      </c>
      <c r="L97" s="6" t="s">
        <v>304</v>
      </c>
      <c r="M97" s="6" t="s">
        <v>59</v>
      </c>
      <c r="N97" s="6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3:N3"/>
    <mergeCell ref="A4:N4"/>
    <mergeCell ref="A8:N8"/>
    <mergeCell ref="A9:N9"/>
    <mergeCell ref="A14:N14"/>
    <mergeCell ref="A15:N15"/>
    <mergeCell ref="A19:N19"/>
  </mergeCells>
  <conditionalFormatting sqref="A6:N6">
    <cfRule type="expression" dxfId="0" priority="1">
      <formula>OR(ISNUMBER(SEARCH("Finalizado",$D6)),$M6="Finalizado",$M6="Validado")</formula>
    </cfRule>
  </conditionalFormatting>
  <conditionalFormatting sqref="A6:N6">
    <cfRule type="expression" dxfId="1" priority="2">
      <formula>AND(NOT(ISNUMBER(SEARCH("Finalizado",$D6))),$M6="Pendente",NOT(ISNUMBER(SEARCH("Falta Justificada",$D6))))</formula>
    </cfRule>
  </conditionalFormatting>
  <conditionalFormatting sqref="K6">
    <cfRule type="expression" dxfId="2" priority="3">
      <formula>OR(ISNUMBER(SEARCH("1ª SESSÃO",K6)),ISNUMBER(SEARCH("ALERTA FINAL",K6)),ISNUMBER(SEARCH("MEDSÊNIOR",K6)))</formula>
    </cfRule>
  </conditionalFormatting>
  <conditionalFormatting sqref="A11:N12">
    <cfRule type="expression" dxfId="0" priority="4">
      <formula>OR(ISNUMBER(SEARCH("Finalizado",$D11)),$M11="Finalizado",$M11="Validado")</formula>
    </cfRule>
  </conditionalFormatting>
  <conditionalFormatting sqref="A11:N12">
    <cfRule type="expression" dxfId="1" priority="5">
      <formula>AND(NOT(ISNUMBER(SEARCH("Finalizado",$D11))),$M11="Pendente",NOT(ISNUMBER(SEARCH("Falta Justificada",$D11))))</formula>
    </cfRule>
  </conditionalFormatting>
  <conditionalFormatting sqref="K11:K12">
    <cfRule type="expression" dxfId="2" priority="6">
      <formula>OR(ISNUMBER(SEARCH("1ª SESSÃO",K11)),ISNUMBER(SEARCH("ALERTA FINAL",K11)),ISNUMBER(SEARCH("MEDSÊNIOR",K11)))</formula>
    </cfRule>
  </conditionalFormatting>
  <conditionalFormatting sqref="A17:N17">
    <cfRule type="expression" dxfId="0" priority="7">
      <formula>OR(ISNUMBER(SEARCH("Finalizado",$D17)),$M17="Finalizado",$M17="Validado")</formula>
    </cfRule>
  </conditionalFormatting>
  <conditionalFormatting sqref="A17:N17">
    <cfRule type="expression" dxfId="1" priority="8">
      <formula>AND(NOT(ISNUMBER(SEARCH("Finalizado",$D17))),$M17="Pendente",NOT(ISNUMBER(SEARCH("Falta Justificada",$D17))))</formula>
    </cfRule>
  </conditionalFormatting>
  <conditionalFormatting sqref="K17">
    <cfRule type="expression" dxfId="2" priority="9">
      <formula>OR(ISNUMBER(SEARCH("1ª SESSÃO",K17)),ISNUMBER(SEARCH("ALERTA FINAL",K17)),ISNUMBER(SEARCH("MEDSÊNIOR",K17)))</formula>
    </cfRule>
  </conditionalFormatting>
  <conditionalFormatting sqref="A21:N22">
    <cfRule type="expression" dxfId="0" priority="10">
      <formula>OR(ISNUMBER(SEARCH("Finalizado",$D21)),$M21="Finalizado",$M21="Validado")</formula>
    </cfRule>
  </conditionalFormatting>
  <conditionalFormatting sqref="A21:N22">
    <cfRule type="expression" dxfId="1" priority="11">
      <formula>AND(NOT(ISNUMBER(SEARCH("Finalizado",$D21))),$M21="Pendente",NOT(ISNUMBER(SEARCH("Falta Justificada",$D21))))</formula>
    </cfRule>
  </conditionalFormatting>
  <conditionalFormatting sqref="K21:K22">
    <cfRule type="expression" dxfId="2" priority="12">
      <formula>OR(ISNUMBER(SEARCH("1ª SESSÃO",K21)),ISNUMBER(SEARCH("ALERTA FINAL",K21)),ISNUMBER(SEARCH("MEDSÊNIOR",K21)))</formula>
    </cfRule>
  </conditionalFormatting>
  <conditionalFormatting sqref="A27:N27">
    <cfRule type="expression" dxfId="3" priority="13">
      <formula>OR($M27="Finalizado",$M27="Validado",$D27="Finalizado")</formula>
    </cfRule>
  </conditionalFormatting>
  <conditionalFormatting sqref="A27:N27">
    <cfRule type="expression" dxfId="4" priority="14">
      <formula>AND($M27="Pendente",$D27&lt;&gt;"Finalizado")</formula>
    </cfRule>
  </conditionalFormatting>
  <conditionalFormatting sqref="A28:N28">
    <cfRule type="expression" dxfId="3" priority="15">
      <formula>OR($M28="Finalizado",$M28="Validado",$D28="Finalizado")</formula>
    </cfRule>
  </conditionalFormatting>
  <conditionalFormatting sqref="A28:N28">
    <cfRule type="expression" dxfId="4" priority="16">
      <formula>AND($M28="Pendente",$D28&lt;&gt;"Finalizado")</formula>
    </cfRule>
  </conditionalFormatting>
  <conditionalFormatting sqref="A29:N29">
    <cfRule type="expression" dxfId="3" priority="17">
      <formula>OR($M29="Finalizado",$M29="Validado",$D29="Finalizado")</formula>
    </cfRule>
  </conditionalFormatting>
  <conditionalFormatting sqref="A29:N29">
    <cfRule type="expression" dxfId="4" priority="18">
      <formula>AND($M29="Pendente",$D29&lt;&gt;"Finalizado")</formula>
    </cfRule>
  </conditionalFormatting>
  <conditionalFormatting sqref="A34:N34">
    <cfRule type="expression" dxfId="3" priority="19">
      <formula>OR($M34="Finalizado",$M34="Validado",$D34="Finalizado")</formula>
    </cfRule>
  </conditionalFormatting>
  <conditionalFormatting sqref="A34:N34">
    <cfRule type="expression" dxfId="4" priority="20">
      <formula>AND($M34="Pendente",$D34&lt;&gt;"Finalizado")</formula>
    </cfRule>
  </conditionalFormatting>
  <conditionalFormatting sqref="A39:N39">
    <cfRule type="expression" dxfId="3" priority="21">
      <formula>OR($M39="Finalizado",$M39="Validado",$D39="Finalizado")</formula>
    </cfRule>
  </conditionalFormatting>
  <conditionalFormatting sqref="A39:N39">
    <cfRule type="expression" dxfId="4" priority="22">
      <formula>AND($M39="Pendente",$D39&lt;&gt;"Finalizado")</formula>
    </cfRule>
  </conditionalFormatting>
  <conditionalFormatting sqref="A44:N44">
    <cfRule type="expression" dxfId="3" priority="23">
      <formula>OR($M44="Finalizado",$M44="Validado",LEFT($D44,10)="Finalizado")</formula>
    </cfRule>
  </conditionalFormatting>
  <conditionalFormatting sqref="A44:N44">
    <cfRule type="expression" dxfId="4" priority="24">
      <formula>AND($M44="Pendente",LEFT($D44,10)&lt;&gt;"Finalizado")</formula>
    </cfRule>
  </conditionalFormatting>
  <conditionalFormatting sqref="A49:N49">
    <cfRule type="expression" dxfId="3" priority="25">
      <formula>OR($M49="Finalizado",$M49="Validado",LEFT($D49,10)="Finalizado")</formula>
    </cfRule>
  </conditionalFormatting>
  <conditionalFormatting sqref="A49:N49">
    <cfRule type="expression" dxfId="4" priority="26">
      <formula>AND($M49="Pendente",LEFT($D49,10)&lt;&gt;"Finalizado")</formula>
    </cfRule>
  </conditionalFormatting>
  <conditionalFormatting sqref="A54:N54">
    <cfRule type="expression" dxfId="3" priority="27">
      <formula>OR($M54="Validado",$M54="Finalizado",LEFT($D54,10)="Finalizado")</formula>
    </cfRule>
  </conditionalFormatting>
  <conditionalFormatting sqref="A54:N54">
    <cfRule type="expression" dxfId="4" priority="28">
      <formula>AND($M54="Pendente",LEFT($D54,10)&lt;&gt;"Finalizado")</formula>
    </cfRule>
  </conditionalFormatting>
  <conditionalFormatting sqref="A55:N55">
    <cfRule type="expression" dxfId="3" priority="29">
      <formula>OR($M55="Validado",$M55="Finalizado",LEFT($D55,10)="Finalizado")</formula>
    </cfRule>
  </conditionalFormatting>
  <conditionalFormatting sqref="A55:N55">
    <cfRule type="expression" dxfId="4" priority="30">
      <formula>AND($M55="Pendente",LEFT($D55,10)&lt;&gt;"Finalizado")</formula>
    </cfRule>
  </conditionalFormatting>
  <conditionalFormatting sqref="A56:N56">
    <cfRule type="expression" dxfId="3" priority="31">
      <formula>OR($M56="Validado",$M56="Finalizado",LEFT($D56,10)="Finalizado")</formula>
    </cfRule>
  </conditionalFormatting>
  <conditionalFormatting sqref="A56:N56">
    <cfRule type="expression" dxfId="4" priority="32">
      <formula>AND($M56="Pendente",LEFT($D56,10)&lt;&gt;"Finalizado")</formula>
    </cfRule>
  </conditionalFormatting>
  <conditionalFormatting sqref="A57:N57">
    <cfRule type="expression" dxfId="3" priority="33">
      <formula>OR($M57="Validado",$M57="Finalizado",LEFT($D57,10)="Finalizado")</formula>
    </cfRule>
  </conditionalFormatting>
  <conditionalFormatting sqref="A57:N57">
    <cfRule type="expression" dxfId="4" priority="34">
      <formula>AND($M57="Pendente",LEFT($D57,10)&lt;&gt;"Finalizado")</formula>
    </cfRule>
  </conditionalFormatting>
  <conditionalFormatting sqref="A62:N62">
    <cfRule type="expression" dxfId="3" priority="35">
      <formula>OR($M62="Validado",$M62="Finalizado",LEFT($D62,10)="Finalizado")</formula>
    </cfRule>
  </conditionalFormatting>
  <conditionalFormatting sqref="A62:N62">
    <cfRule type="expression" dxfId="4" priority="36">
      <formula>AND($M62="Pendente",LEFT($D62,10)&lt;&gt;"Finalizado")</formula>
    </cfRule>
  </conditionalFormatting>
  <conditionalFormatting sqref="A67:N67">
    <cfRule type="expression" dxfId="3" priority="37">
      <formula>OR($M67="Validado",$M67="Finalizado",LEFT($D67,10)="Finalizado")</formula>
    </cfRule>
  </conditionalFormatting>
  <conditionalFormatting sqref="A67:N67">
    <cfRule type="expression" dxfId="4" priority="38">
      <formula>AND($M67="Pendente",LEFT($D67,10)&lt;&gt;"Finalizado")</formula>
    </cfRule>
  </conditionalFormatting>
  <conditionalFormatting sqref="A72:N72">
    <cfRule type="expression" dxfId="3" priority="39">
      <formula>OR($M72="Validado",$M72="Finalizado",LEFT($D72,10)="Finalizado")</formula>
    </cfRule>
  </conditionalFormatting>
  <conditionalFormatting sqref="A72:N72">
    <cfRule type="expression" dxfId="4" priority="40">
      <formula>AND($M72="Pendente",LEFT($D72,10)&lt;&gt;"Finalizado")</formula>
    </cfRule>
  </conditionalFormatting>
  <conditionalFormatting sqref="A77:N77">
    <cfRule type="expression" dxfId="3" priority="41">
      <formula>OR($M77="Validado",$M77="Finalizado",LEFT($D77,10)="Finalizado")</formula>
    </cfRule>
  </conditionalFormatting>
  <conditionalFormatting sqref="A77:N77">
    <cfRule type="expression" dxfId="4" priority="42">
      <formula>AND($M77="Pendente",LEFT($D77,10)&lt;&gt;"Finalizado")</formula>
    </cfRule>
  </conditionalFormatting>
  <conditionalFormatting sqref="A78:N78">
    <cfRule type="expression" dxfId="3" priority="43">
      <formula>OR($M78="Validado",$M78="Finalizado",LEFT($D78,10)="Finalizado")</formula>
    </cfRule>
  </conditionalFormatting>
  <conditionalFormatting sqref="A78:N78">
    <cfRule type="expression" dxfId="4" priority="44">
      <formula>AND($M78="Pendente",LEFT($D78,10)&lt;&gt;"Finalizado")</formula>
    </cfRule>
  </conditionalFormatting>
  <conditionalFormatting sqref="A79:N79">
    <cfRule type="expression" dxfId="3" priority="45">
      <formula>OR($M79="Validado",$M79="Finalizado",LEFT($D79,10)="Finalizado")</formula>
    </cfRule>
  </conditionalFormatting>
  <conditionalFormatting sqref="A79:N79">
    <cfRule type="expression" dxfId="4" priority="46">
      <formula>AND($M79="Pendente",LEFT($D79,10)&lt;&gt;"Finalizado")</formula>
    </cfRule>
  </conditionalFormatting>
  <conditionalFormatting sqref="A80:N80">
    <cfRule type="expression" dxfId="3" priority="47">
      <formula>OR($M80="Validado",$M80="Finalizado",LEFT($D80,10)="Finalizado")</formula>
    </cfRule>
  </conditionalFormatting>
  <conditionalFormatting sqref="A80:N80">
    <cfRule type="expression" dxfId="4" priority="48">
      <formula>AND($M80="Pendente",LEFT($D80,10)&lt;&gt;"Finalizado")</formula>
    </cfRule>
  </conditionalFormatting>
  <conditionalFormatting sqref="A85:N85">
    <cfRule type="expression" dxfId="5" priority="49">
      <formula>OR($M85="Validado",$M85="Finalizado")</formula>
    </cfRule>
  </conditionalFormatting>
  <conditionalFormatting sqref="A85:N85">
    <cfRule type="expression" dxfId="6" priority="50">
      <formula>AND($M85="Pendente",NOT(ISNUMBER(SEARCH("Falta Justificada",$D85))),NOT(ISNUMBER(SEARCH("Cancelado",$D85))),NOT(ISNUMBER(SEARCH("Desmarcado",$D85))))</formula>
    </cfRule>
  </conditionalFormatting>
  <conditionalFormatting sqref="A90:N91">
    <cfRule type="expression" dxfId="5" priority="51">
      <formula>OR($M90="Validado",$M90="Finalizado")</formula>
    </cfRule>
  </conditionalFormatting>
  <conditionalFormatting sqref="A90:N91">
    <cfRule type="expression" dxfId="6" priority="52">
      <formula>AND($M90="Pendente",NOT(ISNUMBER(SEARCH("Falta Justificada",$D90))),NOT(ISNUMBER(SEARCH("Cancelado",$D90))),NOT(ISNUMBER(SEARCH("Desmarcado",$D90))))</formula>
    </cfRule>
  </conditionalFormatting>
  <conditionalFormatting sqref="A96:N97">
    <cfRule type="expression" dxfId="5" priority="53">
      <formula>OR($M96="Validado",$M96="Finalizado")</formula>
    </cfRule>
  </conditionalFormatting>
  <conditionalFormatting sqref="A96:N97">
    <cfRule type="expression" dxfId="6" priority="54">
      <formula>AND($M96="Pendente",NOT(ISNUMBER(SEARCH("Falta Justificada",$D96))),NOT(ISNUMBER(SEARCH("Cancelado",$D96))),NOT(ISNUMBER(SEARCH("Desmarcado",$D96))))</formula>
    </cfRule>
  </conditionalFormatting>
  <dataValidations>
    <dataValidation type="list" allowBlank="1" sqref="M6 M11:M12 M17 M21:M22 M27:M29 M34 M39 M44 M49 M54:M57 M62 M67 M72 M77:M80 M85 M90:M91 M96:M97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5.13"/>
    <col customWidth="1" min="3" max="3" width="11.0"/>
    <col customWidth="1" min="4" max="4" width="13.88"/>
    <col customWidth="1" min="5" max="6" width="15.5"/>
    <col customWidth="1" min="7" max="7" width="28.88"/>
    <col customWidth="1" min="8" max="8" width="10.0"/>
    <col customWidth="1" min="9" max="9" width="9.5"/>
    <col customWidth="1" min="10" max="10" width="8.0"/>
    <col customWidth="1" min="11" max="11" width="24.38"/>
    <col customWidth="1" min="12" max="12" width="10.63"/>
    <col customWidth="1" min="13" max="13" width="18.0"/>
    <col customWidth="1" min="14" max="14" width="32.0"/>
  </cols>
  <sheetData>
    <row r="1">
      <c r="A1" s="1" t="s">
        <v>1346</v>
      </c>
    </row>
    <row r="3">
      <c r="A3" s="2" t="s">
        <v>2</v>
      </c>
    </row>
    <row r="4">
      <c r="A4" s="3" t="s">
        <v>1347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1348</v>
      </c>
      <c r="C6" s="5" t="s">
        <v>235</v>
      </c>
      <c r="D6" s="5" t="s">
        <v>1349</v>
      </c>
      <c r="E6" s="5" t="s">
        <v>677</v>
      </c>
      <c r="F6" s="5" t="s">
        <v>1350</v>
      </c>
      <c r="G6" s="5" t="s">
        <v>1351</v>
      </c>
      <c r="H6" s="5" t="s">
        <v>1352</v>
      </c>
      <c r="I6" s="5"/>
      <c r="J6" s="5"/>
      <c r="K6" s="5" t="s">
        <v>1353</v>
      </c>
      <c r="L6" s="5" t="s">
        <v>58</v>
      </c>
      <c r="M6" s="5" t="s">
        <v>59</v>
      </c>
      <c r="N6" s="5"/>
    </row>
    <row r="7">
      <c r="A7" s="5" t="s">
        <v>19</v>
      </c>
      <c r="B7" s="5" t="s">
        <v>1354</v>
      </c>
      <c r="C7" s="5" t="s">
        <v>62</v>
      </c>
      <c r="D7" s="5" t="s">
        <v>1355</v>
      </c>
      <c r="E7" s="5" t="s">
        <v>677</v>
      </c>
      <c r="F7" s="5" t="s">
        <v>1350</v>
      </c>
      <c r="G7" s="5" t="s">
        <v>1356</v>
      </c>
      <c r="H7" s="5" t="s">
        <v>1357</v>
      </c>
      <c r="I7" s="5"/>
      <c r="J7" s="5"/>
      <c r="K7" s="5" t="s">
        <v>28</v>
      </c>
      <c r="L7" s="5" t="s">
        <v>29</v>
      </c>
      <c r="M7" s="5" t="s">
        <v>30</v>
      </c>
      <c r="N7" s="5" t="s">
        <v>1358</v>
      </c>
    </row>
    <row r="8">
      <c r="A8" s="5" t="s">
        <v>19</v>
      </c>
      <c r="B8" s="5" t="s">
        <v>1359</v>
      </c>
      <c r="C8" s="5" t="s">
        <v>61</v>
      </c>
      <c r="D8" s="5" t="s">
        <v>1360</v>
      </c>
      <c r="E8" s="5" t="s">
        <v>677</v>
      </c>
      <c r="F8" s="5" t="s">
        <v>1350</v>
      </c>
      <c r="G8" s="5" t="s">
        <v>1361</v>
      </c>
      <c r="H8" s="5" t="s">
        <v>1362</v>
      </c>
      <c r="I8" s="5" t="s">
        <v>1322</v>
      </c>
      <c r="J8" s="5"/>
      <c r="K8" s="5" t="s">
        <v>40</v>
      </c>
      <c r="L8" s="5" t="s">
        <v>29</v>
      </c>
      <c r="M8" s="5" t="s">
        <v>30</v>
      </c>
      <c r="N8" s="5"/>
    </row>
    <row r="9">
      <c r="A9" s="5" t="s">
        <v>19</v>
      </c>
      <c r="B9" s="5" t="s">
        <v>1363</v>
      </c>
      <c r="C9" s="5" t="s">
        <v>43</v>
      </c>
      <c r="D9" s="5" t="s">
        <v>187</v>
      </c>
      <c r="E9" s="5" t="s">
        <v>1065</v>
      </c>
      <c r="F9" s="5" t="s">
        <v>1321</v>
      </c>
      <c r="G9" s="5" t="s">
        <v>1364</v>
      </c>
      <c r="H9" s="5" t="s">
        <v>55</v>
      </c>
      <c r="I9" s="5" t="s">
        <v>1303</v>
      </c>
      <c r="J9" s="5"/>
      <c r="K9" s="5" t="s">
        <v>28</v>
      </c>
      <c r="L9" s="5" t="s">
        <v>29</v>
      </c>
      <c r="M9" s="5" t="s">
        <v>30</v>
      </c>
      <c r="N9" s="5"/>
    </row>
    <row r="10">
      <c r="A10" s="5" t="s">
        <v>19</v>
      </c>
      <c r="B10" s="5" t="s">
        <v>1365</v>
      </c>
      <c r="C10" s="5" t="s">
        <v>112</v>
      </c>
      <c r="D10" s="5" t="s">
        <v>1366</v>
      </c>
      <c r="E10" s="5" t="s">
        <v>677</v>
      </c>
      <c r="F10" s="5" t="s">
        <v>1350</v>
      </c>
      <c r="G10" s="5" t="s">
        <v>1367</v>
      </c>
      <c r="H10" s="5" t="s">
        <v>1368</v>
      </c>
      <c r="I10" s="5" t="s">
        <v>314</v>
      </c>
      <c r="J10" s="5"/>
      <c r="K10" s="5" t="s">
        <v>40</v>
      </c>
      <c r="L10" s="5" t="s">
        <v>29</v>
      </c>
      <c r="M10" s="5" t="s">
        <v>30</v>
      </c>
      <c r="N10" s="5"/>
    </row>
    <row r="11">
      <c r="A11" s="5" t="s">
        <v>19</v>
      </c>
      <c r="B11" s="5" t="s">
        <v>1369</v>
      </c>
      <c r="C11" s="5" t="s">
        <v>124</v>
      </c>
      <c r="D11" s="5" t="s">
        <v>99</v>
      </c>
      <c r="E11" s="5" t="s">
        <v>1065</v>
      </c>
      <c r="F11" s="5" t="s">
        <v>1321</v>
      </c>
      <c r="G11" s="5" t="s">
        <v>1370</v>
      </c>
      <c r="H11" s="5" t="s">
        <v>105</v>
      </c>
      <c r="I11" s="5" t="s">
        <v>1303</v>
      </c>
      <c r="J11" s="5"/>
      <c r="K11" s="5" t="s">
        <v>107</v>
      </c>
      <c r="L11" s="5" t="s">
        <v>29</v>
      </c>
      <c r="M11" s="5" t="s">
        <v>30</v>
      </c>
      <c r="N11" s="5"/>
    </row>
    <row r="12">
      <c r="A12" s="5" t="s">
        <v>19</v>
      </c>
      <c r="B12" s="5" t="s">
        <v>1371</v>
      </c>
      <c r="C12" s="5" t="s">
        <v>262</v>
      </c>
      <c r="D12" s="5" t="s">
        <v>1372</v>
      </c>
      <c r="E12" s="5" t="s">
        <v>1065</v>
      </c>
      <c r="F12" s="5" t="s">
        <v>1321</v>
      </c>
      <c r="G12" s="5" t="s">
        <v>1364</v>
      </c>
      <c r="H12" s="5" t="s">
        <v>1373</v>
      </c>
      <c r="I12" s="5" t="s">
        <v>1303</v>
      </c>
      <c r="J12" s="5"/>
      <c r="K12" s="5" t="s">
        <v>28</v>
      </c>
      <c r="L12" s="5" t="s">
        <v>29</v>
      </c>
      <c r="M12" s="5" t="s">
        <v>30</v>
      </c>
      <c r="N12" s="5"/>
    </row>
    <row r="13">
      <c r="A13" s="5" t="s">
        <v>19</v>
      </c>
      <c r="B13" s="5" t="s">
        <v>1374</v>
      </c>
      <c r="C13" s="5" t="s">
        <v>35</v>
      </c>
      <c r="D13" s="5" t="s">
        <v>64</v>
      </c>
      <c r="E13" s="5" t="s">
        <v>1065</v>
      </c>
      <c r="F13" s="5" t="s">
        <v>1321</v>
      </c>
      <c r="G13" s="5"/>
      <c r="H13" s="5" t="s">
        <v>70</v>
      </c>
      <c r="I13" s="5" t="s">
        <v>1322</v>
      </c>
      <c r="J13" s="5"/>
      <c r="K13" s="5" t="s">
        <v>40</v>
      </c>
      <c r="L13" s="5" t="s">
        <v>29</v>
      </c>
      <c r="M13" s="5" t="s">
        <v>30</v>
      </c>
      <c r="N13" s="5"/>
    </row>
    <row r="14">
      <c r="A14" s="5" t="s">
        <v>19</v>
      </c>
      <c r="B14" s="5" t="s">
        <v>1375</v>
      </c>
      <c r="C14" s="5" t="s">
        <v>94</v>
      </c>
      <c r="D14" s="5" t="s">
        <v>153</v>
      </c>
      <c r="E14" s="5" t="s">
        <v>677</v>
      </c>
      <c r="F14" s="5" t="s">
        <v>1321</v>
      </c>
      <c r="G14" s="5" t="s">
        <v>1364</v>
      </c>
      <c r="H14" s="5" t="s">
        <v>156</v>
      </c>
      <c r="I14" s="5" t="s">
        <v>1303</v>
      </c>
      <c r="J14" s="5"/>
      <c r="K14" s="5" t="s">
        <v>28</v>
      </c>
      <c r="L14" s="5" t="s">
        <v>29</v>
      </c>
      <c r="M14" s="5" t="s">
        <v>30</v>
      </c>
      <c r="N14" s="5"/>
    </row>
    <row r="15">
      <c r="A15" s="5" t="s">
        <v>19</v>
      </c>
      <c r="B15" s="5" t="s">
        <v>1376</v>
      </c>
      <c r="C15" s="5" t="s">
        <v>71</v>
      </c>
      <c r="D15" s="5" t="s">
        <v>1329</v>
      </c>
      <c r="E15" s="5" t="s">
        <v>677</v>
      </c>
      <c r="F15" s="5" t="s">
        <v>1377</v>
      </c>
      <c r="G15" s="5" t="s">
        <v>1378</v>
      </c>
      <c r="H15" s="5" t="s">
        <v>1330</v>
      </c>
      <c r="I15" s="5"/>
      <c r="J15" s="5"/>
      <c r="K15" s="5" t="s">
        <v>28</v>
      </c>
      <c r="L15" s="5" t="s">
        <v>29</v>
      </c>
      <c r="M15" s="5" t="s">
        <v>30</v>
      </c>
      <c r="N15" s="5"/>
    </row>
    <row r="16">
      <c r="A16" s="5" t="s">
        <v>19</v>
      </c>
      <c r="B16" s="5" t="s">
        <v>1379</v>
      </c>
      <c r="C16" s="5" t="s">
        <v>61</v>
      </c>
      <c r="D16" s="5" t="s">
        <v>84</v>
      </c>
      <c r="E16" s="5" t="s">
        <v>1065</v>
      </c>
      <c r="F16" s="5" t="s">
        <v>1316</v>
      </c>
      <c r="G16" s="5" t="s">
        <v>1380</v>
      </c>
      <c r="H16" s="5" t="s">
        <v>88</v>
      </c>
      <c r="I16" s="5" t="s">
        <v>314</v>
      </c>
      <c r="J16" s="5"/>
      <c r="K16" s="5" t="s">
        <v>91</v>
      </c>
      <c r="L16" s="5" t="s">
        <v>29</v>
      </c>
      <c r="M16" s="5" t="s">
        <v>30</v>
      </c>
      <c r="N16" s="5"/>
    </row>
    <row r="17">
      <c r="A17" s="5" t="s">
        <v>19</v>
      </c>
      <c r="B17" s="5" t="s">
        <v>1381</v>
      </c>
      <c r="C17" s="5" t="s">
        <v>94</v>
      </c>
      <c r="D17" s="5" t="s">
        <v>1382</v>
      </c>
      <c r="E17" s="5" t="s">
        <v>1065</v>
      </c>
      <c r="F17" s="5" t="s">
        <v>1321</v>
      </c>
      <c r="G17" s="5"/>
      <c r="H17" s="5" t="s">
        <v>554</v>
      </c>
      <c r="I17" s="5" t="s">
        <v>1303</v>
      </c>
      <c r="J17" s="5"/>
      <c r="K17" s="5" t="s">
        <v>40</v>
      </c>
      <c r="L17" s="5" t="s">
        <v>29</v>
      </c>
      <c r="M17" s="5" t="s">
        <v>30</v>
      </c>
      <c r="N17" s="5"/>
    </row>
    <row r="18">
      <c r="A18" s="5" t="s">
        <v>19</v>
      </c>
      <c r="B18" s="5" t="s">
        <v>1383</v>
      </c>
      <c r="C18" s="5" t="s">
        <v>1384</v>
      </c>
      <c r="D18" s="5" t="s">
        <v>1307</v>
      </c>
      <c r="E18" s="5" t="s">
        <v>242</v>
      </c>
      <c r="F18" s="5" t="s">
        <v>244</v>
      </c>
      <c r="G18" s="5" t="s">
        <v>1385</v>
      </c>
      <c r="H18" s="5" t="s">
        <v>1309</v>
      </c>
      <c r="I18" s="5">
        <v>0.0</v>
      </c>
      <c r="J18" s="5"/>
      <c r="K18" s="5" t="s">
        <v>28</v>
      </c>
      <c r="L18" s="5" t="s">
        <v>29</v>
      </c>
      <c r="M18" s="5" t="s">
        <v>30</v>
      </c>
      <c r="N18" s="5"/>
    </row>
    <row r="19">
      <c r="A19" s="5" t="s">
        <v>19</v>
      </c>
      <c r="B19" s="5" t="s">
        <v>1386</v>
      </c>
      <c r="C19" s="5" t="s">
        <v>35</v>
      </c>
      <c r="D19" s="5" t="s">
        <v>1387</v>
      </c>
      <c r="E19" s="5" t="s">
        <v>677</v>
      </c>
      <c r="F19" s="5" t="s">
        <v>1377</v>
      </c>
      <c r="G19" s="5"/>
      <c r="H19" s="5" t="s">
        <v>1341</v>
      </c>
      <c r="I19" s="5" t="s">
        <v>1303</v>
      </c>
      <c r="J19" s="5"/>
      <c r="K19" s="5" t="s">
        <v>40</v>
      </c>
      <c r="L19" s="5" t="s">
        <v>29</v>
      </c>
      <c r="M19" s="5" t="s">
        <v>30</v>
      </c>
      <c r="N19" s="5"/>
    </row>
    <row r="20">
      <c r="A20" s="5" t="s">
        <v>19</v>
      </c>
      <c r="B20" s="5" t="s">
        <v>1388</v>
      </c>
      <c r="C20" s="5" t="s">
        <v>35</v>
      </c>
      <c r="D20" s="5" t="s">
        <v>1389</v>
      </c>
      <c r="E20" s="5" t="s">
        <v>677</v>
      </c>
      <c r="F20" s="5" t="s">
        <v>1377</v>
      </c>
      <c r="G20" s="5"/>
      <c r="H20" s="5" t="s">
        <v>896</v>
      </c>
      <c r="I20" s="5" t="s">
        <v>1303</v>
      </c>
      <c r="J20" s="5"/>
      <c r="K20" s="5" t="s">
        <v>28</v>
      </c>
      <c r="L20" s="5" t="s">
        <v>29</v>
      </c>
      <c r="M20" s="5" t="s">
        <v>30</v>
      </c>
      <c r="N20" s="5"/>
    </row>
    <row r="21" ht="15.75" customHeight="1">
      <c r="A21" s="5" t="s">
        <v>19</v>
      </c>
      <c r="B21" s="5" t="s">
        <v>1390</v>
      </c>
      <c r="C21" s="5" t="s">
        <v>177</v>
      </c>
      <c r="D21" s="5" t="s">
        <v>1391</v>
      </c>
      <c r="E21" s="5" t="s">
        <v>677</v>
      </c>
      <c r="F21" s="5" t="s">
        <v>1350</v>
      </c>
      <c r="G21" s="5" t="s">
        <v>1392</v>
      </c>
      <c r="H21" s="5" t="s">
        <v>1331</v>
      </c>
      <c r="I21" s="5"/>
      <c r="J21" s="5"/>
      <c r="K21" s="5" t="s">
        <v>40</v>
      </c>
      <c r="L21" s="5" t="s">
        <v>29</v>
      </c>
      <c r="M21" s="5" t="s">
        <v>30</v>
      </c>
      <c r="N21" s="5"/>
    </row>
    <row r="22" ht="15.75" customHeight="1">
      <c r="A22" s="5" t="s">
        <v>19</v>
      </c>
      <c r="B22" s="5" t="s">
        <v>1393</v>
      </c>
      <c r="C22" s="5" t="s">
        <v>145</v>
      </c>
      <c r="D22" s="5" t="s">
        <v>1394</v>
      </c>
      <c r="E22" s="5" t="s">
        <v>1065</v>
      </c>
      <c r="F22" s="5" t="s">
        <v>1321</v>
      </c>
      <c r="G22" s="5" t="s">
        <v>1370</v>
      </c>
      <c r="H22" s="5" t="s">
        <v>1395</v>
      </c>
      <c r="I22" s="5" t="s">
        <v>1303</v>
      </c>
      <c r="J22" s="5"/>
      <c r="K22" s="5" t="s">
        <v>91</v>
      </c>
      <c r="L22" s="5" t="s">
        <v>29</v>
      </c>
      <c r="M22" s="5" t="s">
        <v>30</v>
      </c>
      <c r="N22" s="5"/>
    </row>
    <row r="23" ht="15.75" customHeight="1">
      <c r="A23" s="5" t="s">
        <v>19</v>
      </c>
      <c r="B23" s="5" t="s">
        <v>1393</v>
      </c>
      <c r="C23" s="5" t="s">
        <v>177</v>
      </c>
      <c r="D23" s="5" t="s">
        <v>1396</v>
      </c>
      <c r="E23" s="5" t="s">
        <v>677</v>
      </c>
      <c r="F23" s="5" t="s">
        <v>1377</v>
      </c>
      <c r="G23" s="5" t="s">
        <v>1367</v>
      </c>
      <c r="H23" s="5" t="s">
        <v>1397</v>
      </c>
      <c r="I23" s="5" t="s">
        <v>1303</v>
      </c>
      <c r="J23" s="5"/>
      <c r="K23" s="5" t="s">
        <v>28</v>
      </c>
      <c r="L23" s="5" t="s">
        <v>29</v>
      </c>
      <c r="M23" s="5" t="s">
        <v>30</v>
      </c>
      <c r="N23" s="5"/>
    </row>
    <row r="24" ht="15.75" customHeight="1">
      <c r="A24" s="5" t="s">
        <v>19</v>
      </c>
      <c r="B24" s="5" t="s">
        <v>1398</v>
      </c>
      <c r="C24" s="5" t="s">
        <v>124</v>
      </c>
      <c r="D24" s="5" t="s">
        <v>1399</v>
      </c>
      <c r="E24" s="5" t="s">
        <v>23</v>
      </c>
      <c r="F24" s="5" t="s">
        <v>1400</v>
      </c>
      <c r="G24" s="5" t="s">
        <v>1401</v>
      </c>
      <c r="H24" s="5" t="s">
        <v>1402</v>
      </c>
      <c r="I24" s="5"/>
      <c r="J24" s="5"/>
      <c r="K24" s="5" t="s">
        <v>91</v>
      </c>
      <c r="L24" s="5" t="s">
        <v>29</v>
      </c>
      <c r="M24" s="5" t="s">
        <v>30</v>
      </c>
      <c r="N24" s="5"/>
    </row>
    <row r="25" ht="15.75" customHeight="1">
      <c r="A25" s="5" t="s">
        <v>19</v>
      </c>
      <c r="B25" s="5" t="s">
        <v>1403</v>
      </c>
      <c r="C25" s="5" t="s">
        <v>262</v>
      </c>
      <c r="D25" s="5" t="s">
        <v>1404</v>
      </c>
      <c r="E25" s="5" t="s">
        <v>677</v>
      </c>
      <c r="F25" s="5" t="s">
        <v>1350</v>
      </c>
      <c r="G25" s="5"/>
      <c r="H25" s="5" t="s">
        <v>1405</v>
      </c>
      <c r="I25" s="5" t="s">
        <v>314</v>
      </c>
      <c r="J25" s="5"/>
      <c r="K25" s="5" t="s">
        <v>28</v>
      </c>
      <c r="L25" s="5" t="s">
        <v>29</v>
      </c>
      <c r="M25" s="5" t="s">
        <v>30</v>
      </c>
      <c r="N25" s="5"/>
    </row>
    <row r="26" ht="15.75" customHeight="1">
      <c r="A26" s="5" t="s">
        <v>19</v>
      </c>
      <c r="B26" s="5" t="s">
        <v>1403</v>
      </c>
      <c r="C26" s="5" t="s">
        <v>133</v>
      </c>
      <c r="D26" s="5" t="s">
        <v>1406</v>
      </c>
      <c r="E26" s="5" t="s">
        <v>1065</v>
      </c>
      <c r="F26" s="5" t="s">
        <v>1321</v>
      </c>
      <c r="G26" s="5"/>
      <c r="H26" s="5" t="s">
        <v>1407</v>
      </c>
      <c r="I26" s="5" t="s">
        <v>314</v>
      </c>
      <c r="J26" s="5"/>
      <c r="K26" s="5" t="s">
        <v>28</v>
      </c>
      <c r="L26" s="5" t="s">
        <v>29</v>
      </c>
      <c r="M26" s="5" t="s">
        <v>30</v>
      </c>
      <c r="N26" s="5"/>
    </row>
    <row r="27" ht="15.75" customHeight="1">
      <c r="A27" s="5" t="s">
        <v>19</v>
      </c>
      <c r="B27" s="5" t="s">
        <v>1408</v>
      </c>
      <c r="C27" s="5" t="s">
        <v>62</v>
      </c>
      <c r="D27" s="5" t="s">
        <v>1409</v>
      </c>
      <c r="E27" s="5" t="s">
        <v>23</v>
      </c>
      <c r="F27" s="5" t="s">
        <v>1321</v>
      </c>
      <c r="G27" s="5" t="s">
        <v>1410</v>
      </c>
      <c r="H27" s="5" t="s">
        <v>1411</v>
      </c>
      <c r="I27" s="5" t="s">
        <v>1322</v>
      </c>
      <c r="J27" s="5"/>
      <c r="K27" s="5" t="s">
        <v>28</v>
      </c>
      <c r="L27" s="5" t="s">
        <v>29</v>
      </c>
      <c r="M27" s="5" t="s">
        <v>30</v>
      </c>
      <c r="N27" s="5"/>
    </row>
    <row r="28" ht="15.75" customHeight="1"/>
    <row r="29" ht="15.75" customHeight="1">
      <c r="A29" s="3" t="s">
        <v>174</v>
      </c>
    </row>
    <row r="30" ht="15.75" customHeight="1">
      <c r="A30" s="4" t="s">
        <v>4</v>
      </c>
      <c r="B30" s="4" t="s">
        <v>6</v>
      </c>
      <c r="C30" s="4" t="s">
        <v>7</v>
      </c>
      <c r="D30" s="4" t="s">
        <v>8</v>
      </c>
      <c r="E30" s="4" t="s">
        <v>9</v>
      </c>
      <c r="F30" s="4" t="s">
        <v>10</v>
      </c>
      <c r="G30" s="4" t="s">
        <v>11</v>
      </c>
      <c r="H30" s="4" t="s">
        <v>12</v>
      </c>
      <c r="I30" s="4" t="s">
        <v>13</v>
      </c>
      <c r="J30" s="4" t="s">
        <v>14</v>
      </c>
      <c r="K30" s="4" t="s">
        <v>15</v>
      </c>
      <c r="L30" s="4" t="s">
        <v>16</v>
      </c>
      <c r="M30" s="4" t="s">
        <v>17</v>
      </c>
      <c r="N30" s="4" t="s">
        <v>18</v>
      </c>
    </row>
    <row r="31" ht="15.75" customHeight="1">
      <c r="A31" s="5" t="s">
        <v>19</v>
      </c>
      <c r="B31" s="5" t="s">
        <v>1412</v>
      </c>
      <c r="C31" s="5" t="s">
        <v>142</v>
      </c>
      <c r="D31" s="5" t="s">
        <v>125</v>
      </c>
      <c r="E31" s="5" t="s">
        <v>211</v>
      </c>
      <c r="F31" s="5" t="s">
        <v>78</v>
      </c>
      <c r="G31" s="5"/>
      <c r="H31" s="5" t="s">
        <v>130</v>
      </c>
      <c r="I31" s="5">
        <v>0.0</v>
      </c>
      <c r="J31" s="5"/>
      <c r="K31" s="5" t="s">
        <v>28</v>
      </c>
      <c r="L31" s="5" t="s">
        <v>29</v>
      </c>
      <c r="M31" s="5" t="s">
        <v>30</v>
      </c>
      <c r="N31" s="5" t="s">
        <v>1413</v>
      </c>
    </row>
    <row r="32" ht="15.75" customHeight="1">
      <c r="A32" s="5" t="s">
        <v>19</v>
      </c>
      <c r="B32" s="5" t="s">
        <v>1414</v>
      </c>
      <c r="C32" s="5" t="s">
        <v>177</v>
      </c>
      <c r="D32" s="5" t="s">
        <v>1415</v>
      </c>
      <c r="E32" s="5" t="s">
        <v>95</v>
      </c>
      <c r="F32" s="5" t="s">
        <v>1416</v>
      </c>
      <c r="G32" s="5"/>
      <c r="H32" s="5" t="s">
        <v>1417</v>
      </c>
      <c r="I32" s="5"/>
      <c r="J32" s="5"/>
      <c r="K32" s="5" t="s">
        <v>40</v>
      </c>
      <c r="L32" s="5" t="s">
        <v>29</v>
      </c>
      <c r="M32" s="5" t="s">
        <v>30</v>
      </c>
      <c r="N32" s="5" t="s">
        <v>1418</v>
      </c>
    </row>
    <row r="33" ht="15.75" customHeight="1">
      <c r="A33" s="5" t="s">
        <v>19</v>
      </c>
      <c r="B33" s="5" t="s">
        <v>1419</v>
      </c>
      <c r="C33" s="5" t="s">
        <v>71</v>
      </c>
      <c r="D33" s="5" t="s">
        <v>1420</v>
      </c>
      <c r="E33" s="5" t="s">
        <v>95</v>
      </c>
      <c r="F33" s="5" t="s">
        <v>1377</v>
      </c>
      <c r="G33" s="5" t="s">
        <v>1356</v>
      </c>
      <c r="H33" s="5" t="s">
        <v>1421</v>
      </c>
      <c r="I33" s="5">
        <v>3.6074357668E10</v>
      </c>
      <c r="J33" s="5" t="s">
        <v>1422</v>
      </c>
      <c r="K33" s="5" t="s">
        <v>28</v>
      </c>
      <c r="L33" s="5" t="s">
        <v>29</v>
      </c>
      <c r="M33" s="5" t="s">
        <v>30</v>
      </c>
      <c r="N33" s="5"/>
    </row>
    <row r="34" ht="15.75" customHeight="1">
      <c r="A34" s="5" t="s">
        <v>19</v>
      </c>
      <c r="B34" s="5" t="s">
        <v>1423</v>
      </c>
      <c r="C34" s="5" t="s">
        <v>112</v>
      </c>
      <c r="D34" s="5" t="s">
        <v>1424</v>
      </c>
      <c r="E34" s="5" t="s">
        <v>211</v>
      </c>
      <c r="F34" s="5" t="s">
        <v>78</v>
      </c>
      <c r="G34" s="5"/>
      <c r="H34" s="5" t="s">
        <v>1425</v>
      </c>
      <c r="I34" s="5">
        <v>0.0</v>
      </c>
      <c r="J34" s="5"/>
      <c r="K34" s="5" t="s">
        <v>28</v>
      </c>
      <c r="L34" s="5" t="s">
        <v>29</v>
      </c>
      <c r="M34" s="5" t="s">
        <v>30</v>
      </c>
      <c r="N34" s="5" t="s">
        <v>1426</v>
      </c>
    </row>
    <row r="35" ht="15.75" customHeight="1">
      <c r="A35" s="5" t="s">
        <v>19</v>
      </c>
      <c r="B35" s="5" t="s">
        <v>1427</v>
      </c>
      <c r="C35" s="5" t="s">
        <v>71</v>
      </c>
      <c r="D35" s="5" t="s">
        <v>1428</v>
      </c>
      <c r="E35" s="5" t="s">
        <v>95</v>
      </c>
      <c r="F35" s="5" t="s">
        <v>1377</v>
      </c>
      <c r="G35" s="5"/>
      <c r="H35" s="5" t="s">
        <v>1429</v>
      </c>
      <c r="I35" s="5" t="s">
        <v>1303</v>
      </c>
      <c r="J35" s="5" t="s">
        <v>1430</v>
      </c>
      <c r="K35" s="5" t="s">
        <v>28</v>
      </c>
      <c r="L35" s="5" t="s">
        <v>29</v>
      </c>
      <c r="M35" s="5" t="s">
        <v>30</v>
      </c>
      <c r="N35" s="5"/>
    </row>
    <row r="36" ht="15.75" customHeight="1">
      <c r="A36" s="5" t="s">
        <v>19</v>
      </c>
      <c r="B36" s="5" t="s">
        <v>1431</v>
      </c>
      <c r="C36" s="5" t="s">
        <v>71</v>
      </c>
      <c r="D36" s="5" t="s">
        <v>1432</v>
      </c>
      <c r="E36" s="5" t="s">
        <v>95</v>
      </c>
      <c r="F36" s="5" t="s">
        <v>1377</v>
      </c>
      <c r="G36" s="5" t="s">
        <v>1356</v>
      </c>
      <c r="H36" s="5" t="s">
        <v>1433</v>
      </c>
      <c r="I36" s="5" t="s">
        <v>314</v>
      </c>
      <c r="J36" s="5" t="s">
        <v>1434</v>
      </c>
      <c r="K36" s="5" t="s">
        <v>28</v>
      </c>
      <c r="L36" s="5" t="s">
        <v>29</v>
      </c>
      <c r="M36" s="5" t="s">
        <v>30</v>
      </c>
      <c r="N36" s="5"/>
    </row>
    <row r="37" ht="15.75" customHeight="1">
      <c r="A37" s="5" t="s">
        <v>19</v>
      </c>
      <c r="B37" s="5" t="s">
        <v>1435</v>
      </c>
      <c r="C37" s="5" t="s">
        <v>235</v>
      </c>
      <c r="D37" s="5" t="s">
        <v>332</v>
      </c>
      <c r="E37" s="5" t="s">
        <v>95</v>
      </c>
      <c r="F37" s="5" t="s">
        <v>1416</v>
      </c>
      <c r="G37" s="5" t="s">
        <v>1436</v>
      </c>
      <c r="H37" s="5" t="s">
        <v>333</v>
      </c>
      <c r="I37" s="5" t="s">
        <v>1437</v>
      </c>
      <c r="J37" s="5"/>
      <c r="K37" s="5" t="s">
        <v>28</v>
      </c>
      <c r="L37" s="5" t="s">
        <v>29</v>
      </c>
      <c r="M37" s="5" t="s">
        <v>30</v>
      </c>
      <c r="N37" s="5"/>
    </row>
    <row r="38" ht="15.75" customHeight="1">
      <c r="A38" s="5" t="s">
        <v>19</v>
      </c>
      <c r="B38" s="5" t="s">
        <v>1438</v>
      </c>
      <c r="C38" s="5" t="s">
        <v>61</v>
      </c>
      <c r="D38" s="5" t="s">
        <v>84</v>
      </c>
      <c r="E38" s="5" t="s">
        <v>46</v>
      </c>
      <c r="F38" s="5" t="s">
        <v>67</v>
      </c>
      <c r="G38" s="5" t="s">
        <v>1439</v>
      </c>
      <c r="H38" s="5" t="s">
        <v>88</v>
      </c>
      <c r="I38" s="5">
        <v>0.0</v>
      </c>
      <c r="J38" s="5"/>
      <c r="K38" s="5" t="s">
        <v>91</v>
      </c>
      <c r="L38" s="5" t="s">
        <v>29</v>
      </c>
      <c r="M38" s="5" t="s">
        <v>30</v>
      </c>
      <c r="N38" s="5"/>
    </row>
    <row r="39" ht="15.75" customHeight="1">
      <c r="A39" s="5" t="s">
        <v>19</v>
      </c>
      <c r="B39" s="5" t="s">
        <v>1440</v>
      </c>
      <c r="C39" s="5" t="s">
        <v>21</v>
      </c>
      <c r="D39" s="5" t="s">
        <v>1441</v>
      </c>
      <c r="E39" s="5" t="s">
        <v>95</v>
      </c>
      <c r="F39" s="5" t="s">
        <v>1377</v>
      </c>
      <c r="G39" s="5" t="s">
        <v>1356</v>
      </c>
      <c r="H39" s="5" t="s">
        <v>1442</v>
      </c>
      <c r="I39" s="5">
        <v>0.0</v>
      </c>
      <c r="J39" s="5"/>
      <c r="K39" s="5" t="s">
        <v>28</v>
      </c>
      <c r="L39" s="5" t="s">
        <v>29</v>
      </c>
      <c r="M39" s="5" t="s">
        <v>30</v>
      </c>
      <c r="N39" s="5" t="s">
        <v>1443</v>
      </c>
    </row>
    <row r="40" ht="15.75" customHeight="1">
      <c r="A40" s="5" t="s">
        <v>19</v>
      </c>
      <c r="B40" s="5" t="s">
        <v>1444</v>
      </c>
      <c r="C40" s="5" t="s">
        <v>50</v>
      </c>
      <c r="D40" s="5" t="s">
        <v>1445</v>
      </c>
      <c r="E40" s="5" t="s">
        <v>95</v>
      </c>
      <c r="F40" s="5" t="s">
        <v>1377</v>
      </c>
      <c r="G40" s="5" t="s">
        <v>1446</v>
      </c>
      <c r="H40" s="5" t="s">
        <v>1447</v>
      </c>
      <c r="I40" s="5" t="s">
        <v>1322</v>
      </c>
      <c r="J40" s="5" t="s">
        <v>1448</v>
      </c>
      <c r="K40" s="5" t="s">
        <v>28</v>
      </c>
      <c r="L40" s="5" t="s">
        <v>29</v>
      </c>
      <c r="M40" s="5" t="s">
        <v>30</v>
      </c>
      <c r="N40" s="5"/>
    </row>
    <row r="41" ht="15.75" customHeight="1"/>
    <row r="42" ht="15.75" customHeight="1">
      <c r="A42" s="2" t="s">
        <v>170</v>
      </c>
    </row>
    <row r="43" ht="15.75" customHeight="1">
      <c r="A43" s="3" t="s">
        <v>1449</v>
      </c>
    </row>
    <row r="44" ht="15.75" customHeight="1">
      <c r="A44" s="4" t="s">
        <v>4</v>
      </c>
      <c r="B44" s="4" t="s">
        <v>6</v>
      </c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4" t="s">
        <v>15</v>
      </c>
      <c r="L44" s="4" t="s">
        <v>16</v>
      </c>
      <c r="M44" s="4" t="s">
        <v>17</v>
      </c>
      <c r="N44" s="4" t="s">
        <v>18</v>
      </c>
    </row>
    <row r="45" ht="15.75" customHeight="1">
      <c r="A45" s="5" t="s">
        <v>183</v>
      </c>
      <c r="B45" s="5" t="s">
        <v>1450</v>
      </c>
      <c r="C45" s="5" t="s">
        <v>262</v>
      </c>
      <c r="D45" s="5" t="s">
        <v>1451</v>
      </c>
      <c r="E45" s="5" t="s">
        <v>677</v>
      </c>
      <c r="F45" s="5" t="s">
        <v>1377</v>
      </c>
      <c r="G45" s="5"/>
      <c r="H45" s="5" t="s">
        <v>1452</v>
      </c>
      <c r="I45" s="5" t="s">
        <v>1303</v>
      </c>
      <c r="J45" s="5"/>
      <c r="K45" s="5" t="s">
        <v>28</v>
      </c>
      <c r="L45" s="5" t="s">
        <v>29</v>
      </c>
      <c r="M45" s="5" t="s">
        <v>30</v>
      </c>
      <c r="N45" s="5"/>
    </row>
    <row r="46" ht="15.75" customHeight="1">
      <c r="A46" s="5" t="s">
        <v>183</v>
      </c>
      <c r="B46" s="5" t="s">
        <v>1453</v>
      </c>
      <c r="C46" s="5" t="s">
        <v>62</v>
      </c>
      <c r="D46" s="5" t="s">
        <v>1454</v>
      </c>
      <c r="E46" s="5" t="s">
        <v>677</v>
      </c>
      <c r="F46" s="5" t="s">
        <v>1455</v>
      </c>
      <c r="G46" s="5" t="s">
        <v>1456</v>
      </c>
      <c r="H46" s="5" t="s">
        <v>1457</v>
      </c>
      <c r="I46" s="5" t="s">
        <v>314</v>
      </c>
      <c r="J46" s="5"/>
      <c r="K46" s="5" t="s">
        <v>28</v>
      </c>
      <c r="L46" s="5" t="s">
        <v>29</v>
      </c>
      <c r="M46" s="5" t="s">
        <v>30</v>
      </c>
      <c r="N46" s="5"/>
    </row>
    <row r="47" ht="15.75" customHeight="1">
      <c r="A47" s="5" t="s">
        <v>183</v>
      </c>
      <c r="B47" s="5" t="s">
        <v>1458</v>
      </c>
      <c r="C47" s="5" t="s">
        <v>43</v>
      </c>
      <c r="D47" s="5" t="s">
        <v>1382</v>
      </c>
      <c r="E47" s="5" t="s">
        <v>1311</v>
      </c>
      <c r="F47" s="5" t="s">
        <v>1321</v>
      </c>
      <c r="G47" s="5"/>
      <c r="H47" s="5" t="s">
        <v>554</v>
      </c>
      <c r="I47" s="5">
        <v>0.0</v>
      </c>
      <c r="J47" s="5"/>
      <c r="K47" s="5" t="s">
        <v>40</v>
      </c>
      <c r="L47" s="5" t="s">
        <v>29</v>
      </c>
      <c r="M47" s="5" t="s">
        <v>30</v>
      </c>
      <c r="N47" s="5"/>
    </row>
    <row r="48" ht="15.75" customHeight="1">
      <c r="A48" s="5" t="s">
        <v>183</v>
      </c>
      <c r="B48" s="5" t="s">
        <v>1459</v>
      </c>
      <c r="C48" s="5" t="s">
        <v>62</v>
      </c>
      <c r="D48" s="5" t="s">
        <v>63</v>
      </c>
      <c r="E48" s="5" t="s">
        <v>1311</v>
      </c>
      <c r="F48" s="5" t="s">
        <v>1321</v>
      </c>
      <c r="G48" s="5" t="s">
        <v>1364</v>
      </c>
      <c r="H48" s="5" t="s">
        <v>66</v>
      </c>
      <c r="I48" s="5"/>
      <c r="J48" s="5"/>
      <c r="K48" s="5" t="s">
        <v>28</v>
      </c>
      <c r="L48" s="5" t="s">
        <v>29</v>
      </c>
      <c r="M48" s="5" t="s">
        <v>30</v>
      </c>
      <c r="N48" s="5"/>
    </row>
    <row r="49" ht="15.75" customHeight="1">
      <c r="A49" s="5" t="s">
        <v>183</v>
      </c>
      <c r="B49" s="5" t="s">
        <v>1460</v>
      </c>
      <c r="C49" s="5" t="s">
        <v>177</v>
      </c>
      <c r="D49" s="5" t="s">
        <v>1461</v>
      </c>
      <c r="E49" s="5" t="s">
        <v>1065</v>
      </c>
      <c r="F49" s="5" t="s">
        <v>1321</v>
      </c>
      <c r="G49" s="5"/>
      <c r="H49" s="5" t="s">
        <v>1462</v>
      </c>
      <c r="I49" s="5" t="s">
        <v>1322</v>
      </c>
      <c r="J49" s="5"/>
      <c r="K49" s="5" t="s">
        <v>40</v>
      </c>
      <c r="L49" s="5" t="s">
        <v>29</v>
      </c>
      <c r="M49" s="5" t="s">
        <v>30</v>
      </c>
      <c r="N49" s="5"/>
    </row>
    <row r="50" ht="15.75" customHeight="1">
      <c r="A50" s="5" t="s">
        <v>183</v>
      </c>
      <c r="B50" s="5" t="s">
        <v>1463</v>
      </c>
      <c r="C50" s="5" t="s">
        <v>21</v>
      </c>
      <c r="D50" s="5" t="s">
        <v>1464</v>
      </c>
      <c r="E50" s="5" t="s">
        <v>677</v>
      </c>
      <c r="F50" s="5" t="s">
        <v>1416</v>
      </c>
      <c r="G50" s="5" t="s">
        <v>1465</v>
      </c>
      <c r="H50" s="5" t="s">
        <v>1466</v>
      </c>
      <c r="I50" s="5" t="s">
        <v>1467</v>
      </c>
      <c r="J50" s="5"/>
      <c r="K50" s="5" t="s">
        <v>1353</v>
      </c>
      <c r="L50" s="5" t="s">
        <v>58</v>
      </c>
      <c r="M50" s="5" t="s">
        <v>984</v>
      </c>
      <c r="N50" s="5"/>
    </row>
    <row r="51" ht="15.75" customHeight="1">
      <c r="A51" s="5" t="s">
        <v>183</v>
      </c>
      <c r="B51" s="5" t="s">
        <v>1468</v>
      </c>
      <c r="C51" s="5" t="s">
        <v>111</v>
      </c>
      <c r="D51" s="5" t="s">
        <v>1469</v>
      </c>
      <c r="E51" s="5" t="s">
        <v>242</v>
      </c>
      <c r="F51" s="5" t="s">
        <v>244</v>
      </c>
      <c r="G51" s="5" t="s">
        <v>1385</v>
      </c>
      <c r="H51" s="5" t="s">
        <v>1470</v>
      </c>
      <c r="I51" s="5" t="s">
        <v>1303</v>
      </c>
      <c r="J51" s="5"/>
      <c r="K51" s="5" t="s">
        <v>28</v>
      </c>
      <c r="L51" s="5" t="s">
        <v>29</v>
      </c>
      <c r="M51" s="5" t="s">
        <v>30</v>
      </c>
      <c r="N51" s="5"/>
    </row>
    <row r="52" ht="15.75" customHeight="1">
      <c r="A52" s="5" t="s">
        <v>183</v>
      </c>
      <c r="B52" s="5" t="s">
        <v>1468</v>
      </c>
      <c r="C52" s="5" t="s">
        <v>262</v>
      </c>
      <c r="D52" s="5" t="s">
        <v>301</v>
      </c>
      <c r="E52" s="5" t="s">
        <v>1311</v>
      </c>
      <c r="F52" s="5" t="s">
        <v>1321</v>
      </c>
      <c r="G52" s="5"/>
      <c r="H52" s="5" t="s">
        <v>306</v>
      </c>
      <c r="I52" s="5" t="s">
        <v>1303</v>
      </c>
      <c r="J52" s="5"/>
      <c r="K52" s="5" t="s">
        <v>28</v>
      </c>
      <c r="L52" s="5" t="s">
        <v>29</v>
      </c>
      <c r="M52" s="5" t="s">
        <v>30</v>
      </c>
      <c r="N52" s="5"/>
    </row>
    <row r="53" ht="15.75" customHeight="1">
      <c r="A53" s="5" t="s">
        <v>183</v>
      </c>
      <c r="B53" s="5" t="s">
        <v>1471</v>
      </c>
      <c r="C53" s="5" t="s">
        <v>61</v>
      </c>
      <c r="D53" s="5" t="s">
        <v>1472</v>
      </c>
      <c r="E53" s="5" t="s">
        <v>677</v>
      </c>
      <c r="F53" s="5" t="s">
        <v>1350</v>
      </c>
      <c r="G53" s="5" t="s">
        <v>1436</v>
      </c>
      <c r="H53" s="5" t="s">
        <v>1473</v>
      </c>
      <c r="I53" s="5" t="s">
        <v>1474</v>
      </c>
      <c r="J53" s="5"/>
      <c r="K53" s="5" t="s">
        <v>40</v>
      </c>
      <c r="L53" s="5" t="s">
        <v>29</v>
      </c>
      <c r="M53" s="5" t="s">
        <v>30</v>
      </c>
      <c r="N53" s="5"/>
    </row>
    <row r="54" ht="15.75" customHeight="1">
      <c r="A54" s="5" t="s">
        <v>183</v>
      </c>
      <c r="B54" s="5" t="s">
        <v>1374</v>
      </c>
      <c r="C54" s="5" t="s">
        <v>50</v>
      </c>
      <c r="D54" s="5" t="s">
        <v>93</v>
      </c>
      <c r="E54" s="5" t="s">
        <v>1065</v>
      </c>
      <c r="F54" s="5" t="s">
        <v>1321</v>
      </c>
      <c r="G54" s="5"/>
      <c r="H54" s="5" t="s">
        <v>101</v>
      </c>
      <c r="I54" s="5" t="s">
        <v>1322</v>
      </c>
      <c r="J54" s="5"/>
      <c r="K54" s="5" t="s">
        <v>1475</v>
      </c>
      <c r="L54" s="5" t="s">
        <v>304</v>
      </c>
      <c r="M54" s="5" t="s">
        <v>30</v>
      </c>
      <c r="N54" s="5"/>
    </row>
    <row r="55" ht="15.75" customHeight="1">
      <c r="A55" s="5" t="s">
        <v>183</v>
      </c>
      <c r="B55" s="5" t="s">
        <v>1476</v>
      </c>
      <c r="C55" s="5" t="s">
        <v>262</v>
      </c>
      <c r="D55" s="5" t="s">
        <v>1477</v>
      </c>
      <c r="E55" s="5" t="s">
        <v>677</v>
      </c>
      <c r="F55" s="5" t="s">
        <v>1377</v>
      </c>
      <c r="G55" s="5" t="s">
        <v>1446</v>
      </c>
      <c r="H55" s="5" t="s">
        <v>1478</v>
      </c>
      <c r="I55" s="5" t="s">
        <v>1303</v>
      </c>
      <c r="J55" s="5"/>
      <c r="K55" s="5" t="s">
        <v>28</v>
      </c>
      <c r="L55" s="5" t="s">
        <v>29</v>
      </c>
      <c r="M55" s="5" t="s">
        <v>30</v>
      </c>
      <c r="N55" s="5"/>
    </row>
    <row r="56" ht="15.75" customHeight="1">
      <c r="A56" s="5" t="s">
        <v>183</v>
      </c>
      <c r="B56" s="5" t="s">
        <v>1479</v>
      </c>
      <c r="C56" s="5" t="s">
        <v>62</v>
      </c>
      <c r="D56" s="5" t="s">
        <v>1480</v>
      </c>
      <c r="E56" s="5" t="s">
        <v>677</v>
      </c>
      <c r="F56" s="5" t="s">
        <v>1350</v>
      </c>
      <c r="G56" s="5" t="s">
        <v>1351</v>
      </c>
      <c r="H56" s="5" t="s">
        <v>1481</v>
      </c>
      <c r="I56" s="5" t="s">
        <v>1303</v>
      </c>
      <c r="J56" s="5"/>
      <c r="K56" s="5" t="s">
        <v>107</v>
      </c>
      <c r="L56" s="5" t="s">
        <v>29</v>
      </c>
      <c r="M56" s="5" t="s">
        <v>30</v>
      </c>
      <c r="N56" s="5"/>
    </row>
    <row r="57" ht="15.75" customHeight="1">
      <c r="A57" s="5" t="s">
        <v>183</v>
      </c>
      <c r="B57" s="5" t="s">
        <v>1482</v>
      </c>
      <c r="C57" s="5" t="s">
        <v>21</v>
      </c>
      <c r="D57" s="5" t="s">
        <v>1483</v>
      </c>
      <c r="E57" s="5" t="s">
        <v>677</v>
      </c>
      <c r="F57" s="5" t="s">
        <v>1416</v>
      </c>
      <c r="G57" s="5" t="s">
        <v>1465</v>
      </c>
      <c r="H57" s="5" t="s">
        <v>1484</v>
      </c>
      <c r="I57" s="5" t="s">
        <v>1303</v>
      </c>
      <c r="J57" s="5"/>
      <c r="K57" s="5" t="s">
        <v>28</v>
      </c>
      <c r="L57" s="5" t="s">
        <v>29</v>
      </c>
      <c r="M57" s="5" t="s">
        <v>30</v>
      </c>
      <c r="N57" s="5"/>
    </row>
    <row r="58" ht="15.75" customHeight="1">
      <c r="A58" s="5" t="s">
        <v>183</v>
      </c>
      <c r="B58" s="5" t="s">
        <v>1485</v>
      </c>
      <c r="C58" s="5" t="s">
        <v>262</v>
      </c>
      <c r="D58" s="5" t="s">
        <v>1486</v>
      </c>
      <c r="E58" s="5" t="s">
        <v>677</v>
      </c>
      <c r="F58" s="5" t="s">
        <v>1350</v>
      </c>
      <c r="G58" s="5" t="s">
        <v>1487</v>
      </c>
      <c r="H58" s="5" t="s">
        <v>1488</v>
      </c>
      <c r="I58" s="5"/>
      <c r="J58" s="5"/>
      <c r="K58" s="5" t="s">
        <v>28</v>
      </c>
      <c r="L58" s="5" t="s">
        <v>29</v>
      </c>
      <c r="M58" s="5" t="s">
        <v>30</v>
      </c>
      <c r="N58" s="5"/>
    </row>
    <row r="59" ht="15.75" customHeight="1">
      <c r="A59" s="5" t="s">
        <v>183</v>
      </c>
      <c r="B59" s="5" t="s">
        <v>1489</v>
      </c>
      <c r="C59" s="5" t="s">
        <v>262</v>
      </c>
      <c r="D59" s="5" t="s">
        <v>125</v>
      </c>
      <c r="E59" s="5" t="s">
        <v>677</v>
      </c>
      <c r="F59" s="5" t="s">
        <v>1455</v>
      </c>
      <c r="G59" s="5"/>
      <c r="H59" s="5" t="s">
        <v>130</v>
      </c>
      <c r="I59" s="5"/>
      <c r="J59" s="5"/>
      <c r="K59" s="5" t="s">
        <v>28</v>
      </c>
      <c r="L59" s="5" t="s">
        <v>29</v>
      </c>
      <c r="M59" s="5" t="s">
        <v>30</v>
      </c>
      <c r="N59" s="5"/>
    </row>
    <row r="60" ht="15.75" customHeight="1">
      <c r="A60" s="5" t="s">
        <v>183</v>
      </c>
      <c r="B60" s="5" t="s">
        <v>1490</v>
      </c>
      <c r="C60" s="5" t="s">
        <v>94</v>
      </c>
      <c r="D60" s="5" t="s">
        <v>76</v>
      </c>
      <c r="E60" s="5" t="s">
        <v>1065</v>
      </c>
      <c r="F60" s="5" t="s">
        <v>1321</v>
      </c>
      <c r="G60" s="5"/>
      <c r="H60" s="5" t="s">
        <v>83</v>
      </c>
      <c r="I60" s="5" t="s">
        <v>1303</v>
      </c>
      <c r="J60" s="5"/>
      <c r="K60" s="5" t="s">
        <v>40</v>
      </c>
      <c r="L60" s="5" t="s">
        <v>29</v>
      </c>
      <c r="M60" s="5" t="s">
        <v>30</v>
      </c>
      <c r="N60" s="5"/>
    </row>
    <row r="61" ht="15.75" customHeight="1">
      <c r="A61" s="5" t="s">
        <v>183</v>
      </c>
      <c r="B61" s="5" t="s">
        <v>1491</v>
      </c>
      <c r="C61" s="5" t="s">
        <v>43</v>
      </c>
      <c r="D61" s="5" t="s">
        <v>1492</v>
      </c>
      <c r="E61" s="5" t="s">
        <v>677</v>
      </c>
      <c r="F61" s="5" t="s">
        <v>1455</v>
      </c>
      <c r="G61" s="5" t="s">
        <v>1446</v>
      </c>
      <c r="H61" s="5" t="s">
        <v>1493</v>
      </c>
      <c r="I61" s="5" t="s">
        <v>314</v>
      </c>
      <c r="J61" s="5"/>
      <c r="K61" s="5" t="s">
        <v>28</v>
      </c>
      <c r="L61" s="5" t="s">
        <v>29</v>
      </c>
      <c r="M61" s="5" t="s">
        <v>30</v>
      </c>
      <c r="N61" s="5"/>
    </row>
    <row r="62" ht="15.75" customHeight="1">
      <c r="A62" s="5" t="s">
        <v>183</v>
      </c>
      <c r="B62" s="5" t="s">
        <v>1388</v>
      </c>
      <c r="C62" s="5" t="s">
        <v>235</v>
      </c>
      <c r="D62" s="5" t="s">
        <v>1382</v>
      </c>
      <c r="E62" s="5" t="s">
        <v>1065</v>
      </c>
      <c r="F62" s="5" t="s">
        <v>67</v>
      </c>
      <c r="G62" s="5"/>
      <c r="H62" s="5" t="s">
        <v>554</v>
      </c>
      <c r="I62" s="5" t="s">
        <v>1303</v>
      </c>
      <c r="J62" s="5"/>
      <c r="K62" s="5" t="s">
        <v>1475</v>
      </c>
      <c r="L62" s="5" t="s">
        <v>304</v>
      </c>
      <c r="M62" s="5" t="s">
        <v>30</v>
      </c>
      <c r="N62" s="5"/>
    </row>
    <row r="63" ht="15.75" customHeight="1">
      <c r="A63" s="5" t="s">
        <v>183</v>
      </c>
      <c r="B63" s="5" t="s">
        <v>1403</v>
      </c>
      <c r="C63" s="5" t="s">
        <v>43</v>
      </c>
      <c r="D63" s="5" t="s">
        <v>1496</v>
      </c>
      <c r="E63" s="5" t="s">
        <v>677</v>
      </c>
      <c r="F63" s="5" t="s">
        <v>1350</v>
      </c>
      <c r="G63" s="5"/>
      <c r="H63" s="5" t="s">
        <v>1497</v>
      </c>
      <c r="I63" s="5" t="s">
        <v>314</v>
      </c>
      <c r="J63" s="5"/>
      <c r="K63" s="5" t="s">
        <v>1353</v>
      </c>
      <c r="L63" s="5" t="s">
        <v>58</v>
      </c>
      <c r="M63" s="5" t="s">
        <v>984</v>
      </c>
      <c r="N63" s="5"/>
    </row>
    <row r="64" ht="15.75" customHeight="1"/>
    <row r="65" ht="15.75" customHeight="1">
      <c r="A65" s="3" t="s">
        <v>1292</v>
      </c>
    </row>
    <row r="66" ht="15.75" customHeight="1">
      <c r="A66" s="4" t="s">
        <v>4</v>
      </c>
      <c r="B66" s="4" t="s">
        <v>6</v>
      </c>
      <c r="C66" s="4" t="s">
        <v>7</v>
      </c>
      <c r="D66" s="4" t="s">
        <v>8</v>
      </c>
      <c r="E66" s="4" t="s">
        <v>9</v>
      </c>
      <c r="F66" s="4" t="s">
        <v>10</v>
      </c>
      <c r="G66" s="4" t="s">
        <v>11</v>
      </c>
      <c r="H66" s="4" t="s">
        <v>12</v>
      </c>
      <c r="I66" s="4" t="s">
        <v>13</v>
      </c>
      <c r="J66" s="4" t="s">
        <v>14</v>
      </c>
      <c r="K66" s="4" t="s">
        <v>15</v>
      </c>
      <c r="L66" s="4" t="s">
        <v>16</v>
      </c>
      <c r="M66" s="4" t="s">
        <v>17</v>
      </c>
      <c r="N66" s="4" t="s">
        <v>18</v>
      </c>
    </row>
    <row r="67" ht="15.75" customHeight="1">
      <c r="A67" s="5" t="s">
        <v>183</v>
      </c>
      <c r="B67" s="5" t="s">
        <v>1498</v>
      </c>
      <c r="C67" s="5" t="s">
        <v>133</v>
      </c>
      <c r="D67" s="5" t="s">
        <v>312</v>
      </c>
      <c r="E67" s="5" t="s">
        <v>211</v>
      </c>
      <c r="F67" s="5" t="s">
        <v>1321</v>
      </c>
      <c r="G67" s="5" t="s">
        <v>1370</v>
      </c>
      <c r="H67" s="5" t="s">
        <v>313</v>
      </c>
      <c r="I67" s="5" t="s">
        <v>159</v>
      </c>
      <c r="J67" s="5"/>
      <c r="K67" s="5" t="s">
        <v>107</v>
      </c>
      <c r="L67" s="5" t="s">
        <v>29</v>
      </c>
      <c r="M67" s="5" t="s">
        <v>30</v>
      </c>
      <c r="N67" s="5"/>
    </row>
    <row r="68" ht="15.75" customHeight="1"/>
    <row r="69" ht="15.75" customHeight="1">
      <c r="A69" s="2" t="s">
        <v>286</v>
      </c>
    </row>
    <row r="70" ht="15.75" customHeight="1">
      <c r="A70" s="3" t="s">
        <v>1499</v>
      </c>
    </row>
    <row r="71" ht="15.75" customHeight="1">
      <c r="A71" s="4" t="s">
        <v>4</v>
      </c>
      <c r="B71" s="4" t="s">
        <v>6</v>
      </c>
      <c r="C71" s="4" t="s">
        <v>7</v>
      </c>
      <c r="D71" s="4" t="s">
        <v>8</v>
      </c>
      <c r="E71" s="4" t="s">
        <v>9</v>
      </c>
      <c r="F71" s="4" t="s">
        <v>10</v>
      </c>
      <c r="G71" s="4" t="s">
        <v>11</v>
      </c>
      <c r="H71" s="4" t="s">
        <v>12</v>
      </c>
      <c r="I71" s="4" t="s">
        <v>13</v>
      </c>
      <c r="J71" s="4" t="s">
        <v>14</v>
      </c>
      <c r="K71" s="4" t="s">
        <v>15</v>
      </c>
      <c r="L71" s="4" t="s">
        <v>16</v>
      </c>
      <c r="M71" s="4" t="s">
        <v>17</v>
      </c>
      <c r="N71" s="4" t="s">
        <v>18</v>
      </c>
    </row>
    <row r="72" ht="15.75" customHeight="1">
      <c r="A72" s="5" t="s">
        <v>297</v>
      </c>
      <c r="B72" s="5" t="s">
        <v>1501</v>
      </c>
      <c r="C72" s="5" t="s">
        <v>145</v>
      </c>
      <c r="D72" s="5" t="s">
        <v>1502</v>
      </c>
      <c r="E72" s="5" t="s">
        <v>1065</v>
      </c>
      <c r="F72" s="5" t="s">
        <v>67</v>
      </c>
      <c r="G72" s="5"/>
      <c r="H72" s="5" t="s">
        <v>1503</v>
      </c>
      <c r="I72" s="5" t="s">
        <v>1303</v>
      </c>
      <c r="J72" s="5"/>
      <c r="K72" s="5" t="s">
        <v>1504</v>
      </c>
      <c r="L72" s="5" t="s">
        <v>304</v>
      </c>
      <c r="M72" s="5" t="s">
        <v>30</v>
      </c>
      <c r="N72" s="5"/>
    </row>
    <row r="73" ht="15.75" customHeight="1">
      <c r="A73" s="5" t="s">
        <v>297</v>
      </c>
      <c r="B73" s="5" t="s">
        <v>1453</v>
      </c>
      <c r="C73" s="5" t="s">
        <v>1505</v>
      </c>
      <c r="D73" s="5" t="s">
        <v>1506</v>
      </c>
      <c r="E73" s="5" t="s">
        <v>242</v>
      </c>
      <c r="F73" s="5" t="s">
        <v>244</v>
      </c>
      <c r="G73" s="5" t="s">
        <v>1507</v>
      </c>
      <c r="H73" s="5" t="s">
        <v>1508</v>
      </c>
      <c r="I73" s="5" t="s">
        <v>314</v>
      </c>
      <c r="J73" s="5"/>
      <c r="K73" s="5" t="s">
        <v>1504</v>
      </c>
      <c r="L73" s="5" t="s">
        <v>304</v>
      </c>
      <c r="M73" s="5" t="s">
        <v>30</v>
      </c>
      <c r="N73" s="5"/>
    </row>
    <row r="74" ht="15.75" customHeight="1">
      <c r="A74" s="5" t="s">
        <v>297</v>
      </c>
      <c r="B74" s="5" t="s">
        <v>1509</v>
      </c>
      <c r="C74" s="5" t="s">
        <v>912</v>
      </c>
      <c r="D74" s="5" t="s">
        <v>1469</v>
      </c>
      <c r="E74" s="5" t="s">
        <v>242</v>
      </c>
      <c r="F74" s="5" t="s">
        <v>244</v>
      </c>
      <c r="G74" s="5" t="s">
        <v>1385</v>
      </c>
      <c r="H74" s="5" t="s">
        <v>1470</v>
      </c>
      <c r="I74" s="5" t="s">
        <v>1510</v>
      </c>
      <c r="J74" s="5"/>
      <c r="K74" s="5" t="s">
        <v>1504</v>
      </c>
      <c r="L74" s="5" t="s">
        <v>304</v>
      </c>
      <c r="M74" s="5" t="s">
        <v>30</v>
      </c>
      <c r="N74" s="5"/>
    </row>
    <row r="75" ht="15.75" customHeight="1">
      <c r="A75" s="5" t="s">
        <v>297</v>
      </c>
      <c r="B75" s="5" t="s">
        <v>1511</v>
      </c>
      <c r="C75" s="5" t="s">
        <v>262</v>
      </c>
      <c r="D75" s="5" t="s">
        <v>114</v>
      </c>
      <c r="E75" s="5" t="s">
        <v>677</v>
      </c>
      <c r="F75" s="5" t="s">
        <v>1416</v>
      </c>
      <c r="G75" s="5" t="s">
        <v>1392</v>
      </c>
      <c r="H75" s="5" t="s">
        <v>117</v>
      </c>
      <c r="I75" s="5" t="s">
        <v>1303</v>
      </c>
      <c r="J75" s="5"/>
      <c r="K75" s="5" t="s">
        <v>1475</v>
      </c>
      <c r="L75" s="5" t="s">
        <v>304</v>
      </c>
      <c r="M75" s="5" t="s">
        <v>30</v>
      </c>
      <c r="N75" s="5"/>
    </row>
    <row r="76" ht="15.75" customHeight="1">
      <c r="A76" s="5" t="s">
        <v>297</v>
      </c>
      <c r="B76" s="5" t="s">
        <v>1363</v>
      </c>
      <c r="C76" s="5" t="s">
        <v>43</v>
      </c>
      <c r="D76" s="5" t="s">
        <v>22</v>
      </c>
      <c r="E76" s="5" t="s">
        <v>1311</v>
      </c>
      <c r="F76" s="5" t="s">
        <v>1321</v>
      </c>
      <c r="G76" s="5" t="s">
        <v>1364</v>
      </c>
      <c r="H76" s="5" t="s">
        <v>26</v>
      </c>
      <c r="I76" s="5" t="s">
        <v>1303</v>
      </c>
      <c r="J76" s="5"/>
      <c r="K76" s="5" t="s">
        <v>1504</v>
      </c>
      <c r="L76" s="5" t="s">
        <v>304</v>
      </c>
      <c r="M76" s="5" t="s">
        <v>30</v>
      </c>
      <c r="N76" s="5"/>
    </row>
    <row r="77" ht="15.75" customHeight="1">
      <c r="A77" s="5" t="s">
        <v>297</v>
      </c>
      <c r="B77" s="5" t="s">
        <v>1512</v>
      </c>
      <c r="C77" s="5" t="s">
        <v>262</v>
      </c>
      <c r="D77" s="5" t="s">
        <v>114</v>
      </c>
      <c r="E77" s="5" t="s">
        <v>677</v>
      </c>
      <c r="F77" s="5" t="s">
        <v>1416</v>
      </c>
      <c r="G77" s="5" t="s">
        <v>1392</v>
      </c>
      <c r="H77" s="5" t="s">
        <v>117</v>
      </c>
      <c r="I77" s="5" t="s">
        <v>1303</v>
      </c>
      <c r="J77" s="5"/>
      <c r="K77" s="5" t="s">
        <v>1475</v>
      </c>
      <c r="L77" s="5" t="s">
        <v>304</v>
      </c>
      <c r="M77" s="5" t="s">
        <v>30</v>
      </c>
      <c r="N77" s="5"/>
    </row>
    <row r="78" ht="15.75" customHeight="1">
      <c r="A78" s="5" t="s">
        <v>297</v>
      </c>
      <c r="B78" s="5" t="s">
        <v>1513</v>
      </c>
      <c r="C78" s="5" t="s">
        <v>262</v>
      </c>
      <c r="D78" s="5" t="s">
        <v>1469</v>
      </c>
      <c r="E78" s="5" t="s">
        <v>242</v>
      </c>
      <c r="F78" s="5" t="s">
        <v>244</v>
      </c>
      <c r="G78" s="5" t="s">
        <v>1385</v>
      </c>
      <c r="H78" s="5" t="s">
        <v>1470</v>
      </c>
      <c r="I78" s="5">
        <v>0.0</v>
      </c>
      <c r="J78" s="5"/>
      <c r="K78" s="5" t="s">
        <v>1504</v>
      </c>
      <c r="L78" s="5" t="s">
        <v>304</v>
      </c>
      <c r="M78" s="5" t="s">
        <v>30</v>
      </c>
      <c r="N78" s="5"/>
    </row>
    <row r="79" ht="15.75" customHeight="1">
      <c r="A79" s="5" t="s">
        <v>297</v>
      </c>
      <c r="B79" s="5" t="s">
        <v>1371</v>
      </c>
      <c r="C79" s="5" t="s">
        <v>43</v>
      </c>
      <c r="D79" s="5" t="s">
        <v>1514</v>
      </c>
      <c r="E79" s="5" t="s">
        <v>677</v>
      </c>
      <c r="F79" s="5" t="s">
        <v>1377</v>
      </c>
      <c r="G79" s="5" t="s">
        <v>1356</v>
      </c>
      <c r="H79" s="5" t="s">
        <v>1515</v>
      </c>
      <c r="I79" s="5" t="s">
        <v>1303</v>
      </c>
      <c r="J79" s="5"/>
      <c r="K79" s="5" t="s">
        <v>1504</v>
      </c>
      <c r="L79" s="5" t="s">
        <v>304</v>
      </c>
      <c r="M79" s="5" t="s">
        <v>30</v>
      </c>
      <c r="N79" s="5"/>
    </row>
    <row r="80" ht="15.75" customHeight="1">
      <c r="A80" s="5" t="s">
        <v>297</v>
      </c>
      <c r="B80" s="5" t="s">
        <v>1374</v>
      </c>
      <c r="C80" s="5" t="s">
        <v>127</v>
      </c>
      <c r="D80" s="5" t="s">
        <v>1516</v>
      </c>
      <c r="E80" s="5" t="s">
        <v>242</v>
      </c>
      <c r="F80" s="5" t="s">
        <v>244</v>
      </c>
      <c r="G80" s="5" t="s">
        <v>1385</v>
      </c>
      <c r="H80" s="5" t="s">
        <v>1517</v>
      </c>
      <c r="I80" s="5" t="s">
        <v>1322</v>
      </c>
      <c r="J80" s="5"/>
      <c r="K80" s="5" t="s">
        <v>1475</v>
      </c>
      <c r="L80" s="5" t="s">
        <v>304</v>
      </c>
      <c r="M80" s="5" t="s">
        <v>30</v>
      </c>
      <c r="N80" s="5"/>
    </row>
    <row r="81" ht="15.75" customHeight="1">
      <c r="A81" s="5" t="s">
        <v>297</v>
      </c>
      <c r="B81" s="5" t="s">
        <v>1518</v>
      </c>
      <c r="C81" s="5" t="s">
        <v>133</v>
      </c>
      <c r="D81" s="5" t="s">
        <v>1519</v>
      </c>
      <c r="E81" s="5" t="s">
        <v>677</v>
      </c>
      <c r="F81" s="5" t="s">
        <v>1350</v>
      </c>
      <c r="G81" s="5" t="s">
        <v>1351</v>
      </c>
      <c r="H81" s="5" t="s">
        <v>1520</v>
      </c>
      <c r="I81" s="5" t="s">
        <v>1521</v>
      </c>
      <c r="J81" s="5"/>
      <c r="K81" s="5" t="s">
        <v>1504</v>
      </c>
      <c r="L81" s="5" t="s">
        <v>304</v>
      </c>
      <c r="M81" s="5" t="s">
        <v>30</v>
      </c>
      <c r="N81" s="5"/>
    </row>
    <row r="82" ht="15.75" customHeight="1">
      <c r="A82" s="5" t="s">
        <v>297</v>
      </c>
      <c r="B82" s="5" t="s">
        <v>1522</v>
      </c>
      <c r="C82" s="5" t="s">
        <v>71</v>
      </c>
      <c r="D82" s="5" t="s">
        <v>125</v>
      </c>
      <c r="E82" s="5" t="s">
        <v>1065</v>
      </c>
      <c r="F82" s="5" t="s">
        <v>1321</v>
      </c>
      <c r="G82" s="5" t="s">
        <v>1364</v>
      </c>
      <c r="H82" s="5" t="s">
        <v>130</v>
      </c>
      <c r="I82" s="5" t="s">
        <v>1303</v>
      </c>
      <c r="J82" s="5"/>
      <c r="K82" s="5" t="s">
        <v>1504</v>
      </c>
      <c r="L82" s="5" t="s">
        <v>304</v>
      </c>
      <c r="M82" s="5" t="s">
        <v>30</v>
      </c>
      <c r="N82" s="5"/>
    </row>
    <row r="83" ht="15.75" customHeight="1">
      <c r="A83" s="5" t="s">
        <v>297</v>
      </c>
      <c r="B83" s="5" t="s">
        <v>1523</v>
      </c>
      <c r="C83" s="5" t="s">
        <v>50</v>
      </c>
      <c r="D83" s="5" t="s">
        <v>1524</v>
      </c>
      <c r="E83" s="5" t="s">
        <v>1065</v>
      </c>
      <c r="F83" s="5" t="s">
        <v>1321</v>
      </c>
      <c r="G83" s="5"/>
      <c r="H83" s="5" t="s">
        <v>1525</v>
      </c>
      <c r="I83" s="5" t="s">
        <v>1303</v>
      </c>
      <c r="J83" s="5"/>
      <c r="K83" s="5" t="s">
        <v>1504</v>
      </c>
      <c r="L83" s="5" t="s">
        <v>304</v>
      </c>
      <c r="M83" s="5" t="s">
        <v>30</v>
      </c>
      <c r="N83" s="5"/>
    </row>
    <row r="84" ht="15.75" customHeight="1">
      <c r="A84" s="5" t="s">
        <v>297</v>
      </c>
      <c r="B84" s="5" t="s">
        <v>1334</v>
      </c>
      <c r="C84" s="5" t="s">
        <v>61</v>
      </c>
      <c r="D84" s="5" t="s">
        <v>1526</v>
      </c>
      <c r="E84" s="5" t="s">
        <v>677</v>
      </c>
      <c r="F84" s="5" t="s">
        <v>1350</v>
      </c>
      <c r="G84" s="5" t="s">
        <v>1527</v>
      </c>
      <c r="H84" s="5" t="s">
        <v>1528</v>
      </c>
      <c r="I84" s="5">
        <v>0.0</v>
      </c>
      <c r="J84" s="5"/>
      <c r="K84" s="5" t="s">
        <v>1504</v>
      </c>
      <c r="L84" s="5" t="s">
        <v>304</v>
      </c>
      <c r="M84" s="5" t="s">
        <v>30</v>
      </c>
      <c r="N84" s="5"/>
    </row>
    <row r="85" ht="15.75" customHeight="1">
      <c r="A85" s="5" t="s">
        <v>297</v>
      </c>
      <c r="B85" s="5" t="s">
        <v>1529</v>
      </c>
      <c r="C85" s="5" t="s">
        <v>62</v>
      </c>
      <c r="D85" s="5" t="s">
        <v>312</v>
      </c>
      <c r="E85" s="5" t="s">
        <v>1311</v>
      </c>
      <c r="F85" s="5" t="s">
        <v>1321</v>
      </c>
      <c r="G85" s="5" t="s">
        <v>1370</v>
      </c>
      <c r="H85" s="5" t="s">
        <v>105</v>
      </c>
      <c r="I85" s="5" t="s">
        <v>1530</v>
      </c>
      <c r="J85" s="5"/>
      <c r="K85" s="5" t="s">
        <v>1531</v>
      </c>
      <c r="L85" s="5" t="s">
        <v>304</v>
      </c>
      <c r="M85" s="5" t="s">
        <v>30</v>
      </c>
      <c r="N85" s="5"/>
    </row>
    <row r="86" ht="15.75" customHeight="1">
      <c r="A86" s="5" t="s">
        <v>297</v>
      </c>
      <c r="B86" s="5" t="s">
        <v>1386</v>
      </c>
      <c r="C86" s="5" t="s">
        <v>112</v>
      </c>
      <c r="D86" s="5" t="s">
        <v>525</v>
      </c>
      <c r="E86" s="5" t="s">
        <v>1065</v>
      </c>
      <c r="F86" s="5" t="s">
        <v>1321</v>
      </c>
      <c r="G86" s="5"/>
      <c r="H86" s="5" t="s">
        <v>156</v>
      </c>
      <c r="I86" s="5" t="s">
        <v>1303</v>
      </c>
      <c r="J86" s="5"/>
      <c r="K86" s="5" t="s">
        <v>1353</v>
      </c>
      <c r="L86" s="5" t="s">
        <v>304</v>
      </c>
      <c r="M86" s="5" t="s">
        <v>984</v>
      </c>
      <c r="N86" s="5"/>
    </row>
    <row r="87" ht="15.75" customHeight="1">
      <c r="A87" s="5" t="s">
        <v>297</v>
      </c>
      <c r="B87" s="5" t="s">
        <v>1490</v>
      </c>
      <c r="C87" s="5" t="s">
        <v>124</v>
      </c>
      <c r="D87" s="5" t="s">
        <v>1532</v>
      </c>
      <c r="E87" s="5" t="s">
        <v>1065</v>
      </c>
      <c r="F87" s="5" t="s">
        <v>1321</v>
      </c>
      <c r="G87" s="5" t="s">
        <v>1370</v>
      </c>
      <c r="H87" s="5" t="s">
        <v>1402</v>
      </c>
      <c r="I87" s="5" t="s">
        <v>1303</v>
      </c>
      <c r="J87" s="5"/>
      <c r="K87" s="5" t="s">
        <v>1533</v>
      </c>
      <c r="L87" s="5" t="s">
        <v>304</v>
      </c>
      <c r="M87" s="5" t="s">
        <v>984</v>
      </c>
      <c r="N87" s="5"/>
    </row>
    <row r="88" ht="15.75" customHeight="1">
      <c r="A88" s="5" t="s">
        <v>297</v>
      </c>
      <c r="B88" s="5" t="s">
        <v>1534</v>
      </c>
      <c r="C88" s="5" t="s">
        <v>35</v>
      </c>
      <c r="D88" s="5" t="s">
        <v>835</v>
      </c>
      <c r="E88" s="5" t="s">
        <v>1311</v>
      </c>
      <c r="F88" s="5" t="s">
        <v>1416</v>
      </c>
      <c r="G88" s="5" t="s">
        <v>1392</v>
      </c>
      <c r="H88" s="5" t="s">
        <v>838</v>
      </c>
      <c r="I88" s="5"/>
      <c r="J88" s="5"/>
      <c r="K88" s="5" t="s">
        <v>1475</v>
      </c>
      <c r="L88" s="5" t="s">
        <v>304</v>
      </c>
      <c r="M88" s="5" t="s">
        <v>984</v>
      </c>
      <c r="N88" s="5"/>
    </row>
    <row r="89" ht="15.75" customHeight="1">
      <c r="A89" s="5" t="s">
        <v>297</v>
      </c>
      <c r="B89" s="5" t="s">
        <v>1398</v>
      </c>
      <c r="C89" s="5" t="s">
        <v>142</v>
      </c>
      <c r="D89" s="5" t="s">
        <v>1535</v>
      </c>
      <c r="E89" s="5" t="s">
        <v>1065</v>
      </c>
      <c r="F89" s="5" t="s">
        <v>1321</v>
      </c>
      <c r="G89" s="5" t="s">
        <v>1364</v>
      </c>
      <c r="H89" s="5" t="s">
        <v>1062</v>
      </c>
      <c r="I89" s="5"/>
      <c r="J89" s="5"/>
      <c r="K89" s="5" t="s">
        <v>1504</v>
      </c>
      <c r="L89" s="5" t="s">
        <v>304</v>
      </c>
      <c r="M89" s="5" t="s">
        <v>30</v>
      </c>
      <c r="N89" s="5"/>
    </row>
    <row r="90" ht="15.75" customHeight="1">
      <c r="A90" s="5" t="s">
        <v>297</v>
      </c>
      <c r="B90" s="5" t="s">
        <v>1536</v>
      </c>
      <c r="C90" s="5" t="s">
        <v>35</v>
      </c>
      <c r="D90" s="5" t="s">
        <v>36</v>
      </c>
      <c r="E90" s="5" t="s">
        <v>1065</v>
      </c>
      <c r="F90" s="5" t="s">
        <v>1321</v>
      </c>
      <c r="G90" s="5"/>
      <c r="H90" s="5" t="s">
        <v>38</v>
      </c>
      <c r="I90" s="5" t="s">
        <v>1303</v>
      </c>
      <c r="J90" s="5"/>
      <c r="K90" s="5" t="s">
        <v>1475</v>
      </c>
      <c r="L90" s="5" t="s">
        <v>304</v>
      </c>
      <c r="M90" s="5" t="s">
        <v>30</v>
      </c>
      <c r="N90" s="5"/>
    </row>
    <row r="91" ht="15.75" customHeight="1">
      <c r="A91" s="5" t="s">
        <v>297</v>
      </c>
      <c r="B91" s="5" t="s">
        <v>1403</v>
      </c>
      <c r="C91" s="5" t="s">
        <v>262</v>
      </c>
      <c r="D91" s="5" t="s">
        <v>1537</v>
      </c>
      <c r="E91" s="5" t="s">
        <v>677</v>
      </c>
      <c r="F91" s="5" t="s">
        <v>1350</v>
      </c>
      <c r="G91" s="5"/>
      <c r="H91" s="5" t="s">
        <v>1538</v>
      </c>
      <c r="I91" s="5" t="s">
        <v>314</v>
      </c>
      <c r="J91" s="5"/>
      <c r="K91" s="5" t="s">
        <v>1504</v>
      </c>
      <c r="L91" s="5" t="s">
        <v>304</v>
      </c>
      <c r="M91" s="5" t="s">
        <v>30</v>
      </c>
      <c r="N91" s="5"/>
    </row>
    <row r="92" ht="15.75" customHeight="1"/>
    <row r="93" ht="15.75" customHeight="1">
      <c r="A93" s="3" t="s">
        <v>1191</v>
      </c>
    </row>
    <row r="94" ht="15.75" customHeight="1">
      <c r="A94" s="4" t="s">
        <v>4</v>
      </c>
      <c r="B94" s="4" t="s">
        <v>6</v>
      </c>
      <c r="C94" s="4" t="s">
        <v>7</v>
      </c>
      <c r="D94" s="4" t="s">
        <v>8</v>
      </c>
      <c r="E94" s="4" t="s">
        <v>9</v>
      </c>
      <c r="F94" s="4" t="s">
        <v>10</v>
      </c>
      <c r="G94" s="4" t="s">
        <v>11</v>
      </c>
      <c r="H94" s="4" t="s">
        <v>12</v>
      </c>
      <c r="I94" s="4" t="s">
        <v>13</v>
      </c>
      <c r="J94" s="4" t="s">
        <v>14</v>
      </c>
      <c r="K94" s="4" t="s">
        <v>15</v>
      </c>
      <c r="L94" s="4" t="s">
        <v>16</v>
      </c>
      <c r="M94" s="4" t="s">
        <v>17</v>
      </c>
      <c r="N94" s="4" t="s">
        <v>18</v>
      </c>
    </row>
    <row r="95" ht="15.75" customHeight="1">
      <c r="A95" s="5" t="s">
        <v>297</v>
      </c>
      <c r="B95" s="5" t="s">
        <v>1539</v>
      </c>
      <c r="C95" s="5" t="s">
        <v>94</v>
      </c>
      <c r="D95" s="5" t="s">
        <v>1340</v>
      </c>
      <c r="E95" s="5" t="s">
        <v>280</v>
      </c>
      <c r="F95" s="5" t="s">
        <v>1416</v>
      </c>
      <c r="G95" s="5"/>
      <c r="H95" s="5" t="s">
        <v>1341</v>
      </c>
      <c r="I95" s="5" t="s">
        <v>1303</v>
      </c>
      <c r="J95" s="5"/>
      <c r="K95" s="5" t="s">
        <v>1475</v>
      </c>
      <c r="L95" s="5" t="s">
        <v>304</v>
      </c>
      <c r="M95" s="5" t="s">
        <v>30</v>
      </c>
      <c r="N95" s="5"/>
    </row>
    <row r="96" ht="15.75" customHeight="1">
      <c r="A96" s="5" t="s">
        <v>297</v>
      </c>
      <c r="B96" s="5" t="s">
        <v>1414</v>
      </c>
      <c r="C96" s="5" t="s">
        <v>94</v>
      </c>
      <c r="D96" s="5" t="s">
        <v>1540</v>
      </c>
      <c r="E96" s="5" t="s">
        <v>23</v>
      </c>
      <c r="F96" s="5" t="s">
        <v>67</v>
      </c>
      <c r="G96" s="5"/>
      <c r="H96" s="5" t="s">
        <v>1541</v>
      </c>
      <c r="I96" s="5"/>
      <c r="J96" s="5"/>
      <c r="K96" s="5" t="s">
        <v>1475</v>
      </c>
      <c r="L96" s="5" t="s">
        <v>304</v>
      </c>
      <c r="M96" s="5" t="s">
        <v>30</v>
      </c>
      <c r="N96" s="5"/>
    </row>
    <row r="97" ht="15.75" customHeight="1">
      <c r="A97" s="5" t="s">
        <v>297</v>
      </c>
      <c r="B97" s="5" t="s">
        <v>1542</v>
      </c>
      <c r="C97" s="5" t="s">
        <v>133</v>
      </c>
      <c r="D97" s="5" t="s">
        <v>1543</v>
      </c>
      <c r="E97" s="5" t="s">
        <v>280</v>
      </c>
      <c r="F97" s="5" t="s">
        <v>1416</v>
      </c>
      <c r="G97" s="5" t="s">
        <v>1392</v>
      </c>
      <c r="H97" s="5" t="s">
        <v>1544</v>
      </c>
      <c r="I97" s="5" t="s">
        <v>943</v>
      </c>
      <c r="J97" s="5"/>
      <c r="K97" s="5" t="s">
        <v>1531</v>
      </c>
      <c r="L97" s="5" t="s">
        <v>304</v>
      </c>
      <c r="M97" s="5" t="s">
        <v>30</v>
      </c>
      <c r="N97" s="5"/>
    </row>
    <row r="98" ht="15.75" customHeight="1">
      <c r="A98" s="5" t="s">
        <v>297</v>
      </c>
      <c r="B98" s="5" t="s">
        <v>1545</v>
      </c>
      <c r="C98" s="5" t="s">
        <v>262</v>
      </c>
      <c r="D98" s="5" t="s">
        <v>1546</v>
      </c>
      <c r="E98" s="5" t="s">
        <v>280</v>
      </c>
      <c r="F98" s="5" t="s">
        <v>1416</v>
      </c>
      <c r="G98" s="5"/>
      <c r="H98" s="5" t="s">
        <v>1547</v>
      </c>
      <c r="I98" s="5" t="s">
        <v>1303</v>
      </c>
      <c r="J98" s="5"/>
      <c r="K98" s="5" t="s">
        <v>1504</v>
      </c>
      <c r="L98" s="5" t="s">
        <v>304</v>
      </c>
      <c r="M98" s="5" t="s">
        <v>30</v>
      </c>
      <c r="N98" s="5"/>
    </row>
    <row r="99" ht="15.75" customHeight="1">
      <c r="A99" s="5" t="s">
        <v>297</v>
      </c>
      <c r="B99" s="5" t="s">
        <v>915</v>
      </c>
      <c r="C99" s="5" t="s">
        <v>62</v>
      </c>
      <c r="D99" s="5" t="s">
        <v>1548</v>
      </c>
      <c r="E99" s="5" t="s">
        <v>211</v>
      </c>
      <c r="F99" s="5" t="s">
        <v>1549</v>
      </c>
      <c r="G99" s="5" t="s">
        <v>1550</v>
      </c>
      <c r="H99" s="5" t="s">
        <v>1395</v>
      </c>
      <c r="I99" s="5" t="s">
        <v>917</v>
      </c>
      <c r="J99" s="5"/>
      <c r="K99" s="5" t="s">
        <v>1533</v>
      </c>
      <c r="L99" s="5" t="s">
        <v>304</v>
      </c>
      <c r="M99" s="5" t="s">
        <v>30</v>
      </c>
      <c r="N99" s="5"/>
    </row>
    <row r="100" ht="15.75" customHeight="1">
      <c r="A100" s="5" t="s">
        <v>297</v>
      </c>
      <c r="B100" s="5" t="s">
        <v>1551</v>
      </c>
      <c r="C100" s="5" t="s">
        <v>94</v>
      </c>
      <c r="D100" s="5" t="s">
        <v>1552</v>
      </c>
      <c r="E100" s="5" t="s">
        <v>280</v>
      </c>
      <c r="F100" s="5" t="s">
        <v>1416</v>
      </c>
      <c r="G100" s="5"/>
      <c r="H100" s="5" t="s">
        <v>1309</v>
      </c>
      <c r="I100" s="5"/>
      <c r="J100" s="5"/>
      <c r="K100" s="5" t="s">
        <v>1504</v>
      </c>
      <c r="L100" s="5" t="s">
        <v>304</v>
      </c>
      <c r="M100" s="5" t="s">
        <v>30</v>
      </c>
      <c r="N100" s="5"/>
    </row>
    <row r="101" ht="15.75" customHeight="1">
      <c r="A101" s="5" t="s">
        <v>297</v>
      </c>
      <c r="B101" s="5" t="s">
        <v>1553</v>
      </c>
      <c r="C101" s="5" t="s">
        <v>133</v>
      </c>
      <c r="D101" s="5" t="s">
        <v>1543</v>
      </c>
      <c r="E101" s="5" t="s">
        <v>280</v>
      </c>
      <c r="F101" s="5" t="s">
        <v>1416</v>
      </c>
      <c r="G101" s="5" t="s">
        <v>1392</v>
      </c>
      <c r="H101" s="5" t="s">
        <v>1544</v>
      </c>
      <c r="I101" s="5" t="s">
        <v>943</v>
      </c>
      <c r="J101" s="5"/>
      <c r="K101" s="5" t="s">
        <v>1531</v>
      </c>
      <c r="L101" s="5" t="s">
        <v>304</v>
      </c>
      <c r="M101" s="5" t="s">
        <v>30</v>
      </c>
      <c r="N101" s="5"/>
    </row>
    <row r="102" ht="15.75" customHeight="1"/>
    <row r="103" ht="15.75" customHeight="1">
      <c r="A103" s="6" t="s">
        <v>414</v>
      </c>
    </row>
    <row r="104" ht="15.75" customHeight="1">
      <c r="A104" s="6" t="s">
        <v>1554</v>
      </c>
    </row>
    <row r="105" ht="15.75" customHeight="1">
      <c r="A105" s="6" t="s">
        <v>4</v>
      </c>
      <c r="B105" s="6" t="s">
        <v>6</v>
      </c>
      <c r="C105" s="6" t="s">
        <v>7</v>
      </c>
      <c r="D105" s="6" t="s">
        <v>8</v>
      </c>
      <c r="E105" s="6" t="s">
        <v>9</v>
      </c>
      <c r="F105" s="6" t="s">
        <v>10</v>
      </c>
      <c r="G105" s="6" t="s">
        <v>11</v>
      </c>
      <c r="H105" s="6" t="s">
        <v>12</v>
      </c>
      <c r="I105" s="6" t="s">
        <v>13</v>
      </c>
      <c r="J105" s="6" t="s">
        <v>14</v>
      </c>
      <c r="K105" s="6" t="s">
        <v>15</v>
      </c>
      <c r="L105" s="6" t="s">
        <v>16</v>
      </c>
      <c r="M105" s="6" t="s">
        <v>17</v>
      </c>
      <c r="N105" s="6" t="s">
        <v>18</v>
      </c>
    </row>
    <row r="106" ht="15.75" customHeight="1">
      <c r="A106" s="8" t="s">
        <v>424</v>
      </c>
      <c r="B106" s="8" t="s">
        <v>1555</v>
      </c>
      <c r="C106" s="8" t="s">
        <v>565</v>
      </c>
      <c r="D106" s="8" t="s">
        <v>429</v>
      </c>
      <c r="E106" s="8" t="s">
        <v>712</v>
      </c>
      <c r="F106" s="8" t="s">
        <v>1321</v>
      </c>
      <c r="G106" s="8" t="s">
        <v>1556</v>
      </c>
      <c r="H106" s="8" t="s">
        <v>117</v>
      </c>
      <c r="I106" s="8" t="s">
        <v>1303</v>
      </c>
      <c r="J106" s="8"/>
      <c r="K106" s="8"/>
      <c r="L106" s="8"/>
      <c r="M106" s="23" t="s">
        <v>373</v>
      </c>
      <c r="N106" s="8"/>
    </row>
    <row r="107" ht="15.75" customHeight="1">
      <c r="A107" s="6" t="s">
        <v>424</v>
      </c>
      <c r="B107" s="6" t="s">
        <v>1557</v>
      </c>
      <c r="C107" s="6" t="s">
        <v>428</v>
      </c>
      <c r="D107" s="6" t="s">
        <v>553</v>
      </c>
      <c r="E107" s="6" t="s">
        <v>712</v>
      </c>
      <c r="F107" s="6" t="s">
        <v>1321</v>
      </c>
      <c r="G107" s="6" t="s">
        <v>1556</v>
      </c>
      <c r="H107" s="6" t="s">
        <v>1558</v>
      </c>
      <c r="M107" s="20" t="s">
        <v>373</v>
      </c>
    </row>
    <row r="108" ht="15.75" customHeight="1">
      <c r="A108" s="8" t="s">
        <v>424</v>
      </c>
      <c r="B108" s="8" t="s">
        <v>1559</v>
      </c>
      <c r="C108" s="8" t="s">
        <v>457</v>
      </c>
      <c r="D108" s="8" t="s">
        <v>429</v>
      </c>
      <c r="E108" s="8" t="s">
        <v>712</v>
      </c>
      <c r="F108" s="8" t="s">
        <v>1321</v>
      </c>
      <c r="G108" s="8" t="s">
        <v>1560</v>
      </c>
      <c r="H108" s="8" t="s">
        <v>1373</v>
      </c>
      <c r="I108" s="8"/>
      <c r="J108" s="8"/>
      <c r="K108" s="8"/>
      <c r="L108" s="8"/>
      <c r="M108" s="8" t="s">
        <v>373</v>
      </c>
      <c r="N108" s="8"/>
    </row>
    <row r="109" ht="15.75" customHeight="1">
      <c r="A109" s="8" t="s">
        <v>424</v>
      </c>
      <c r="B109" s="8" t="s">
        <v>1459</v>
      </c>
      <c r="C109" s="8" t="s">
        <v>482</v>
      </c>
      <c r="D109" s="8" t="s">
        <v>153</v>
      </c>
      <c r="E109" s="8" t="s">
        <v>800</v>
      </c>
      <c r="F109" s="8" t="s">
        <v>1321</v>
      </c>
      <c r="G109" s="8" t="s">
        <v>1560</v>
      </c>
      <c r="H109" s="8" t="s">
        <v>156</v>
      </c>
      <c r="I109" s="8"/>
      <c r="J109" s="8"/>
      <c r="K109" s="8"/>
      <c r="L109" s="8"/>
      <c r="M109" s="8" t="s">
        <v>30</v>
      </c>
      <c r="N109" s="8"/>
    </row>
    <row r="110" ht="15.75" customHeight="1">
      <c r="A110" s="6" t="s">
        <v>424</v>
      </c>
      <c r="B110" s="6" t="s">
        <v>1561</v>
      </c>
      <c r="C110" s="6" t="s">
        <v>445</v>
      </c>
      <c r="D110" s="6" t="s">
        <v>553</v>
      </c>
      <c r="E110" s="6" t="s">
        <v>812</v>
      </c>
      <c r="F110" s="6" t="s">
        <v>1321</v>
      </c>
      <c r="G110" s="6" t="s">
        <v>1560</v>
      </c>
      <c r="H110" s="6" t="s">
        <v>1562</v>
      </c>
      <c r="I110" s="6" t="s">
        <v>1303</v>
      </c>
      <c r="M110" s="6" t="s">
        <v>561</v>
      </c>
    </row>
    <row r="111" ht="15.75" customHeight="1">
      <c r="A111" s="8" t="s">
        <v>424</v>
      </c>
      <c r="B111" s="8" t="s">
        <v>1563</v>
      </c>
      <c r="C111" s="8" t="s">
        <v>469</v>
      </c>
      <c r="D111" s="8" t="s">
        <v>187</v>
      </c>
      <c r="E111" s="8" t="s">
        <v>1113</v>
      </c>
      <c r="F111" s="8" t="s">
        <v>1350</v>
      </c>
      <c r="G111" s="8"/>
      <c r="H111" s="8" t="s">
        <v>55</v>
      </c>
      <c r="I111" s="8" t="s">
        <v>314</v>
      </c>
      <c r="J111" s="8"/>
      <c r="K111" s="8"/>
      <c r="L111" s="8"/>
      <c r="M111" s="8" t="s">
        <v>30</v>
      </c>
      <c r="N111" s="8"/>
    </row>
    <row r="112" ht="15.75" customHeight="1">
      <c r="A112" s="8" t="s">
        <v>424</v>
      </c>
      <c r="B112" s="8" t="s">
        <v>1354</v>
      </c>
      <c r="C112" s="8" t="s">
        <v>501</v>
      </c>
      <c r="D112" s="8" t="s">
        <v>1564</v>
      </c>
      <c r="E112" s="8" t="s">
        <v>1113</v>
      </c>
      <c r="F112" s="8" t="s">
        <v>1350</v>
      </c>
      <c r="G112" s="8"/>
      <c r="H112" s="8" t="s">
        <v>1565</v>
      </c>
      <c r="I112" s="8"/>
      <c r="J112" s="8"/>
      <c r="K112" s="8"/>
      <c r="L112" s="8"/>
      <c r="M112" s="8" t="s">
        <v>30</v>
      </c>
      <c r="N112" s="8"/>
    </row>
    <row r="113" ht="15.75" customHeight="1">
      <c r="A113" s="8" t="s">
        <v>424</v>
      </c>
      <c r="B113" s="8" t="s">
        <v>1359</v>
      </c>
      <c r="C113" s="8" t="s">
        <v>616</v>
      </c>
      <c r="D113" s="8" t="s">
        <v>1566</v>
      </c>
      <c r="E113" s="8" t="s">
        <v>1113</v>
      </c>
      <c r="F113" s="8" t="s">
        <v>1350</v>
      </c>
      <c r="G113" s="8" t="s">
        <v>1567</v>
      </c>
      <c r="H113" s="8" t="s">
        <v>1568</v>
      </c>
      <c r="I113" s="8" t="s">
        <v>1322</v>
      </c>
      <c r="J113" s="8"/>
      <c r="K113" s="8"/>
      <c r="L113" s="8"/>
      <c r="M113" s="8" t="s">
        <v>30</v>
      </c>
      <c r="N113" s="8"/>
    </row>
    <row r="114" ht="15.75" customHeight="1">
      <c r="A114" s="8" t="s">
        <v>424</v>
      </c>
      <c r="B114" s="8" t="s">
        <v>1569</v>
      </c>
      <c r="C114" s="8" t="s">
        <v>639</v>
      </c>
      <c r="D114" s="8" t="s">
        <v>429</v>
      </c>
      <c r="E114" s="8" t="s">
        <v>812</v>
      </c>
      <c r="F114" s="8" t="s">
        <v>1321</v>
      </c>
      <c r="G114" s="8" t="s">
        <v>1556</v>
      </c>
      <c r="H114" s="8" t="s">
        <v>838</v>
      </c>
      <c r="I114" s="8" t="s">
        <v>497</v>
      </c>
      <c r="J114" s="8"/>
      <c r="K114" s="8"/>
      <c r="L114" s="8"/>
      <c r="M114" s="8" t="s">
        <v>561</v>
      </c>
      <c r="N114" s="8"/>
    </row>
    <row r="115" ht="15.75" customHeight="1">
      <c r="A115" s="8" t="s">
        <v>424</v>
      </c>
      <c r="B115" s="8" t="s">
        <v>1365</v>
      </c>
      <c r="C115" s="8" t="s">
        <v>576</v>
      </c>
      <c r="D115" s="8" t="s">
        <v>1570</v>
      </c>
      <c r="E115" s="8" t="s">
        <v>1113</v>
      </c>
      <c r="F115" s="8" t="s">
        <v>1350</v>
      </c>
      <c r="G115" s="8"/>
      <c r="H115" s="8" t="s">
        <v>1571</v>
      </c>
      <c r="I115" s="8" t="s">
        <v>314</v>
      </c>
      <c r="J115" s="8"/>
      <c r="K115" s="8"/>
      <c r="L115" s="8"/>
      <c r="M115" s="8" t="s">
        <v>30</v>
      </c>
      <c r="N115" s="8"/>
    </row>
    <row r="116" ht="15.75" customHeight="1">
      <c r="A116" s="8" t="s">
        <v>424</v>
      </c>
      <c r="B116" s="8" t="s">
        <v>1572</v>
      </c>
      <c r="C116" s="8" t="s">
        <v>596</v>
      </c>
      <c r="D116" s="8" t="s">
        <v>429</v>
      </c>
      <c r="E116" s="8" t="s">
        <v>1113</v>
      </c>
      <c r="F116" s="8" t="s">
        <v>1321</v>
      </c>
      <c r="G116" s="8" t="s">
        <v>1560</v>
      </c>
      <c r="H116" s="8" t="s">
        <v>1314</v>
      </c>
      <c r="I116" s="8" t="s">
        <v>1474</v>
      </c>
      <c r="J116" s="8"/>
      <c r="K116" s="8"/>
      <c r="L116" s="8"/>
      <c r="M116" s="8" t="s">
        <v>561</v>
      </c>
      <c r="N116" s="8"/>
    </row>
    <row r="117" ht="15.75" customHeight="1">
      <c r="A117" s="8" t="s">
        <v>424</v>
      </c>
      <c r="B117" s="8" t="s">
        <v>1573</v>
      </c>
      <c r="C117" s="8" t="s">
        <v>469</v>
      </c>
      <c r="D117" s="8" t="s">
        <v>187</v>
      </c>
      <c r="E117" s="8" t="s">
        <v>1113</v>
      </c>
      <c r="F117" s="8" t="s">
        <v>1350</v>
      </c>
      <c r="G117" s="8"/>
      <c r="H117" s="8" t="s">
        <v>55</v>
      </c>
      <c r="I117" s="8" t="s">
        <v>314</v>
      </c>
      <c r="J117" s="8"/>
      <c r="K117" s="8"/>
      <c r="L117" s="8"/>
      <c r="M117" s="8" t="s">
        <v>30</v>
      </c>
      <c r="N117" s="8"/>
    </row>
    <row r="118" ht="15.75" customHeight="1">
      <c r="A118" s="8" t="s">
        <v>424</v>
      </c>
      <c r="B118" s="8" t="s">
        <v>1371</v>
      </c>
      <c r="C118" s="8" t="s">
        <v>539</v>
      </c>
      <c r="D118" s="8" t="s">
        <v>1574</v>
      </c>
      <c r="E118" s="8" t="s">
        <v>812</v>
      </c>
      <c r="F118" s="8" t="s">
        <v>1321</v>
      </c>
      <c r="G118" s="8" t="s">
        <v>1560</v>
      </c>
      <c r="H118" s="8" t="s">
        <v>1575</v>
      </c>
      <c r="I118" s="8" t="s">
        <v>1303</v>
      </c>
      <c r="J118" s="8"/>
      <c r="K118" s="8"/>
      <c r="L118" s="8"/>
      <c r="M118" s="8" t="s">
        <v>30</v>
      </c>
      <c r="N118" s="8"/>
    </row>
    <row r="119" ht="15.75" customHeight="1">
      <c r="A119" s="8" t="s">
        <v>424</v>
      </c>
      <c r="B119" s="8" t="s">
        <v>1369</v>
      </c>
      <c r="C119" s="8" t="s">
        <v>457</v>
      </c>
      <c r="D119" s="8" t="s">
        <v>125</v>
      </c>
      <c r="E119" s="8" t="s">
        <v>812</v>
      </c>
      <c r="F119" s="8" t="s">
        <v>1321</v>
      </c>
      <c r="G119" s="8" t="s">
        <v>1556</v>
      </c>
      <c r="H119" s="8" t="s">
        <v>130</v>
      </c>
      <c r="I119" s="8" t="s">
        <v>1303</v>
      </c>
      <c r="J119" s="8"/>
      <c r="K119" s="8"/>
      <c r="L119" s="8"/>
      <c r="M119" s="8" t="s">
        <v>30</v>
      </c>
      <c r="N119" s="8"/>
    </row>
    <row r="120" ht="15.75" customHeight="1">
      <c r="A120" s="8" t="s">
        <v>424</v>
      </c>
      <c r="B120" s="8" t="s">
        <v>1374</v>
      </c>
      <c r="C120" s="8" t="s">
        <v>591</v>
      </c>
      <c r="D120" s="8" t="s">
        <v>99</v>
      </c>
      <c r="E120" s="8" t="s">
        <v>800</v>
      </c>
      <c r="F120" s="8" t="s">
        <v>1321</v>
      </c>
      <c r="G120" s="8" t="s">
        <v>1560</v>
      </c>
      <c r="H120" s="8" t="s">
        <v>105</v>
      </c>
      <c r="I120" s="8" t="s">
        <v>1322</v>
      </c>
      <c r="J120" s="8"/>
      <c r="K120" s="8"/>
      <c r="L120" s="8"/>
      <c r="M120" s="8" t="s">
        <v>30</v>
      </c>
      <c r="N120" s="8"/>
    </row>
    <row r="121" ht="15.75" customHeight="1">
      <c r="A121" s="8" t="s">
        <v>424</v>
      </c>
      <c r="B121" s="8" t="s">
        <v>1375</v>
      </c>
      <c r="C121" s="8" t="s">
        <v>482</v>
      </c>
      <c r="D121" s="8" t="s">
        <v>44</v>
      </c>
      <c r="E121" s="8" t="s">
        <v>1113</v>
      </c>
      <c r="F121" s="8" t="s">
        <v>1321</v>
      </c>
      <c r="G121" s="8" t="s">
        <v>1560</v>
      </c>
      <c r="H121" s="8" t="s">
        <v>49</v>
      </c>
      <c r="I121" s="8" t="s">
        <v>1303</v>
      </c>
      <c r="J121" s="8"/>
      <c r="K121" s="8"/>
      <c r="L121" s="8"/>
      <c r="M121" s="8" t="s">
        <v>30</v>
      </c>
      <c r="N121" s="8"/>
    </row>
    <row r="122" ht="15.75" customHeight="1">
      <c r="A122" s="8" t="s">
        <v>424</v>
      </c>
      <c r="B122" s="8" t="s">
        <v>1379</v>
      </c>
      <c r="C122" s="8" t="s">
        <v>616</v>
      </c>
      <c r="D122" s="8" t="s">
        <v>1576</v>
      </c>
      <c r="E122" s="8" t="s">
        <v>812</v>
      </c>
      <c r="F122" s="8" t="s">
        <v>1549</v>
      </c>
      <c r="G122" s="8" t="s">
        <v>1577</v>
      </c>
      <c r="H122" s="8" t="s">
        <v>396</v>
      </c>
      <c r="I122" s="8" t="s">
        <v>314</v>
      </c>
      <c r="J122" s="8"/>
      <c r="K122" s="8"/>
      <c r="L122" s="8"/>
      <c r="M122" s="8" t="s">
        <v>30</v>
      </c>
      <c r="N122" s="8"/>
    </row>
    <row r="123" ht="15.75" customHeight="1">
      <c r="A123" s="8" t="s">
        <v>424</v>
      </c>
      <c r="B123" s="8" t="s">
        <v>1381</v>
      </c>
      <c r="C123" s="8" t="s">
        <v>596</v>
      </c>
      <c r="D123" s="8" t="s">
        <v>429</v>
      </c>
      <c r="E123" s="8" t="s">
        <v>812</v>
      </c>
      <c r="F123" s="8" t="s">
        <v>1321</v>
      </c>
      <c r="G123" s="8" t="s">
        <v>1556</v>
      </c>
      <c r="H123" s="8" t="s">
        <v>838</v>
      </c>
      <c r="I123" s="8" t="s">
        <v>1303</v>
      </c>
      <c r="J123" s="8"/>
      <c r="K123" s="8"/>
      <c r="L123" s="8"/>
      <c r="M123" s="8" t="s">
        <v>561</v>
      </c>
      <c r="N123" s="8"/>
    </row>
    <row r="124" ht="15.75" customHeight="1">
      <c r="A124" s="8" t="s">
        <v>424</v>
      </c>
      <c r="B124" s="8" t="s">
        <v>1578</v>
      </c>
      <c r="C124" s="8" t="s">
        <v>469</v>
      </c>
      <c r="D124" s="8" t="s">
        <v>1382</v>
      </c>
      <c r="E124" s="8" t="s">
        <v>800</v>
      </c>
      <c r="F124" s="8" t="s">
        <v>1321</v>
      </c>
      <c r="G124" s="8" t="s">
        <v>1556</v>
      </c>
      <c r="H124" s="8" t="s">
        <v>554</v>
      </c>
      <c r="I124" s="8" t="s">
        <v>1579</v>
      </c>
      <c r="J124" s="8"/>
      <c r="K124" s="8"/>
      <c r="L124" s="8"/>
      <c r="M124" s="8" t="s">
        <v>30</v>
      </c>
      <c r="N124" s="8"/>
    </row>
    <row r="125" ht="15.75" customHeight="1">
      <c r="A125" s="8" t="s">
        <v>424</v>
      </c>
      <c r="B125" s="8" t="s">
        <v>1383</v>
      </c>
      <c r="C125" s="8" t="s">
        <v>469</v>
      </c>
      <c r="D125" s="8" t="s">
        <v>429</v>
      </c>
      <c r="E125" s="8" t="s">
        <v>1113</v>
      </c>
      <c r="F125" s="8" t="s">
        <v>1455</v>
      </c>
      <c r="G125" s="8"/>
      <c r="H125" s="8" t="s">
        <v>1580</v>
      </c>
      <c r="I125" s="8" t="s">
        <v>497</v>
      </c>
      <c r="J125" s="8"/>
      <c r="K125" s="8"/>
      <c r="L125" s="8"/>
      <c r="M125" s="8" t="s">
        <v>30</v>
      </c>
      <c r="N125" s="8"/>
    </row>
    <row r="126" ht="15.75" customHeight="1">
      <c r="A126" s="8" t="s">
        <v>424</v>
      </c>
      <c r="B126" s="8" t="s">
        <v>1582</v>
      </c>
      <c r="C126" s="8" t="s">
        <v>588</v>
      </c>
      <c r="D126" s="8" t="s">
        <v>429</v>
      </c>
      <c r="E126" s="8" t="s">
        <v>812</v>
      </c>
      <c r="F126" s="8" t="s">
        <v>1316</v>
      </c>
      <c r="G126" s="8" t="s">
        <v>1583</v>
      </c>
      <c r="H126" s="8" t="s">
        <v>88</v>
      </c>
      <c r="I126" s="8" t="s">
        <v>159</v>
      </c>
      <c r="J126" s="8"/>
      <c r="K126" s="8"/>
      <c r="L126" s="8"/>
      <c r="M126" s="8" t="s">
        <v>30</v>
      </c>
      <c r="N126" s="8"/>
    </row>
    <row r="127" ht="15.75" customHeight="1">
      <c r="A127" s="8" t="s">
        <v>424</v>
      </c>
      <c r="B127" s="8" t="s">
        <v>1584</v>
      </c>
      <c r="C127" s="8" t="s">
        <v>482</v>
      </c>
      <c r="D127" s="8" t="s">
        <v>429</v>
      </c>
      <c r="E127" s="8" t="s">
        <v>1113</v>
      </c>
      <c r="F127" s="8" t="s">
        <v>1350</v>
      </c>
      <c r="G127" s="8"/>
      <c r="H127" s="8" t="s">
        <v>1585</v>
      </c>
      <c r="I127" s="8" t="s">
        <v>1303</v>
      </c>
      <c r="J127" s="8"/>
      <c r="K127" s="8"/>
      <c r="L127" s="8"/>
      <c r="M127" s="8" t="s">
        <v>561</v>
      </c>
      <c r="N127" s="8"/>
    </row>
    <row r="128" ht="15.75" customHeight="1">
      <c r="A128" s="8" t="s">
        <v>424</v>
      </c>
      <c r="B128" s="8" t="s">
        <v>1529</v>
      </c>
      <c r="C128" s="8" t="s">
        <v>565</v>
      </c>
      <c r="D128" s="8" t="s">
        <v>301</v>
      </c>
      <c r="E128" s="8" t="s">
        <v>812</v>
      </c>
      <c r="F128" s="8" t="s">
        <v>1321</v>
      </c>
      <c r="G128" s="8" t="s">
        <v>1556</v>
      </c>
      <c r="H128" s="8" t="s">
        <v>306</v>
      </c>
      <c r="I128" s="8" t="s">
        <v>1530</v>
      </c>
      <c r="J128" s="8"/>
      <c r="K128" s="8"/>
      <c r="L128" s="8"/>
      <c r="M128" s="8" t="s">
        <v>30</v>
      </c>
      <c r="N128" s="8"/>
    </row>
    <row r="129" ht="15.75" customHeight="1">
      <c r="A129" s="8" t="s">
        <v>424</v>
      </c>
      <c r="B129" s="8" t="s">
        <v>1386</v>
      </c>
      <c r="C129" s="8" t="s">
        <v>591</v>
      </c>
      <c r="D129" s="8" t="s">
        <v>1586</v>
      </c>
      <c r="E129" s="8" t="s">
        <v>1113</v>
      </c>
      <c r="F129" s="8" t="s">
        <v>1377</v>
      </c>
      <c r="G129" s="8" t="s">
        <v>1587</v>
      </c>
      <c r="H129" s="8" t="s">
        <v>1588</v>
      </c>
      <c r="I129" s="8" t="s">
        <v>1303</v>
      </c>
      <c r="J129" s="8"/>
      <c r="K129" s="8"/>
      <c r="L129" s="8"/>
      <c r="M129" s="8" t="s">
        <v>30</v>
      </c>
      <c r="N129" s="8"/>
    </row>
    <row r="130" ht="15.75" customHeight="1">
      <c r="A130" s="8" t="s">
        <v>424</v>
      </c>
      <c r="B130" s="8" t="s">
        <v>1491</v>
      </c>
      <c r="C130" s="8" t="s">
        <v>565</v>
      </c>
      <c r="D130" s="8" t="s">
        <v>1589</v>
      </c>
      <c r="E130" s="8" t="s">
        <v>1113</v>
      </c>
      <c r="F130" s="8" t="s">
        <v>1455</v>
      </c>
      <c r="G130" s="8"/>
      <c r="H130" s="8" t="s">
        <v>1590</v>
      </c>
      <c r="I130" s="8" t="s">
        <v>314</v>
      </c>
      <c r="J130" s="8"/>
      <c r="K130" s="8"/>
      <c r="L130" s="8"/>
      <c r="M130" s="8" t="s">
        <v>30</v>
      </c>
      <c r="N130" s="8"/>
    </row>
    <row r="131" ht="15.75" customHeight="1">
      <c r="A131" s="8" t="s">
        <v>424</v>
      </c>
      <c r="B131" s="8" t="s">
        <v>1388</v>
      </c>
      <c r="C131" s="8" t="s">
        <v>591</v>
      </c>
      <c r="D131" s="8" t="s">
        <v>429</v>
      </c>
      <c r="E131" s="8" t="s">
        <v>1113</v>
      </c>
      <c r="F131" s="8" t="s">
        <v>1377</v>
      </c>
      <c r="G131" s="8" t="s">
        <v>1587</v>
      </c>
      <c r="H131" s="8" t="s">
        <v>1184</v>
      </c>
      <c r="I131" s="8" t="s">
        <v>1303</v>
      </c>
      <c r="J131" s="8"/>
      <c r="K131" s="8"/>
      <c r="L131" s="8"/>
      <c r="M131" s="8" t="s">
        <v>30</v>
      </c>
      <c r="N131" s="8"/>
    </row>
    <row r="132" ht="15.75" customHeight="1">
      <c r="A132" s="8" t="s">
        <v>424</v>
      </c>
      <c r="B132" s="8" t="s">
        <v>1393</v>
      </c>
      <c r="C132" s="8" t="s">
        <v>428</v>
      </c>
      <c r="D132" s="8" t="s">
        <v>1591</v>
      </c>
      <c r="E132" s="8" t="s">
        <v>1113</v>
      </c>
      <c r="F132" s="8" t="s">
        <v>1377</v>
      </c>
      <c r="G132" s="8"/>
      <c r="H132" s="8" t="s">
        <v>1592</v>
      </c>
      <c r="I132" s="8" t="s">
        <v>1303</v>
      </c>
      <c r="J132" s="8"/>
      <c r="K132" s="8"/>
      <c r="L132" s="8"/>
      <c r="M132" s="8" t="s">
        <v>30</v>
      </c>
      <c r="N132" s="8"/>
    </row>
    <row r="133" ht="15.75" customHeight="1">
      <c r="A133" s="6" t="s">
        <v>424</v>
      </c>
      <c r="B133" s="6" t="s">
        <v>1403</v>
      </c>
      <c r="C133" s="6" t="s">
        <v>428</v>
      </c>
      <c r="D133" s="6" t="s">
        <v>553</v>
      </c>
      <c r="E133" s="6" t="s">
        <v>812</v>
      </c>
      <c r="F133" s="6" t="s">
        <v>1321</v>
      </c>
      <c r="G133" s="6" t="s">
        <v>1556</v>
      </c>
      <c r="H133" s="6" t="s">
        <v>1020</v>
      </c>
      <c r="I133" s="6" t="s">
        <v>314</v>
      </c>
      <c r="M133" s="6" t="s">
        <v>561</v>
      </c>
    </row>
    <row r="134" ht="15.75" customHeight="1">
      <c r="A134" s="8" t="s">
        <v>424</v>
      </c>
      <c r="B134" s="8" t="s">
        <v>1408</v>
      </c>
      <c r="C134" s="8" t="s">
        <v>616</v>
      </c>
      <c r="D134" s="8" t="s">
        <v>1595</v>
      </c>
      <c r="E134" s="8" t="s">
        <v>712</v>
      </c>
      <c r="F134" s="8" t="s">
        <v>1321</v>
      </c>
      <c r="G134" s="8" t="s">
        <v>1560</v>
      </c>
      <c r="H134" s="8" t="s">
        <v>1596</v>
      </c>
      <c r="I134" s="8" t="s">
        <v>1322</v>
      </c>
      <c r="J134" s="8"/>
      <c r="K134" s="8"/>
      <c r="L134" s="8"/>
      <c r="M134" s="8" t="s">
        <v>30</v>
      </c>
      <c r="N134" s="8"/>
    </row>
    <row r="135" ht="15.75" customHeight="1"/>
    <row r="136" ht="15.75" customHeight="1">
      <c r="A136" s="6" t="s">
        <v>414</v>
      </c>
    </row>
    <row r="137" ht="15.75" customHeight="1">
      <c r="A137" s="6" t="s">
        <v>174</v>
      </c>
    </row>
    <row r="138" ht="15.75" customHeight="1">
      <c r="A138" s="6" t="s">
        <v>4</v>
      </c>
      <c r="B138" s="6" t="s">
        <v>6</v>
      </c>
      <c r="C138" s="6" t="s">
        <v>7</v>
      </c>
      <c r="D138" s="6" t="s">
        <v>8</v>
      </c>
      <c r="E138" s="6" t="s">
        <v>9</v>
      </c>
      <c r="F138" s="6" t="s">
        <v>10</v>
      </c>
      <c r="G138" s="6" t="s">
        <v>11</v>
      </c>
      <c r="H138" s="6" t="s">
        <v>12</v>
      </c>
      <c r="I138" s="6" t="s">
        <v>13</v>
      </c>
      <c r="J138" s="6" t="s">
        <v>14</v>
      </c>
      <c r="K138" s="6" t="s">
        <v>15</v>
      </c>
      <c r="L138" s="6" t="s">
        <v>16</v>
      </c>
      <c r="M138" s="6" t="s">
        <v>17</v>
      </c>
      <c r="N138" s="6" t="s">
        <v>18</v>
      </c>
    </row>
    <row r="139" ht="15.75" customHeight="1">
      <c r="A139" s="8" t="s">
        <v>424</v>
      </c>
      <c r="B139" s="8" t="s">
        <v>1412</v>
      </c>
      <c r="C139" s="8" t="s">
        <v>435</v>
      </c>
      <c r="D139" s="8" t="s">
        <v>429</v>
      </c>
      <c r="E139" s="8" t="s">
        <v>430</v>
      </c>
      <c r="F139" s="8" t="s">
        <v>78</v>
      </c>
      <c r="G139" s="8" t="s">
        <v>1556</v>
      </c>
      <c r="H139" s="8" t="s">
        <v>55</v>
      </c>
      <c r="I139" s="8" t="s">
        <v>497</v>
      </c>
      <c r="J139" s="8"/>
      <c r="K139" s="8"/>
      <c r="L139" s="8"/>
      <c r="M139" s="8" t="s">
        <v>30</v>
      </c>
      <c r="N139" s="8"/>
    </row>
    <row r="140" ht="15.75" customHeight="1">
      <c r="A140" s="8" t="s">
        <v>424</v>
      </c>
      <c r="B140" s="8" t="s">
        <v>1414</v>
      </c>
      <c r="C140" s="8" t="s">
        <v>639</v>
      </c>
      <c r="D140" s="8" t="s">
        <v>429</v>
      </c>
      <c r="E140" s="8" t="s">
        <v>438</v>
      </c>
      <c r="F140" s="8" t="s">
        <v>1416</v>
      </c>
      <c r="G140" s="8" t="s">
        <v>1599</v>
      </c>
      <c r="H140" s="8" t="s">
        <v>1600</v>
      </c>
      <c r="I140" s="8"/>
      <c r="J140" s="8"/>
      <c r="K140" s="8"/>
      <c r="L140" s="8"/>
      <c r="M140" s="8" t="s">
        <v>30</v>
      </c>
      <c r="N140" s="8"/>
    </row>
    <row r="141" ht="15.75" customHeight="1">
      <c r="A141" s="8" t="s">
        <v>424</v>
      </c>
      <c r="B141" s="8" t="s">
        <v>537</v>
      </c>
      <c r="C141" s="8" t="s">
        <v>539</v>
      </c>
      <c r="D141" s="8" t="s">
        <v>429</v>
      </c>
      <c r="E141" s="8" t="s">
        <v>946</v>
      </c>
      <c r="F141" s="8" t="s">
        <v>67</v>
      </c>
      <c r="G141" s="8" t="s">
        <v>1601</v>
      </c>
      <c r="H141" s="8" t="s">
        <v>55</v>
      </c>
      <c r="I141" s="8" t="s">
        <v>543</v>
      </c>
      <c r="J141" s="8"/>
      <c r="K141" s="8"/>
      <c r="L141" s="8"/>
      <c r="M141" s="8" t="s">
        <v>30</v>
      </c>
      <c r="N141" s="8"/>
    </row>
    <row r="142" ht="15.75" customHeight="1">
      <c r="A142" s="8" t="s">
        <v>424</v>
      </c>
      <c r="B142" s="8" t="s">
        <v>1419</v>
      </c>
      <c r="C142" s="8" t="s">
        <v>469</v>
      </c>
      <c r="D142" s="8" t="s">
        <v>429</v>
      </c>
      <c r="E142" s="8" t="s">
        <v>438</v>
      </c>
      <c r="F142" s="8" t="s">
        <v>1377</v>
      </c>
      <c r="G142" s="8"/>
      <c r="H142" s="8" t="s">
        <v>1602</v>
      </c>
      <c r="I142" s="8" t="s">
        <v>1603</v>
      </c>
      <c r="J142" s="8" t="s">
        <v>1422</v>
      </c>
      <c r="K142" s="8"/>
      <c r="L142" s="8"/>
      <c r="M142" s="8" t="s">
        <v>30</v>
      </c>
      <c r="N142" s="8"/>
    </row>
    <row r="143" ht="15.75" customHeight="1">
      <c r="A143" s="8" t="s">
        <v>424</v>
      </c>
      <c r="B143" s="8" t="s">
        <v>1423</v>
      </c>
      <c r="C143" s="8" t="s">
        <v>482</v>
      </c>
      <c r="D143" s="8" t="s">
        <v>429</v>
      </c>
      <c r="E143" s="8" t="s">
        <v>430</v>
      </c>
      <c r="F143" s="8" t="s">
        <v>78</v>
      </c>
      <c r="G143" s="8" t="s">
        <v>1556</v>
      </c>
      <c r="H143" s="8" t="s">
        <v>1604</v>
      </c>
      <c r="I143" s="8" t="s">
        <v>497</v>
      </c>
      <c r="J143" s="8"/>
      <c r="K143" s="8"/>
      <c r="L143" s="8"/>
      <c r="M143" s="8" t="s">
        <v>30</v>
      </c>
      <c r="N143" s="8"/>
    </row>
    <row r="144" ht="15.75" customHeight="1">
      <c r="A144" s="8" t="s">
        <v>424</v>
      </c>
      <c r="B144" s="8" t="s">
        <v>1607</v>
      </c>
      <c r="C144" s="8" t="s">
        <v>457</v>
      </c>
      <c r="D144" s="8" t="s">
        <v>429</v>
      </c>
      <c r="E144" s="8" t="s">
        <v>438</v>
      </c>
      <c r="F144" s="8" t="s">
        <v>1455</v>
      </c>
      <c r="G144" s="8"/>
      <c r="H144" s="8" t="s">
        <v>1608</v>
      </c>
      <c r="I144" s="8" t="s">
        <v>1579</v>
      </c>
      <c r="J144" s="8"/>
      <c r="K144" s="8"/>
      <c r="L144" s="8"/>
      <c r="M144" s="8" t="s">
        <v>30</v>
      </c>
      <c r="N144" s="8"/>
    </row>
    <row r="145" ht="15.75" customHeight="1">
      <c r="A145" s="8" t="s">
        <v>424</v>
      </c>
      <c r="B145" s="8" t="s">
        <v>1427</v>
      </c>
      <c r="C145" s="8" t="s">
        <v>469</v>
      </c>
      <c r="D145" s="8" t="s">
        <v>429</v>
      </c>
      <c r="E145" s="8" t="s">
        <v>438</v>
      </c>
      <c r="F145" s="8" t="s">
        <v>1377</v>
      </c>
      <c r="G145" s="8" t="s">
        <v>1587</v>
      </c>
      <c r="H145" s="8" t="s">
        <v>1609</v>
      </c>
      <c r="I145" s="8" t="s">
        <v>1303</v>
      </c>
      <c r="J145" s="8" t="s">
        <v>1430</v>
      </c>
      <c r="K145" s="8"/>
      <c r="L145" s="8"/>
      <c r="M145" s="8" t="s">
        <v>30</v>
      </c>
      <c r="N145" s="8"/>
    </row>
    <row r="146" ht="15.75" customHeight="1">
      <c r="A146" s="8" t="s">
        <v>424</v>
      </c>
      <c r="B146" s="8" t="s">
        <v>1545</v>
      </c>
      <c r="C146" s="8" t="s">
        <v>469</v>
      </c>
      <c r="D146" s="8" t="s">
        <v>429</v>
      </c>
      <c r="E146" s="8" t="s">
        <v>430</v>
      </c>
      <c r="F146" s="8" t="s">
        <v>244</v>
      </c>
      <c r="G146" s="8" t="s">
        <v>1611</v>
      </c>
      <c r="H146" s="8" t="s">
        <v>1452</v>
      </c>
      <c r="I146" s="8" t="s">
        <v>1303</v>
      </c>
      <c r="J146" s="8"/>
      <c r="K146" s="8"/>
      <c r="L146" s="8"/>
      <c r="M146" s="8" t="s">
        <v>30</v>
      </c>
      <c r="N146" s="8"/>
    </row>
    <row r="147" ht="15.75" customHeight="1">
      <c r="A147" s="8" t="s">
        <v>424</v>
      </c>
      <c r="B147" s="8" t="s">
        <v>1431</v>
      </c>
      <c r="C147" s="8" t="s">
        <v>469</v>
      </c>
      <c r="D147" s="8" t="s">
        <v>429</v>
      </c>
      <c r="E147" s="8" t="s">
        <v>438</v>
      </c>
      <c r="F147" s="8" t="s">
        <v>1377</v>
      </c>
      <c r="G147" s="8"/>
      <c r="H147" s="8" t="s">
        <v>1614</v>
      </c>
      <c r="I147" s="8" t="s">
        <v>314</v>
      </c>
      <c r="J147" s="8" t="s">
        <v>1434</v>
      </c>
      <c r="K147" s="8"/>
      <c r="L147" s="8"/>
      <c r="M147" s="8" t="s">
        <v>30</v>
      </c>
      <c r="N147" s="8"/>
    </row>
    <row r="148" ht="15.75" customHeight="1">
      <c r="A148" s="8" t="s">
        <v>424</v>
      </c>
      <c r="B148" s="8" t="s">
        <v>1615</v>
      </c>
      <c r="C148" s="8" t="s">
        <v>501</v>
      </c>
      <c r="D148" s="8" t="s">
        <v>429</v>
      </c>
      <c r="E148" s="8" t="s">
        <v>438</v>
      </c>
      <c r="F148" s="8" t="s">
        <v>1416</v>
      </c>
      <c r="G148" s="8" t="s">
        <v>1616</v>
      </c>
      <c r="H148" s="8" t="s">
        <v>1617</v>
      </c>
      <c r="I148" s="8" t="s">
        <v>1303</v>
      </c>
      <c r="J148" s="8"/>
      <c r="K148" s="8"/>
      <c r="L148" s="8"/>
      <c r="M148" s="8" t="s">
        <v>30</v>
      </c>
      <c r="N148" s="8"/>
    </row>
    <row r="149" ht="15.75" customHeight="1"/>
    <row r="150" ht="15.75" customHeight="1">
      <c r="A150" s="6" t="s">
        <v>515</v>
      </c>
    </row>
    <row r="151" ht="15.75" customHeight="1">
      <c r="A151" s="6" t="s">
        <v>1449</v>
      </c>
    </row>
    <row r="152" ht="15.75" customHeight="1">
      <c r="A152" s="6" t="s">
        <v>4</v>
      </c>
      <c r="B152" s="6" t="s">
        <v>6</v>
      </c>
      <c r="C152" s="6" t="s">
        <v>7</v>
      </c>
      <c r="D152" s="6" t="s">
        <v>8</v>
      </c>
      <c r="E152" s="6" t="s">
        <v>9</v>
      </c>
      <c r="F152" s="6" t="s">
        <v>10</v>
      </c>
      <c r="G152" s="6" t="s">
        <v>11</v>
      </c>
      <c r="H152" s="6" t="s">
        <v>12</v>
      </c>
      <c r="I152" s="6" t="s">
        <v>13</v>
      </c>
      <c r="J152" s="6" t="s">
        <v>14</v>
      </c>
      <c r="K152" s="6" t="s">
        <v>15</v>
      </c>
      <c r="L152" s="6" t="s">
        <v>16</v>
      </c>
      <c r="M152" s="6" t="s">
        <v>17</v>
      </c>
      <c r="N152" s="6" t="s">
        <v>18</v>
      </c>
    </row>
    <row r="153" ht="15.75" customHeight="1">
      <c r="A153" s="8" t="s">
        <v>521</v>
      </c>
      <c r="B153" s="8" t="s">
        <v>1618</v>
      </c>
      <c r="C153" s="8" t="s">
        <v>501</v>
      </c>
      <c r="D153" s="8" t="s">
        <v>429</v>
      </c>
      <c r="E153" s="8" t="s">
        <v>1113</v>
      </c>
      <c r="F153" s="8" t="s">
        <v>1350</v>
      </c>
      <c r="G153" s="8"/>
      <c r="H153" s="8" t="s">
        <v>1619</v>
      </c>
      <c r="I153" s="8" t="s">
        <v>561</v>
      </c>
      <c r="J153" s="8"/>
      <c r="K153" s="8"/>
      <c r="L153" s="8"/>
      <c r="M153" s="8" t="s">
        <v>30</v>
      </c>
      <c r="N153" s="8"/>
    </row>
    <row r="154" ht="15.75" customHeight="1">
      <c r="A154" s="8" t="s">
        <v>521</v>
      </c>
      <c r="B154" s="8" t="s">
        <v>1620</v>
      </c>
      <c r="C154" s="8" t="s">
        <v>576</v>
      </c>
      <c r="D154" s="8" t="s">
        <v>1621</v>
      </c>
      <c r="E154" s="8" t="s">
        <v>800</v>
      </c>
      <c r="F154" s="8" t="s">
        <v>1350</v>
      </c>
      <c r="G154" s="8"/>
      <c r="H154" s="8" t="s">
        <v>1623</v>
      </c>
      <c r="I154" s="8" t="s">
        <v>1322</v>
      </c>
      <c r="J154" s="8"/>
      <c r="K154" s="8"/>
      <c r="L154" s="8"/>
      <c r="M154" s="8" t="s">
        <v>30</v>
      </c>
      <c r="N154" s="8"/>
    </row>
    <row r="155" ht="15.75" customHeight="1">
      <c r="A155" s="6" t="s">
        <v>521</v>
      </c>
      <c r="B155" s="6" t="s">
        <v>1624</v>
      </c>
      <c r="C155" s="6" t="s">
        <v>588</v>
      </c>
      <c r="D155" s="6" t="s">
        <v>553</v>
      </c>
      <c r="E155" s="6" t="s">
        <v>812</v>
      </c>
      <c r="F155" s="6" t="s">
        <v>1321</v>
      </c>
      <c r="G155" s="6" t="s">
        <v>1556</v>
      </c>
      <c r="H155" s="6" t="s">
        <v>1625</v>
      </c>
      <c r="M155" s="6" t="s">
        <v>561</v>
      </c>
    </row>
    <row r="156" ht="15.75" customHeight="1">
      <c r="A156" s="8" t="s">
        <v>521</v>
      </c>
      <c r="B156" s="8" t="s">
        <v>1626</v>
      </c>
      <c r="C156" s="8" t="s">
        <v>428</v>
      </c>
      <c r="D156" s="8" t="s">
        <v>1524</v>
      </c>
      <c r="E156" s="8" t="s">
        <v>1113</v>
      </c>
      <c r="F156" s="8" t="s">
        <v>1416</v>
      </c>
      <c r="G156" s="8"/>
      <c r="H156" s="8" t="s">
        <v>1525</v>
      </c>
      <c r="I156" s="8" t="s">
        <v>1467</v>
      </c>
      <c r="J156" s="8"/>
      <c r="K156" s="8"/>
      <c r="L156" s="8"/>
      <c r="M156" s="8" t="s">
        <v>30</v>
      </c>
      <c r="N156" s="8"/>
    </row>
    <row r="157" ht="15.75" customHeight="1">
      <c r="A157" s="8" t="s">
        <v>521</v>
      </c>
      <c r="B157" s="8" t="s">
        <v>1627</v>
      </c>
      <c r="C157" s="8" t="s">
        <v>616</v>
      </c>
      <c r="D157" s="8" t="s">
        <v>1628</v>
      </c>
      <c r="E157" s="8" t="s">
        <v>1113</v>
      </c>
      <c r="F157" s="8" t="s">
        <v>1377</v>
      </c>
      <c r="G157" s="8"/>
      <c r="H157" s="8" t="s">
        <v>1629</v>
      </c>
      <c r="I157" s="8" t="s">
        <v>314</v>
      </c>
      <c r="J157" s="8"/>
      <c r="K157" s="8"/>
      <c r="L157" s="8"/>
      <c r="M157" s="8" t="s">
        <v>30</v>
      </c>
      <c r="N157" s="8"/>
    </row>
    <row r="158" ht="15.75" customHeight="1">
      <c r="A158" s="8" t="s">
        <v>521</v>
      </c>
      <c r="B158" s="8" t="s">
        <v>1371</v>
      </c>
      <c r="C158" s="8" t="s">
        <v>565</v>
      </c>
      <c r="D158" s="8" t="s">
        <v>1630</v>
      </c>
      <c r="E158" s="8" t="s">
        <v>1113</v>
      </c>
      <c r="F158" s="8" t="s">
        <v>1377</v>
      </c>
      <c r="G158" s="8"/>
      <c r="H158" s="8" t="s">
        <v>1631</v>
      </c>
      <c r="I158" s="8" t="s">
        <v>1303</v>
      </c>
      <c r="J158" s="8"/>
      <c r="K158" s="8"/>
      <c r="L158" s="8"/>
      <c r="M158" s="8" t="s">
        <v>30</v>
      </c>
      <c r="N158" s="8"/>
    </row>
    <row r="159" ht="15.75" customHeight="1">
      <c r="A159" s="8" t="s">
        <v>521</v>
      </c>
      <c r="B159" s="8" t="s">
        <v>1374</v>
      </c>
      <c r="C159" s="8" t="s">
        <v>639</v>
      </c>
      <c r="D159" s="8" t="s">
        <v>125</v>
      </c>
      <c r="E159" s="8" t="s">
        <v>812</v>
      </c>
      <c r="F159" s="8" t="s">
        <v>1321</v>
      </c>
      <c r="G159" s="8" t="s">
        <v>1560</v>
      </c>
      <c r="H159" s="8" t="s">
        <v>130</v>
      </c>
      <c r="I159" s="8" t="s">
        <v>1322</v>
      </c>
      <c r="J159" s="8"/>
      <c r="K159" s="8"/>
      <c r="L159" s="8"/>
      <c r="M159" s="8" t="s">
        <v>30</v>
      </c>
      <c r="N159" s="8"/>
    </row>
    <row r="160" ht="15.75" customHeight="1">
      <c r="A160" s="8" t="s">
        <v>521</v>
      </c>
      <c r="B160" s="8" t="s">
        <v>1518</v>
      </c>
      <c r="C160" s="8" t="s">
        <v>428</v>
      </c>
      <c r="D160" s="8" t="s">
        <v>1632</v>
      </c>
      <c r="E160" s="8" t="s">
        <v>1113</v>
      </c>
      <c r="F160" s="8" t="s">
        <v>1350</v>
      </c>
      <c r="G160" s="8"/>
      <c r="H160" s="8" t="s">
        <v>1633</v>
      </c>
      <c r="I160" s="8" t="s">
        <v>1521</v>
      </c>
      <c r="J160" s="8"/>
      <c r="K160" s="8"/>
      <c r="L160" s="8"/>
      <c r="M160" s="8" t="s">
        <v>30</v>
      </c>
      <c r="N160" s="8"/>
    </row>
    <row r="161" ht="15.75" customHeight="1">
      <c r="A161" s="8" t="s">
        <v>521</v>
      </c>
      <c r="B161" s="8" t="s">
        <v>1634</v>
      </c>
      <c r="C161" s="8" t="s">
        <v>576</v>
      </c>
      <c r="D161" s="8" t="s">
        <v>429</v>
      </c>
      <c r="E161" s="8" t="s">
        <v>812</v>
      </c>
      <c r="F161" s="8" t="s">
        <v>1316</v>
      </c>
      <c r="G161" s="8" t="s">
        <v>1583</v>
      </c>
      <c r="H161" s="8" t="s">
        <v>88</v>
      </c>
      <c r="I161" s="8" t="s">
        <v>1635</v>
      </c>
      <c r="J161" s="8"/>
      <c r="K161" s="8"/>
      <c r="L161" s="8"/>
      <c r="M161" s="8" t="s">
        <v>373</v>
      </c>
      <c r="N161" s="8"/>
    </row>
    <row r="162" ht="15.75" customHeight="1">
      <c r="A162" s="8" t="s">
        <v>521</v>
      </c>
      <c r="B162" s="8" t="s">
        <v>1634</v>
      </c>
      <c r="C162" s="8" t="s">
        <v>469</v>
      </c>
      <c r="D162" s="8" t="s">
        <v>429</v>
      </c>
      <c r="E162" s="8" t="s">
        <v>930</v>
      </c>
      <c r="F162" s="8" t="s">
        <v>244</v>
      </c>
      <c r="G162" s="8" t="s">
        <v>1611</v>
      </c>
      <c r="H162" s="8" t="s">
        <v>1452</v>
      </c>
      <c r="I162" s="8" t="s">
        <v>1635</v>
      </c>
      <c r="J162" s="8"/>
      <c r="K162" s="8"/>
      <c r="L162" s="8"/>
      <c r="M162" s="8" t="s">
        <v>30</v>
      </c>
      <c r="N162" s="8"/>
    </row>
    <row r="163" ht="15.75" customHeight="1">
      <c r="A163" s="6" t="s">
        <v>521</v>
      </c>
      <c r="B163" s="6" t="s">
        <v>1636</v>
      </c>
      <c r="C163" s="6" t="s">
        <v>445</v>
      </c>
      <c r="D163" s="6" t="s">
        <v>553</v>
      </c>
      <c r="E163" s="6" t="s">
        <v>1113</v>
      </c>
      <c r="F163" s="6" t="s">
        <v>1455</v>
      </c>
      <c r="G163" s="6" t="s">
        <v>1616</v>
      </c>
      <c r="H163" s="6" t="s">
        <v>1637</v>
      </c>
      <c r="I163" s="6" t="s">
        <v>1303</v>
      </c>
      <c r="M163" s="6" t="s">
        <v>561</v>
      </c>
    </row>
    <row r="164" ht="15.75" customHeight="1">
      <c r="A164" s="8" t="s">
        <v>521</v>
      </c>
      <c r="B164" s="8" t="s">
        <v>1334</v>
      </c>
      <c r="C164" s="8" t="s">
        <v>616</v>
      </c>
      <c r="D164" s="8" t="s">
        <v>1638</v>
      </c>
      <c r="E164" s="8" t="s">
        <v>1113</v>
      </c>
      <c r="F164" s="8" t="s">
        <v>1350</v>
      </c>
      <c r="G164" s="8"/>
      <c r="H164" s="8" t="s">
        <v>1639</v>
      </c>
      <c r="I164" s="8" t="s">
        <v>497</v>
      </c>
      <c r="J164" s="8"/>
      <c r="K164" s="8"/>
      <c r="L164" s="8"/>
      <c r="M164" s="8" t="s">
        <v>30</v>
      </c>
      <c r="N164" s="8"/>
    </row>
    <row r="165" ht="15.75" customHeight="1">
      <c r="A165" s="8" t="s">
        <v>521</v>
      </c>
      <c r="B165" s="8" t="s">
        <v>1529</v>
      </c>
      <c r="C165" s="8" t="s">
        <v>501</v>
      </c>
      <c r="D165" s="8" t="s">
        <v>114</v>
      </c>
      <c r="E165" s="8" t="s">
        <v>800</v>
      </c>
      <c r="F165" s="8" t="s">
        <v>1321</v>
      </c>
      <c r="G165" s="8" t="s">
        <v>1556</v>
      </c>
      <c r="H165" s="8" t="s">
        <v>117</v>
      </c>
      <c r="I165" s="8" t="s">
        <v>1530</v>
      </c>
      <c r="J165" s="8"/>
      <c r="K165" s="8"/>
      <c r="L165" s="8"/>
      <c r="M165" s="8" t="s">
        <v>30</v>
      </c>
      <c r="N165" s="8"/>
    </row>
    <row r="166" ht="15.75" customHeight="1">
      <c r="A166" s="8" t="s">
        <v>521</v>
      </c>
      <c r="B166" s="8" t="s">
        <v>1482</v>
      </c>
      <c r="C166" s="8" t="s">
        <v>428</v>
      </c>
      <c r="D166" s="8" t="s">
        <v>1640</v>
      </c>
      <c r="E166" s="8" t="s">
        <v>1113</v>
      </c>
      <c r="F166" s="8" t="s">
        <v>1416</v>
      </c>
      <c r="G166" s="8"/>
      <c r="H166" s="8" t="s">
        <v>1641</v>
      </c>
      <c r="I166" s="8" t="s">
        <v>1303</v>
      </c>
      <c r="J166" s="8"/>
      <c r="K166" s="8"/>
      <c r="L166" s="8"/>
      <c r="M166" s="8" t="s">
        <v>30</v>
      </c>
      <c r="N166" s="8"/>
    </row>
    <row r="167" ht="15.75" customHeight="1">
      <c r="A167" s="8" t="s">
        <v>521</v>
      </c>
      <c r="B167" s="8" t="s">
        <v>1490</v>
      </c>
      <c r="C167" s="8" t="s">
        <v>457</v>
      </c>
      <c r="D167" s="8" t="s">
        <v>84</v>
      </c>
      <c r="E167" s="8" t="s">
        <v>812</v>
      </c>
      <c r="F167" s="8" t="s">
        <v>1321</v>
      </c>
      <c r="G167" s="8" t="s">
        <v>1556</v>
      </c>
      <c r="H167" s="8" t="s">
        <v>1402</v>
      </c>
      <c r="I167" s="8" t="s">
        <v>1303</v>
      </c>
      <c r="J167" s="8"/>
      <c r="K167" s="8"/>
      <c r="L167" s="8"/>
      <c r="M167" s="8" t="s">
        <v>30</v>
      </c>
      <c r="N167" s="8"/>
    </row>
    <row r="168" ht="15.75" customHeight="1">
      <c r="A168" s="8" t="s">
        <v>521</v>
      </c>
      <c r="B168" s="8" t="s">
        <v>1491</v>
      </c>
      <c r="C168" s="8" t="s">
        <v>565</v>
      </c>
      <c r="D168" s="8" t="s">
        <v>429</v>
      </c>
      <c r="E168" s="8" t="s">
        <v>1113</v>
      </c>
      <c r="F168" s="8" t="s">
        <v>1455</v>
      </c>
      <c r="G168" s="8"/>
      <c r="H168" s="8" t="s">
        <v>1642</v>
      </c>
      <c r="I168" s="8" t="s">
        <v>314</v>
      </c>
      <c r="J168" s="8"/>
      <c r="K168" s="8"/>
      <c r="L168" s="8"/>
      <c r="M168" s="8" t="s">
        <v>30</v>
      </c>
      <c r="N168" s="8"/>
    </row>
    <row r="169" ht="15.75" customHeight="1">
      <c r="A169" s="8" t="s">
        <v>521</v>
      </c>
      <c r="B169" s="8" t="s">
        <v>1643</v>
      </c>
      <c r="C169" s="8" t="s">
        <v>445</v>
      </c>
      <c r="D169" s="8" t="s">
        <v>1644</v>
      </c>
      <c r="E169" s="8" t="s">
        <v>1113</v>
      </c>
      <c r="F169" s="8" t="s">
        <v>1350</v>
      </c>
      <c r="G169" s="8"/>
      <c r="H169" s="8" t="s">
        <v>1645</v>
      </c>
      <c r="I169" s="8" t="s">
        <v>497</v>
      </c>
      <c r="J169" s="8"/>
      <c r="K169" s="8"/>
      <c r="L169" s="8"/>
      <c r="M169" s="8" t="s">
        <v>30</v>
      </c>
      <c r="N169" s="8"/>
    </row>
    <row r="170" ht="15.75" customHeight="1">
      <c r="A170" s="8" t="s">
        <v>521</v>
      </c>
      <c r="B170" s="8" t="s">
        <v>1646</v>
      </c>
      <c r="C170" s="8" t="s">
        <v>435</v>
      </c>
      <c r="D170" s="8" t="s">
        <v>429</v>
      </c>
      <c r="E170" s="8" t="s">
        <v>812</v>
      </c>
      <c r="F170" s="8" t="s">
        <v>1321</v>
      </c>
      <c r="G170" s="8" t="s">
        <v>1560</v>
      </c>
      <c r="H170" s="8" t="s">
        <v>1373</v>
      </c>
      <c r="I170" s="8"/>
      <c r="J170" s="8"/>
      <c r="K170" s="8"/>
      <c r="L170" s="8"/>
      <c r="M170" s="8" t="s">
        <v>30</v>
      </c>
      <c r="N170" s="8"/>
    </row>
    <row r="171" ht="15.75" customHeight="1">
      <c r="A171" s="6" t="s">
        <v>521</v>
      </c>
      <c r="B171" s="6" t="s">
        <v>1647</v>
      </c>
      <c r="C171" s="6" t="s">
        <v>445</v>
      </c>
      <c r="D171" s="6" t="s">
        <v>553</v>
      </c>
      <c r="E171" s="6" t="s">
        <v>1113</v>
      </c>
      <c r="F171" s="6" t="s">
        <v>1350</v>
      </c>
      <c r="H171" s="6" t="s">
        <v>1648</v>
      </c>
      <c r="I171" s="6" t="s">
        <v>1303</v>
      </c>
      <c r="M171" s="6" t="s">
        <v>561</v>
      </c>
    </row>
    <row r="172" ht="15.75" customHeight="1"/>
    <row r="173" ht="15.75" customHeight="1">
      <c r="A173" s="6" t="s">
        <v>515</v>
      </c>
    </row>
    <row r="174" ht="15.75" customHeight="1">
      <c r="A174" s="6" t="s">
        <v>1156</v>
      </c>
    </row>
    <row r="175" ht="15.75" customHeight="1">
      <c r="A175" s="6" t="s">
        <v>4</v>
      </c>
      <c r="B175" s="6" t="s">
        <v>6</v>
      </c>
      <c r="C175" s="6" t="s">
        <v>7</v>
      </c>
      <c r="D175" s="6" t="s">
        <v>8</v>
      </c>
      <c r="E175" s="6" t="s">
        <v>9</v>
      </c>
      <c r="F175" s="6" t="s">
        <v>10</v>
      </c>
      <c r="G175" s="6" t="s">
        <v>11</v>
      </c>
      <c r="H175" s="6" t="s">
        <v>12</v>
      </c>
      <c r="I175" s="6" t="s">
        <v>13</v>
      </c>
      <c r="J175" s="6" t="s">
        <v>14</v>
      </c>
      <c r="K175" s="6" t="s">
        <v>15</v>
      </c>
      <c r="L175" s="6" t="s">
        <v>16</v>
      </c>
      <c r="M175" s="6" t="s">
        <v>17</v>
      </c>
      <c r="N175" s="6" t="s">
        <v>18</v>
      </c>
    </row>
    <row r="176" ht="15.75" customHeight="1">
      <c r="A176" s="8" t="s">
        <v>521</v>
      </c>
      <c r="B176" s="8" t="s">
        <v>1539</v>
      </c>
      <c r="C176" s="8" t="s">
        <v>588</v>
      </c>
      <c r="D176" s="8" t="s">
        <v>429</v>
      </c>
      <c r="E176" s="8" t="s">
        <v>714</v>
      </c>
      <c r="F176" s="8" t="s">
        <v>1416</v>
      </c>
      <c r="G176" s="8" t="s">
        <v>1587</v>
      </c>
      <c r="H176" s="8" t="s">
        <v>1588</v>
      </c>
      <c r="I176" s="8" t="s">
        <v>1303</v>
      </c>
      <c r="J176" s="8"/>
      <c r="K176" s="8"/>
      <c r="L176" s="8"/>
      <c r="M176" s="8" t="s">
        <v>30</v>
      </c>
      <c r="N176" s="8"/>
    </row>
    <row r="177" ht="15.75" customHeight="1">
      <c r="A177" s="8" t="s">
        <v>521</v>
      </c>
      <c r="B177" s="8" t="s">
        <v>1498</v>
      </c>
      <c r="C177" s="8" t="s">
        <v>428</v>
      </c>
      <c r="D177" s="8" t="s">
        <v>429</v>
      </c>
      <c r="E177" s="8" t="s">
        <v>430</v>
      </c>
      <c r="F177" s="8" t="s">
        <v>1321</v>
      </c>
      <c r="G177" s="8" t="s">
        <v>1556</v>
      </c>
      <c r="H177" s="8" t="s">
        <v>306</v>
      </c>
      <c r="I177" s="8" t="s">
        <v>159</v>
      </c>
      <c r="J177" s="8"/>
      <c r="K177" s="8"/>
      <c r="L177" s="8"/>
      <c r="M177" s="8" t="s">
        <v>30</v>
      </c>
      <c r="N177" s="8"/>
    </row>
    <row r="178" ht="15.75" customHeight="1">
      <c r="A178" s="8" t="s">
        <v>521</v>
      </c>
      <c r="B178" s="8" t="s">
        <v>1649</v>
      </c>
      <c r="C178" s="8" t="s">
        <v>591</v>
      </c>
      <c r="D178" s="8" t="s">
        <v>429</v>
      </c>
      <c r="E178" s="8" t="s">
        <v>438</v>
      </c>
      <c r="F178" s="8" t="s">
        <v>1416</v>
      </c>
      <c r="G178" s="8"/>
      <c r="H178" s="8" t="s">
        <v>1195</v>
      </c>
      <c r="I178" s="8" t="s">
        <v>314</v>
      </c>
      <c r="J178" s="8" t="s">
        <v>1650</v>
      </c>
      <c r="K178" s="8"/>
      <c r="L178" s="8"/>
      <c r="M178" s="8" t="s">
        <v>30</v>
      </c>
      <c r="N178" s="8"/>
    </row>
    <row r="179" ht="15.75" customHeight="1">
      <c r="A179" s="8" t="s">
        <v>521</v>
      </c>
      <c r="B179" s="8" t="s">
        <v>1344</v>
      </c>
      <c r="C179" s="8" t="s">
        <v>616</v>
      </c>
      <c r="D179" s="8" t="s">
        <v>429</v>
      </c>
      <c r="E179" s="8" t="s">
        <v>430</v>
      </c>
      <c r="F179" s="8" t="s">
        <v>1316</v>
      </c>
      <c r="G179" s="8" t="s">
        <v>1583</v>
      </c>
      <c r="H179" s="8" t="s">
        <v>88</v>
      </c>
      <c r="I179" s="8" t="s">
        <v>1345</v>
      </c>
      <c r="J179" s="8"/>
      <c r="K179" s="8"/>
      <c r="L179" s="8"/>
      <c r="M179" s="8" t="s">
        <v>30</v>
      </c>
      <c r="N179" s="8"/>
    </row>
    <row r="180" ht="15.75" customHeight="1">
      <c r="A180" s="8" t="s">
        <v>521</v>
      </c>
      <c r="B180" s="8" t="s">
        <v>1651</v>
      </c>
      <c r="C180" s="8" t="s">
        <v>588</v>
      </c>
      <c r="D180" s="8" t="s">
        <v>429</v>
      </c>
      <c r="E180" s="8" t="s">
        <v>714</v>
      </c>
      <c r="F180" s="8" t="s">
        <v>1416</v>
      </c>
      <c r="G180" s="8" t="s">
        <v>1587</v>
      </c>
      <c r="H180" s="8" t="s">
        <v>1331</v>
      </c>
      <c r="I180" s="8"/>
      <c r="J180" s="8"/>
      <c r="K180" s="8"/>
      <c r="L180" s="8"/>
      <c r="M180" s="8" t="s">
        <v>30</v>
      </c>
      <c r="N180" s="8"/>
    </row>
    <row r="181" ht="15.75" customHeight="1"/>
    <row r="182" ht="15.75" customHeight="1">
      <c r="A182" s="6" t="s">
        <v>605</v>
      </c>
    </row>
    <row r="183" ht="15.75" customHeight="1">
      <c r="A183" s="6" t="s">
        <v>1554</v>
      </c>
    </row>
    <row r="184" ht="15.75" customHeight="1">
      <c r="A184" s="6" t="s">
        <v>4</v>
      </c>
      <c r="B184" s="6" t="s">
        <v>6</v>
      </c>
      <c r="C184" s="6" t="s">
        <v>7</v>
      </c>
      <c r="D184" s="6" t="s">
        <v>8</v>
      </c>
      <c r="E184" s="6" t="s">
        <v>9</v>
      </c>
      <c r="F184" s="6" t="s">
        <v>10</v>
      </c>
      <c r="G184" s="6" t="s">
        <v>11</v>
      </c>
      <c r="H184" s="6" t="s">
        <v>12</v>
      </c>
      <c r="I184" s="6" t="s">
        <v>13</v>
      </c>
      <c r="J184" s="6" t="s">
        <v>14</v>
      </c>
      <c r="K184" s="6" t="s">
        <v>15</v>
      </c>
      <c r="L184" s="6" t="s">
        <v>16</v>
      </c>
      <c r="M184" s="6" t="s">
        <v>17</v>
      </c>
      <c r="N184" s="6" t="s">
        <v>18</v>
      </c>
    </row>
    <row r="185" ht="15.75" customHeight="1">
      <c r="A185" s="6" t="s">
        <v>613</v>
      </c>
      <c r="B185" s="6" t="s">
        <v>1559</v>
      </c>
      <c r="C185" s="6" t="s">
        <v>428</v>
      </c>
      <c r="D185" s="6" t="s">
        <v>1543</v>
      </c>
      <c r="E185" s="6" t="s">
        <v>1113</v>
      </c>
      <c r="F185" s="6" t="s">
        <v>1416</v>
      </c>
      <c r="G185" s="6" t="s">
        <v>1392</v>
      </c>
      <c r="H185" s="6" t="s">
        <v>1544</v>
      </c>
      <c r="I185" s="6"/>
      <c r="J185" s="6"/>
      <c r="K185" s="6" t="s">
        <v>724</v>
      </c>
      <c r="L185" s="6" t="s">
        <v>304</v>
      </c>
      <c r="M185" s="6" t="s">
        <v>561</v>
      </c>
      <c r="N185" s="6"/>
    </row>
    <row r="186" ht="15.75" customHeight="1">
      <c r="A186" s="6" t="s">
        <v>613</v>
      </c>
      <c r="B186" s="6" t="s">
        <v>1561</v>
      </c>
      <c r="C186" s="6" t="s">
        <v>501</v>
      </c>
      <c r="D186" s="6" t="s">
        <v>1652</v>
      </c>
      <c r="E186" s="6" t="s">
        <v>812</v>
      </c>
      <c r="F186" s="6" t="s">
        <v>1321</v>
      </c>
      <c r="G186" s="6" t="s">
        <v>1364</v>
      </c>
      <c r="H186" s="6" t="s">
        <v>1314</v>
      </c>
      <c r="I186" s="6" t="s">
        <v>1303</v>
      </c>
      <c r="J186" s="6"/>
      <c r="K186" s="6"/>
      <c r="L186" s="6" t="s">
        <v>304</v>
      </c>
      <c r="M186" s="6" t="s">
        <v>561</v>
      </c>
      <c r="N186" s="6"/>
    </row>
    <row r="187" ht="15.75" customHeight="1">
      <c r="A187" s="6" t="s">
        <v>613</v>
      </c>
      <c r="B187" s="6" t="s">
        <v>1653</v>
      </c>
      <c r="C187" s="6" t="s">
        <v>482</v>
      </c>
      <c r="D187" s="6" t="s">
        <v>1654</v>
      </c>
      <c r="E187" s="6" t="s">
        <v>812</v>
      </c>
      <c r="F187" s="6" t="s">
        <v>1321</v>
      </c>
      <c r="G187" s="6" t="s">
        <v>1370</v>
      </c>
      <c r="H187" s="6" t="s">
        <v>1544</v>
      </c>
      <c r="I187" s="6" t="s">
        <v>1303</v>
      </c>
      <c r="J187" s="6"/>
      <c r="K187" s="6" t="s">
        <v>724</v>
      </c>
      <c r="L187" s="6" t="s">
        <v>304</v>
      </c>
      <c r="M187" s="6" t="s">
        <v>30</v>
      </c>
      <c r="N187" s="6"/>
    </row>
    <row r="188" ht="15.75" customHeight="1">
      <c r="A188" s="6" t="s">
        <v>613</v>
      </c>
      <c r="B188" s="6" t="s">
        <v>1655</v>
      </c>
      <c r="C188" s="6" t="s">
        <v>482</v>
      </c>
      <c r="D188" s="6" t="s">
        <v>1656</v>
      </c>
      <c r="E188" s="6" t="s">
        <v>1113</v>
      </c>
      <c r="F188" s="6" t="s">
        <v>1350</v>
      </c>
      <c r="G188" s="6" t="s">
        <v>1351</v>
      </c>
      <c r="H188" s="6" t="s">
        <v>1484</v>
      </c>
      <c r="I188" s="6"/>
      <c r="J188" s="6"/>
      <c r="K188" s="6"/>
      <c r="L188" s="6" t="s">
        <v>304</v>
      </c>
      <c r="M188" s="6" t="s">
        <v>30</v>
      </c>
      <c r="N188" s="6"/>
    </row>
    <row r="189" ht="15.75" customHeight="1">
      <c r="A189" s="6" t="s">
        <v>613</v>
      </c>
      <c r="B189" s="6" t="s">
        <v>1354</v>
      </c>
      <c r="C189" s="6" t="s">
        <v>501</v>
      </c>
      <c r="D189" s="6" t="s">
        <v>1657</v>
      </c>
      <c r="E189" s="6" t="s">
        <v>1113</v>
      </c>
      <c r="F189" s="6" t="s">
        <v>1350</v>
      </c>
      <c r="G189" s="6" t="s">
        <v>1356</v>
      </c>
      <c r="H189" s="6" t="s">
        <v>1658</v>
      </c>
      <c r="I189" s="6"/>
      <c r="J189" s="6"/>
      <c r="K189" s="6"/>
      <c r="L189" s="6" t="s">
        <v>304</v>
      </c>
      <c r="M189" s="6" t="s">
        <v>30</v>
      </c>
      <c r="N189" s="6"/>
    </row>
    <row r="190" ht="15.75" customHeight="1">
      <c r="A190" s="6" t="s">
        <v>613</v>
      </c>
      <c r="B190" s="6" t="s">
        <v>1359</v>
      </c>
      <c r="C190" s="6" t="s">
        <v>616</v>
      </c>
      <c r="D190" s="6" t="s">
        <v>1299</v>
      </c>
      <c r="E190" s="6" t="s">
        <v>1113</v>
      </c>
      <c r="F190" s="6" t="s">
        <v>1350</v>
      </c>
      <c r="G190" s="6" t="s">
        <v>1361</v>
      </c>
      <c r="H190" s="6" t="s">
        <v>1302</v>
      </c>
      <c r="I190" s="6" t="s">
        <v>1322</v>
      </c>
      <c r="J190" s="6"/>
      <c r="K190" s="6" t="s">
        <v>724</v>
      </c>
      <c r="L190" s="6" t="s">
        <v>304</v>
      </c>
      <c r="M190" s="6" t="s">
        <v>30</v>
      </c>
      <c r="N190" s="6"/>
    </row>
    <row r="191" ht="15.75" customHeight="1">
      <c r="A191" s="6" t="s">
        <v>613</v>
      </c>
      <c r="B191" s="6" t="s">
        <v>1363</v>
      </c>
      <c r="C191" s="6" t="s">
        <v>565</v>
      </c>
      <c r="D191" s="6" t="s">
        <v>63</v>
      </c>
      <c r="E191" s="6" t="s">
        <v>812</v>
      </c>
      <c r="F191" s="6" t="s">
        <v>1321</v>
      </c>
      <c r="G191" s="6" t="s">
        <v>1364</v>
      </c>
      <c r="H191" s="6" t="s">
        <v>66</v>
      </c>
      <c r="I191" s="6" t="s">
        <v>1303</v>
      </c>
      <c r="J191" s="6"/>
      <c r="K191" s="6"/>
      <c r="L191" s="6" t="s">
        <v>304</v>
      </c>
      <c r="M191" s="6" t="s">
        <v>30</v>
      </c>
      <c r="N191" s="6"/>
    </row>
    <row r="192" ht="15.75" customHeight="1">
      <c r="A192" s="6" t="s">
        <v>613</v>
      </c>
      <c r="B192" s="6" t="s">
        <v>1365</v>
      </c>
      <c r="C192" s="6" t="s">
        <v>576</v>
      </c>
      <c r="D192" s="6" t="s">
        <v>1659</v>
      </c>
      <c r="E192" s="6" t="s">
        <v>1113</v>
      </c>
      <c r="F192" s="6" t="s">
        <v>1350</v>
      </c>
      <c r="G192" s="6" t="s">
        <v>1356</v>
      </c>
      <c r="H192" s="6" t="s">
        <v>1660</v>
      </c>
      <c r="I192" s="6" t="s">
        <v>314</v>
      </c>
      <c r="J192" s="6"/>
      <c r="K192" s="6"/>
      <c r="L192" s="6" t="s">
        <v>304</v>
      </c>
      <c r="M192" s="6" t="s">
        <v>30</v>
      </c>
      <c r="N192" s="6"/>
    </row>
    <row r="193" ht="15.75" customHeight="1">
      <c r="A193" s="6" t="s">
        <v>613</v>
      </c>
      <c r="B193" s="6" t="s">
        <v>1471</v>
      </c>
      <c r="C193" s="6" t="s">
        <v>616</v>
      </c>
      <c r="D193" s="6" t="s">
        <v>353</v>
      </c>
      <c r="E193" s="6" t="s">
        <v>712</v>
      </c>
      <c r="F193" s="6" t="s">
        <v>1321</v>
      </c>
      <c r="G193" s="6" t="s">
        <v>1661</v>
      </c>
      <c r="H193" s="6" t="s">
        <v>88</v>
      </c>
      <c r="I193" s="6" t="s">
        <v>1474</v>
      </c>
      <c r="J193" s="6"/>
      <c r="K193" s="6" t="s">
        <v>833</v>
      </c>
      <c r="L193" s="6" t="s">
        <v>304</v>
      </c>
      <c r="M193" s="6" t="s">
        <v>30</v>
      </c>
      <c r="N193" s="6"/>
    </row>
    <row r="194" ht="15.75" customHeight="1">
      <c r="A194" s="6" t="s">
        <v>613</v>
      </c>
      <c r="B194" s="6" t="s">
        <v>1371</v>
      </c>
      <c r="C194" s="6" t="s">
        <v>539</v>
      </c>
      <c r="D194" s="6" t="s">
        <v>1662</v>
      </c>
      <c r="E194" s="6" t="s">
        <v>812</v>
      </c>
      <c r="F194" s="6" t="s">
        <v>1321</v>
      </c>
      <c r="G194" s="6" t="s">
        <v>1364</v>
      </c>
      <c r="H194" s="6" t="s">
        <v>1663</v>
      </c>
      <c r="I194" s="6" t="s">
        <v>1303</v>
      </c>
      <c r="J194" s="6"/>
      <c r="K194" s="6" t="s">
        <v>638</v>
      </c>
      <c r="L194" s="6" t="s">
        <v>304</v>
      </c>
      <c r="M194" s="6" t="s">
        <v>30</v>
      </c>
      <c r="N194" s="6"/>
    </row>
    <row r="195" ht="15.75" customHeight="1">
      <c r="A195" s="6" t="s">
        <v>613</v>
      </c>
      <c r="B195" s="6" t="s">
        <v>1369</v>
      </c>
      <c r="C195" s="6" t="s">
        <v>457</v>
      </c>
      <c r="D195" s="6" t="s">
        <v>187</v>
      </c>
      <c r="E195" s="6" t="s">
        <v>812</v>
      </c>
      <c r="F195" s="6" t="s">
        <v>1321</v>
      </c>
      <c r="G195" s="6"/>
      <c r="H195" s="6" t="s">
        <v>55</v>
      </c>
      <c r="I195" s="6" t="s">
        <v>1303</v>
      </c>
      <c r="J195" s="6"/>
      <c r="K195" s="6"/>
      <c r="L195" s="6" t="s">
        <v>304</v>
      </c>
      <c r="M195" s="6" t="s">
        <v>30</v>
      </c>
      <c r="N195" s="6"/>
    </row>
    <row r="196" ht="15.75" customHeight="1">
      <c r="A196" s="6" t="s">
        <v>613</v>
      </c>
      <c r="B196" s="6" t="s">
        <v>1374</v>
      </c>
      <c r="C196" s="6" t="s">
        <v>591</v>
      </c>
      <c r="D196" s="6" t="s">
        <v>821</v>
      </c>
      <c r="E196" s="6" t="s">
        <v>812</v>
      </c>
      <c r="F196" s="6" t="s">
        <v>1321</v>
      </c>
      <c r="G196" s="6" t="s">
        <v>1364</v>
      </c>
      <c r="H196" s="6" t="s">
        <v>55</v>
      </c>
      <c r="I196" s="6" t="s">
        <v>1322</v>
      </c>
      <c r="J196" s="6"/>
      <c r="K196" s="6"/>
      <c r="L196" s="6" t="s">
        <v>304</v>
      </c>
      <c r="M196" s="6" t="s">
        <v>30</v>
      </c>
      <c r="N196" s="6"/>
    </row>
    <row r="197" ht="15.75" customHeight="1">
      <c r="A197" s="6" t="s">
        <v>613</v>
      </c>
      <c r="B197" s="6" t="s">
        <v>1375</v>
      </c>
      <c r="C197" s="6" t="s">
        <v>588</v>
      </c>
      <c r="D197" s="6" t="s">
        <v>731</v>
      </c>
      <c r="E197" s="6" t="s">
        <v>1113</v>
      </c>
      <c r="F197" s="6" t="s">
        <v>1321</v>
      </c>
      <c r="G197" s="6" t="s">
        <v>1364</v>
      </c>
      <c r="H197" s="6" t="s">
        <v>38</v>
      </c>
      <c r="I197" s="6" t="s">
        <v>1303</v>
      </c>
      <c r="J197" s="6"/>
      <c r="K197" s="6" t="s">
        <v>638</v>
      </c>
      <c r="L197" s="6" t="s">
        <v>304</v>
      </c>
      <c r="M197" s="6" t="s">
        <v>30</v>
      </c>
      <c r="N197" s="6"/>
    </row>
    <row r="198" ht="15.75" customHeight="1">
      <c r="A198" s="6" t="s">
        <v>613</v>
      </c>
      <c r="B198" s="6" t="s">
        <v>1376</v>
      </c>
      <c r="C198" s="6" t="s">
        <v>469</v>
      </c>
      <c r="D198" s="6" t="s">
        <v>1664</v>
      </c>
      <c r="E198" s="6" t="s">
        <v>1113</v>
      </c>
      <c r="F198" s="6" t="s">
        <v>1377</v>
      </c>
      <c r="G198" s="6" t="s">
        <v>1378</v>
      </c>
      <c r="H198" s="6" t="s">
        <v>1337</v>
      </c>
      <c r="I198" s="6"/>
      <c r="J198" s="6"/>
      <c r="K198" s="6"/>
      <c r="L198" s="6" t="s">
        <v>304</v>
      </c>
      <c r="M198" s="6" t="s">
        <v>30</v>
      </c>
      <c r="N198" s="6"/>
    </row>
    <row r="199" ht="15.75" customHeight="1">
      <c r="A199" s="6" t="s">
        <v>613</v>
      </c>
      <c r="B199" s="6" t="s">
        <v>1665</v>
      </c>
      <c r="C199" s="6" t="s">
        <v>482</v>
      </c>
      <c r="D199" s="6" t="s">
        <v>1666</v>
      </c>
      <c r="E199" s="6" t="s">
        <v>1113</v>
      </c>
      <c r="F199" s="6" t="s">
        <v>1377</v>
      </c>
      <c r="G199" s="6" t="s">
        <v>1378</v>
      </c>
      <c r="H199" s="6" t="s">
        <v>1667</v>
      </c>
      <c r="I199" s="6" t="s">
        <v>1303</v>
      </c>
      <c r="J199" s="6"/>
      <c r="K199" s="6"/>
      <c r="L199" s="6" t="s">
        <v>304</v>
      </c>
      <c r="M199" s="6" t="s">
        <v>561</v>
      </c>
      <c r="N199" s="6"/>
    </row>
    <row r="200" ht="15.75" customHeight="1">
      <c r="A200" s="6" t="s">
        <v>613</v>
      </c>
      <c r="B200" s="6" t="s">
        <v>1383</v>
      </c>
      <c r="C200" s="6" t="s">
        <v>642</v>
      </c>
      <c r="D200" s="6" t="s">
        <v>1391</v>
      </c>
      <c r="E200" s="6" t="s">
        <v>930</v>
      </c>
      <c r="F200" s="6" t="s">
        <v>244</v>
      </c>
      <c r="G200" s="6" t="s">
        <v>1385</v>
      </c>
      <c r="H200" s="6" t="s">
        <v>1331</v>
      </c>
      <c r="I200" s="6" t="s">
        <v>497</v>
      </c>
      <c r="J200" s="6"/>
      <c r="K200" s="6" t="s">
        <v>638</v>
      </c>
      <c r="L200" s="6" t="s">
        <v>304</v>
      </c>
      <c r="M200" s="6" t="s">
        <v>30</v>
      </c>
      <c r="N200" s="6"/>
    </row>
    <row r="201" ht="15.75" customHeight="1">
      <c r="A201" s="6" t="s">
        <v>613</v>
      </c>
      <c r="B201" s="6" t="s">
        <v>1529</v>
      </c>
      <c r="C201" s="6" t="s">
        <v>596</v>
      </c>
      <c r="D201" s="6" t="s">
        <v>1382</v>
      </c>
      <c r="E201" s="6" t="s">
        <v>812</v>
      </c>
      <c r="F201" s="6" t="s">
        <v>1321</v>
      </c>
      <c r="G201" s="6"/>
      <c r="H201" s="6" t="s">
        <v>554</v>
      </c>
      <c r="I201" s="6" t="s">
        <v>1530</v>
      </c>
      <c r="J201" s="6"/>
      <c r="K201" s="6" t="s">
        <v>638</v>
      </c>
      <c r="L201" s="6" t="s">
        <v>304</v>
      </c>
      <c r="M201" s="6" t="s">
        <v>30</v>
      </c>
      <c r="N201" s="6"/>
    </row>
    <row r="202" ht="15.75" customHeight="1">
      <c r="A202" s="6" t="s">
        <v>613</v>
      </c>
      <c r="B202" s="6" t="s">
        <v>1668</v>
      </c>
      <c r="C202" s="6" t="s">
        <v>482</v>
      </c>
      <c r="D202" s="6" t="s">
        <v>1669</v>
      </c>
      <c r="E202" s="6" t="s">
        <v>1113</v>
      </c>
      <c r="F202" s="6" t="s">
        <v>1377</v>
      </c>
      <c r="G202" s="6" t="s">
        <v>1378</v>
      </c>
      <c r="H202" s="6" t="s">
        <v>1670</v>
      </c>
      <c r="I202" s="6" t="s">
        <v>1303</v>
      </c>
      <c r="J202" s="6"/>
      <c r="K202" s="6"/>
      <c r="L202" s="6" t="s">
        <v>304</v>
      </c>
      <c r="M202" s="6" t="s">
        <v>561</v>
      </c>
      <c r="N202" s="6"/>
    </row>
    <row r="203" ht="15.75" customHeight="1">
      <c r="A203" s="6" t="s">
        <v>613</v>
      </c>
      <c r="B203" s="6" t="s">
        <v>1386</v>
      </c>
      <c r="C203" s="6" t="s">
        <v>591</v>
      </c>
      <c r="D203" s="6" t="s">
        <v>1671</v>
      </c>
      <c r="E203" s="6" t="s">
        <v>1113</v>
      </c>
      <c r="F203" s="6" t="s">
        <v>1377</v>
      </c>
      <c r="G203" s="6"/>
      <c r="H203" s="6"/>
      <c r="I203" s="6" t="s">
        <v>1303</v>
      </c>
      <c r="J203" s="6"/>
      <c r="K203" s="6"/>
      <c r="L203" s="6" t="s">
        <v>304</v>
      </c>
      <c r="M203" s="6" t="s">
        <v>30</v>
      </c>
      <c r="N203" s="6"/>
    </row>
    <row r="204" ht="15.75" customHeight="1">
      <c r="A204" s="6" t="s">
        <v>613</v>
      </c>
      <c r="B204" s="6" t="s">
        <v>1388</v>
      </c>
      <c r="C204" s="6" t="s">
        <v>591</v>
      </c>
      <c r="D204" s="6" t="s">
        <v>1672</v>
      </c>
      <c r="E204" s="6" t="s">
        <v>1113</v>
      </c>
      <c r="F204" s="6" t="s">
        <v>1377</v>
      </c>
      <c r="G204" s="6"/>
      <c r="H204" s="6" t="s">
        <v>1184</v>
      </c>
      <c r="I204" s="6" t="s">
        <v>1303</v>
      </c>
      <c r="J204" s="6"/>
      <c r="K204" s="6"/>
      <c r="L204" s="6" t="s">
        <v>304</v>
      </c>
      <c r="M204" s="6" t="s">
        <v>30</v>
      </c>
      <c r="N204" s="6"/>
    </row>
    <row r="205" ht="15.75" customHeight="1">
      <c r="A205" s="6" t="s">
        <v>613</v>
      </c>
      <c r="B205" s="6" t="s">
        <v>1673</v>
      </c>
      <c r="C205" s="6" t="s">
        <v>469</v>
      </c>
      <c r="D205" s="6" t="s">
        <v>731</v>
      </c>
      <c r="E205" s="6" t="s">
        <v>812</v>
      </c>
      <c r="F205" s="6" t="s">
        <v>1321</v>
      </c>
      <c r="G205" s="6"/>
      <c r="H205" s="6" t="s">
        <v>38</v>
      </c>
      <c r="I205" s="6" t="s">
        <v>314</v>
      </c>
      <c r="J205" s="6"/>
      <c r="K205" s="6" t="s">
        <v>638</v>
      </c>
      <c r="L205" s="6" t="s">
        <v>304</v>
      </c>
      <c r="M205" s="6" t="s">
        <v>30</v>
      </c>
      <c r="N205" s="6"/>
    </row>
    <row r="206" ht="15.75" customHeight="1">
      <c r="A206" s="6" t="s">
        <v>613</v>
      </c>
      <c r="B206" s="6" t="s">
        <v>1674</v>
      </c>
      <c r="C206" s="6" t="s">
        <v>445</v>
      </c>
      <c r="D206" s="6" t="s">
        <v>1382</v>
      </c>
      <c r="E206" s="6" t="s">
        <v>712</v>
      </c>
      <c r="F206" s="6" t="s">
        <v>1549</v>
      </c>
      <c r="G206" s="6" t="s">
        <v>1550</v>
      </c>
      <c r="H206" s="6" t="s">
        <v>554</v>
      </c>
      <c r="I206" s="6" t="s">
        <v>1303</v>
      </c>
      <c r="J206" s="6"/>
      <c r="K206" s="6" t="s">
        <v>638</v>
      </c>
      <c r="L206" s="6" t="s">
        <v>304</v>
      </c>
      <c r="M206" s="6" t="s">
        <v>30</v>
      </c>
      <c r="N206" s="6"/>
    </row>
    <row r="207" ht="15.75" customHeight="1">
      <c r="A207" s="6" t="s">
        <v>613</v>
      </c>
      <c r="B207" s="6" t="s">
        <v>1675</v>
      </c>
      <c r="C207" s="6" t="s">
        <v>639</v>
      </c>
      <c r="D207" s="6" t="s">
        <v>1340</v>
      </c>
      <c r="E207" s="6" t="s">
        <v>1113</v>
      </c>
      <c r="F207" s="6" t="s">
        <v>1350</v>
      </c>
      <c r="G207" s="6" t="s">
        <v>1392</v>
      </c>
      <c r="H207" s="6" t="s">
        <v>1341</v>
      </c>
      <c r="I207" s="6"/>
      <c r="J207" s="6"/>
      <c r="K207" s="6" t="s">
        <v>638</v>
      </c>
      <c r="L207" s="6" t="s">
        <v>304</v>
      </c>
      <c r="M207" s="6" t="s">
        <v>561</v>
      </c>
      <c r="N207" s="6"/>
    </row>
    <row r="208" ht="15.75" customHeight="1">
      <c r="A208" s="6" t="s">
        <v>613</v>
      </c>
      <c r="B208" s="6" t="s">
        <v>1393</v>
      </c>
      <c r="C208" s="6" t="s">
        <v>973</v>
      </c>
      <c r="D208" s="6" t="s">
        <v>1676</v>
      </c>
      <c r="E208" s="6" t="s">
        <v>812</v>
      </c>
      <c r="F208" s="6" t="s">
        <v>1321</v>
      </c>
      <c r="G208" s="6"/>
      <c r="H208" s="6" t="s">
        <v>1677</v>
      </c>
      <c r="I208" s="6" t="s">
        <v>1303</v>
      </c>
      <c r="J208" s="6"/>
      <c r="K208" s="6" t="s">
        <v>638</v>
      </c>
      <c r="L208" s="6" t="s">
        <v>304</v>
      </c>
      <c r="M208" s="6" t="s">
        <v>30</v>
      </c>
      <c r="N208" s="6"/>
    </row>
    <row r="209" ht="15.75" customHeight="1">
      <c r="A209" s="6" t="s">
        <v>613</v>
      </c>
      <c r="B209" s="6" t="s">
        <v>1393</v>
      </c>
      <c r="C209" s="6" t="s">
        <v>639</v>
      </c>
      <c r="D209" s="6" t="s">
        <v>1678</v>
      </c>
      <c r="E209" s="6" t="s">
        <v>1113</v>
      </c>
      <c r="F209" s="6" t="s">
        <v>1377</v>
      </c>
      <c r="G209" s="6" t="s">
        <v>1367</v>
      </c>
      <c r="H209" s="6" t="s">
        <v>1679</v>
      </c>
      <c r="I209" s="6" t="s">
        <v>1303</v>
      </c>
      <c r="J209" s="6"/>
      <c r="K209" s="6"/>
      <c r="L209" s="6" t="s">
        <v>304</v>
      </c>
      <c r="M209" s="6" t="s">
        <v>30</v>
      </c>
      <c r="N209" s="6"/>
    </row>
    <row r="210" ht="15.75" customHeight="1">
      <c r="A210" s="6" t="s">
        <v>613</v>
      </c>
      <c r="B210" s="6" t="s">
        <v>1646</v>
      </c>
      <c r="C210" s="6" t="s">
        <v>435</v>
      </c>
      <c r="D210" s="6" t="s">
        <v>1680</v>
      </c>
      <c r="E210" s="6" t="s">
        <v>812</v>
      </c>
      <c r="F210" s="6" t="s">
        <v>1321</v>
      </c>
      <c r="G210" s="6" t="s">
        <v>1364</v>
      </c>
      <c r="H210" s="6" t="s">
        <v>1373</v>
      </c>
      <c r="I210" s="6"/>
      <c r="J210" s="6"/>
      <c r="K210" s="6"/>
      <c r="L210" s="6" t="s">
        <v>304</v>
      </c>
      <c r="M210" s="6" t="s">
        <v>30</v>
      </c>
      <c r="N210" s="6"/>
    </row>
    <row r="211" ht="15.75" customHeight="1">
      <c r="A211" s="6" t="s">
        <v>613</v>
      </c>
      <c r="B211" s="6" t="s">
        <v>1403</v>
      </c>
      <c r="C211" s="6" t="s">
        <v>539</v>
      </c>
      <c r="D211" s="6" t="s">
        <v>1681</v>
      </c>
      <c r="E211" s="6" t="s">
        <v>1113</v>
      </c>
      <c r="F211" s="6" t="s">
        <v>1350</v>
      </c>
      <c r="G211" s="6"/>
      <c r="H211" s="6" t="s">
        <v>1682</v>
      </c>
      <c r="I211" s="6" t="s">
        <v>314</v>
      </c>
      <c r="J211" s="6"/>
      <c r="K211" s="6"/>
      <c r="L211" s="6" t="s">
        <v>304</v>
      </c>
      <c r="M211" s="6" t="s">
        <v>30</v>
      </c>
      <c r="N211" s="6"/>
    </row>
    <row r="212" ht="15.75" customHeight="1">
      <c r="A212" s="6" t="s">
        <v>613</v>
      </c>
      <c r="B212" s="6" t="s">
        <v>1403</v>
      </c>
      <c r="C212" s="6" t="s">
        <v>445</v>
      </c>
      <c r="D212" s="6" t="s">
        <v>1683</v>
      </c>
      <c r="E212" s="6" t="s">
        <v>812</v>
      </c>
      <c r="F212" s="6" t="s">
        <v>1321</v>
      </c>
      <c r="G212" s="6"/>
      <c r="H212" s="6" t="s">
        <v>1684</v>
      </c>
      <c r="I212" s="6" t="s">
        <v>314</v>
      </c>
      <c r="J212" s="6"/>
      <c r="K212" s="6"/>
      <c r="L212" s="6" t="s">
        <v>304</v>
      </c>
      <c r="M212" s="6" t="s">
        <v>30</v>
      </c>
      <c r="N212" s="6"/>
    </row>
    <row r="213" ht="15.75" customHeight="1">
      <c r="A213" s="6" t="s">
        <v>613</v>
      </c>
      <c r="B213" s="6" t="s">
        <v>1408</v>
      </c>
      <c r="C213" s="6" t="s">
        <v>501</v>
      </c>
      <c r="D213" s="6" t="s">
        <v>1685</v>
      </c>
      <c r="E213" s="6" t="s">
        <v>712</v>
      </c>
      <c r="F213" s="6" t="s">
        <v>1321</v>
      </c>
      <c r="G213" s="6" t="s">
        <v>1410</v>
      </c>
      <c r="H213" s="6" t="s">
        <v>1686</v>
      </c>
      <c r="I213" s="6" t="s">
        <v>1322</v>
      </c>
      <c r="J213" s="6"/>
      <c r="K213" s="6"/>
      <c r="L213" s="6" t="s">
        <v>304</v>
      </c>
      <c r="M213" s="6" t="s">
        <v>30</v>
      </c>
      <c r="N213" s="6"/>
    </row>
    <row r="214" ht="15.75" customHeight="1"/>
    <row r="215" ht="15.75" customHeight="1">
      <c r="A215" s="6" t="s">
        <v>605</v>
      </c>
    </row>
    <row r="216" ht="15.75" customHeight="1">
      <c r="A216" s="6" t="s">
        <v>1258</v>
      </c>
    </row>
    <row r="217" ht="15.75" customHeight="1">
      <c r="A217" s="6" t="s">
        <v>4</v>
      </c>
      <c r="B217" s="6" t="s">
        <v>6</v>
      </c>
      <c r="C217" s="6" t="s">
        <v>7</v>
      </c>
      <c r="D217" s="6" t="s">
        <v>8</v>
      </c>
      <c r="E217" s="6" t="s">
        <v>9</v>
      </c>
      <c r="F217" s="6" t="s">
        <v>10</v>
      </c>
      <c r="G217" s="6" t="s">
        <v>11</v>
      </c>
      <c r="H217" s="6" t="s">
        <v>12</v>
      </c>
      <c r="I217" s="6" t="s">
        <v>13</v>
      </c>
      <c r="J217" s="6" t="s">
        <v>14</v>
      </c>
      <c r="K217" s="6" t="s">
        <v>15</v>
      </c>
      <c r="L217" s="6" t="s">
        <v>16</v>
      </c>
      <c r="M217" s="6" t="s">
        <v>17</v>
      </c>
      <c r="N217" s="6" t="s">
        <v>18</v>
      </c>
    </row>
    <row r="218" ht="15.75" customHeight="1">
      <c r="A218" s="6" t="s">
        <v>613</v>
      </c>
      <c r="B218" s="6" t="s">
        <v>1412</v>
      </c>
      <c r="C218" s="6" t="s">
        <v>435</v>
      </c>
      <c r="D218" s="6" t="s">
        <v>499</v>
      </c>
      <c r="E218" s="6" t="s">
        <v>430</v>
      </c>
      <c r="F218" s="6" t="s">
        <v>78</v>
      </c>
      <c r="H218" s="6" t="s">
        <v>26</v>
      </c>
      <c r="I218" s="6" t="s">
        <v>497</v>
      </c>
      <c r="L218" s="6" t="s">
        <v>304</v>
      </c>
      <c r="M218" s="6" t="s">
        <v>373</v>
      </c>
    </row>
    <row r="219" ht="15.75" customHeight="1">
      <c r="A219" s="6" t="s">
        <v>613</v>
      </c>
      <c r="B219" s="6" t="s">
        <v>1414</v>
      </c>
      <c r="C219" s="6" t="s">
        <v>639</v>
      </c>
      <c r="D219" s="6" t="s">
        <v>1687</v>
      </c>
      <c r="E219" s="6" t="s">
        <v>438</v>
      </c>
      <c r="F219" s="6" t="s">
        <v>1416</v>
      </c>
      <c r="G219" s="6"/>
      <c r="H219" s="6" t="s">
        <v>1688</v>
      </c>
      <c r="I219" s="6"/>
      <c r="J219" s="6"/>
      <c r="K219" s="6" t="s">
        <v>638</v>
      </c>
      <c r="L219" s="6" t="s">
        <v>304</v>
      </c>
      <c r="M219" s="6" t="s">
        <v>59</v>
      </c>
      <c r="N219" s="6"/>
    </row>
    <row r="220" ht="15.75" customHeight="1">
      <c r="A220" s="6" t="s">
        <v>613</v>
      </c>
      <c r="B220" s="6" t="s">
        <v>1419</v>
      </c>
      <c r="C220" s="6" t="s">
        <v>469</v>
      </c>
      <c r="D220" s="6" t="s">
        <v>1689</v>
      </c>
      <c r="E220" s="6" t="s">
        <v>438</v>
      </c>
      <c r="F220" s="6" t="s">
        <v>1377</v>
      </c>
      <c r="G220" s="6" t="s">
        <v>1356</v>
      </c>
      <c r="H220" s="6" t="s">
        <v>1690</v>
      </c>
      <c r="I220" s="6" t="s">
        <v>1603</v>
      </c>
      <c r="J220" s="6" t="s">
        <v>1422</v>
      </c>
      <c r="K220" s="6"/>
      <c r="L220" s="6" t="s">
        <v>304</v>
      </c>
      <c r="M220" s="6" t="s">
        <v>59</v>
      </c>
      <c r="N220" s="6"/>
    </row>
    <row r="221" ht="15.75" customHeight="1">
      <c r="A221" s="6" t="s">
        <v>613</v>
      </c>
      <c r="B221" s="6" t="s">
        <v>1423</v>
      </c>
      <c r="C221" s="6" t="s">
        <v>576</v>
      </c>
      <c r="D221" s="6" t="s">
        <v>1691</v>
      </c>
      <c r="E221" s="6" t="s">
        <v>430</v>
      </c>
      <c r="F221" s="6" t="s">
        <v>78</v>
      </c>
      <c r="G221" s="6"/>
      <c r="H221" s="6" t="s">
        <v>1604</v>
      </c>
      <c r="I221" s="6" t="s">
        <v>497</v>
      </c>
      <c r="J221" s="6"/>
      <c r="K221" s="6"/>
      <c r="L221" s="6" t="s">
        <v>304</v>
      </c>
      <c r="M221" s="6" t="s">
        <v>59</v>
      </c>
      <c r="N221" s="6"/>
    </row>
    <row r="222" ht="15.75" customHeight="1">
      <c r="A222" s="6" t="s">
        <v>613</v>
      </c>
      <c r="B222" s="6" t="s">
        <v>1607</v>
      </c>
      <c r="C222" s="6" t="s">
        <v>457</v>
      </c>
      <c r="D222" s="6" t="s">
        <v>1692</v>
      </c>
      <c r="E222" s="6" t="s">
        <v>438</v>
      </c>
      <c r="F222" s="6" t="s">
        <v>1455</v>
      </c>
      <c r="G222" s="6" t="s">
        <v>1693</v>
      </c>
      <c r="H222" s="6" t="s">
        <v>1694</v>
      </c>
      <c r="I222" s="6" t="s">
        <v>1579</v>
      </c>
      <c r="J222" s="6" t="s">
        <v>1695</v>
      </c>
      <c r="K222" s="6"/>
      <c r="L222" s="6" t="s">
        <v>304</v>
      </c>
      <c r="M222" s="6" t="s">
        <v>59</v>
      </c>
      <c r="N222" s="6"/>
    </row>
    <row r="223" ht="15.75" customHeight="1">
      <c r="A223" s="6" t="s">
        <v>613</v>
      </c>
      <c r="B223" s="6" t="s">
        <v>1427</v>
      </c>
      <c r="C223" s="6" t="s">
        <v>469</v>
      </c>
      <c r="D223" s="6" t="s">
        <v>1696</v>
      </c>
      <c r="E223" s="6" t="s">
        <v>438</v>
      </c>
      <c r="F223" s="6" t="s">
        <v>1377</v>
      </c>
      <c r="G223" s="6"/>
      <c r="H223" s="6" t="s">
        <v>1697</v>
      </c>
      <c r="I223" s="6" t="s">
        <v>1303</v>
      </c>
      <c r="J223" s="6" t="s">
        <v>1430</v>
      </c>
      <c r="K223" s="6"/>
      <c r="L223" s="6" t="s">
        <v>304</v>
      </c>
      <c r="M223" s="6" t="s">
        <v>59</v>
      </c>
      <c r="N223" s="6"/>
    </row>
    <row r="224" ht="15.75" customHeight="1">
      <c r="A224" s="6" t="s">
        <v>613</v>
      </c>
      <c r="B224" s="6" t="s">
        <v>1431</v>
      </c>
      <c r="C224" s="6" t="s">
        <v>469</v>
      </c>
      <c r="D224" s="6" t="s">
        <v>1698</v>
      </c>
      <c r="E224" s="6" t="s">
        <v>438</v>
      </c>
      <c r="F224" s="6" t="s">
        <v>1377</v>
      </c>
      <c r="G224" s="6" t="s">
        <v>1356</v>
      </c>
      <c r="H224" s="6" t="s">
        <v>1699</v>
      </c>
      <c r="I224" s="6" t="s">
        <v>314</v>
      </c>
      <c r="J224" s="6" t="s">
        <v>1434</v>
      </c>
      <c r="K224" s="6"/>
      <c r="L224" s="6" t="s">
        <v>304</v>
      </c>
      <c r="M224" s="6" t="s">
        <v>59</v>
      </c>
      <c r="N224" s="6"/>
    </row>
    <row r="225" ht="15.75" customHeight="1">
      <c r="A225" s="6" t="s">
        <v>613</v>
      </c>
      <c r="B225" s="6" t="s">
        <v>1435</v>
      </c>
      <c r="C225" s="6" t="s">
        <v>482</v>
      </c>
      <c r="D225" s="6" t="s">
        <v>522</v>
      </c>
      <c r="E225" s="6" t="s">
        <v>438</v>
      </c>
      <c r="F225" s="6" t="s">
        <v>1416</v>
      </c>
      <c r="G225" s="6" t="s">
        <v>1436</v>
      </c>
      <c r="H225" s="6" t="s">
        <v>120</v>
      </c>
      <c r="I225" s="6" t="s">
        <v>1437</v>
      </c>
      <c r="K225" s="6" t="s">
        <v>638</v>
      </c>
      <c r="L225" s="6" t="s">
        <v>304</v>
      </c>
      <c r="M225" s="6" t="s">
        <v>373</v>
      </c>
    </row>
    <row r="226" ht="15.75" customHeight="1">
      <c r="A226" s="6" t="s">
        <v>613</v>
      </c>
      <c r="B226" s="6" t="s">
        <v>1438</v>
      </c>
      <c r="C226" s="6" t="s">
        <v>616</v>
      </c>
      <c r="D226" s="6" t="s">
        <v>353</v>
      </c>
      <c r="E226" s="6" t="s">
        <v>946</v>
      </c>
      <c r="F226" s="6" t="s">
        <v>67</v>
      </c>
      <c r="G226" s="6" t="s">
        <v>1439</v>
      </c>
      <c r="H226" s="6" t="s">
        <v>88</v>
      </c>
      <c r="I226" s="6" t="s">
        <v>497</v>
      </c>
      <c r="J226" s="6"/>
      <c r="K226" s="6" t="s">
        <v>833</v>
      </c>
      <c r="L226" s="6" t="s">
        <v>304</v>
      </c>
      <c r="M226" s="6" t="s">
        <v>30</v>
      </c>
      <c r="N226" s="6"/>
    </row>
    <row r="227" ht="15.75" customHeight="1">
      <c r="A227" s="6" t="s">
        <v>613</v>
      </c>
      <c r="B227" s="6" t="s">
        <v>1615</v>
      </c>
      <c r="C227" s="6" t="s">
        <v>501</v>
      </c>
      <c r="D227" s="6" t="s">
        <v>1700</v>
      </c>
      <c r="E227" s="6" t="s">
        <v>438</v>
      </c>
      <c r="F227" s="6" t="s">
        <v>1416</v>
      </c>
      <c r="G227" s="6"/>
      <c r="H227" s="6" t="s">
        <v>1701</v>
      </c>
      <c r="I227" s="6" t="s">
        <v>1303</v>
      </c>
      <c r="J227" s="6"/>
      <c r="K227" s="6"/>
      <c r="L227" s="6" t="s">
        <v>304</v>
      </c>
      <c r="M227" s="6" t="s">
        <v>59</v>
      </c>
      <c r="N227" s="6"/>
    </row>
    <row r="228" ht="15.75" customHeight="1">
      <c r="A228" s="6" t="s">
        <v>613</v>
      </c>
      <c r="B228" s="6" t="s">
        <v>1444</v>
      </c>
      <c r="C228" s="6" t="s">
        <v>501</v>
      </c>
      <c r="D228" s="6" t="s">
        <v>526</v>
      </c>
      <c r="E228" s="6" t="s">
        <v>946</v>
      </c>
      <c r="F228" s="6" t="s">
        <v>67</v>
      </c>
      <c r="G228" s="6"/>
      <c r="H228" s="6" t="s">
        <v>66</v>
      </c>
      <c r="I228" s="6" t="s">
        <v>1322</v>
      </c>
      <c r="J228" s="6"/>
      <c r="K228" s="6"/>
      <c r="L228" s="6" t="s">
        <v>304</v>
      </c>
      <c r="M228" s="6" t="s">
        <v>30</v>
      </c>
      <c r="N228" s="6"/>
    </row>
    <row r="229" ht="15.75" customHeight="1">
      <c r="A229" s="6" t="s">
        <v>613</v>
      </c>
      <c r="B229" s="6" t="s">
        <v>1444</v>
      </c>
      <c r="C229" s="6" t="s">
        <v>445</v>
      </c>
      <c r="D229" s="6" t="s">
        <v>1702</v>
      </c>
      <c r="E229" s="6" t="s">
        <v>438</v>
      </c>
      <c r="F229" s="6" t="s">
        <v>1377</v>
      </c>
      <c r="G229" s="6" t="s">
        <v>1446</v>
      </c>
      <c r="H229" s="6" t="s">
        <v>1703</v>
      </c>
      <c r="I229" s="6" t="s">
        <v>1322</v>
      </c>
      <c r="J229" s="6" t="s">
        <v>1448</v>
      </c>
      <c r="K229" s="6"/>
      <c r="L229" s="6" t="s">
        <v>304</v>
      </c>
      <c r="M229" s="6" t="s">
        <v>30</v>
      </c>
      <c r="N229" s="6"/>
    </row>
    <row r="230" ht="15.75" customHeight="1"/>
    <row r="231" ht="15.75" customHeight="1">
      <c r="A231" s="16" t="s">
        <v>661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ht="15.75" customHeight="1">
      <c r="A232" s="17" t="s">
        <v>1704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 ht="15.75" customHeight="1">
      <c r="A233" s="18" t="s">
        <v>4</v>
      </c>
      <c r="B233" s="18" t="s">
        <v>6</v>
      </c>
      <c r="C233" s="18" t="s">
        <v>7</v>
      </c>
      <c r="D233" s="18" t="s">
        <v>8</v>
      </c>
      <c r="E233" s="18" t="s">
        <v>9</v>
      </c>
      <c r="F233" s="18" t="s">
        <v>10</v>
      </c>
      <c r="G233" s="18" t="s">
        <v>11</v>
      </c>
      <c r="H233" s="18" t="s">
        <v>12</v>
      </c>
      <c r="I233" s="18" t="s">
        <v>13</v>
      </c>
      <c r="J233" s="18" t="s">
        <v>14</v>
      </c>
      <c r="K233" s="18" t="s">
        <v>15</v>
      </c>
      <c r="L233" s="18" t="s">
        <v>16</v>
      </c>
      <c r="M233" s="18" t="s">
        <v>17</v>
      </c>
      <c r="N233" s="18" t="s">
        <v>18</v>
      </c>
    </row>
    <row r="234" ht="15.75" customHeight="1">
      <c r="A234" s="6" t="s">
        <v>669</v>
      </c>
      <c r="B234" s="6" t="s">
        <v>1618</v>
      </c>
      <c r="C234" s="6" t="s">
        <v>848</v>
      </c>
      <c r="D234" s="6" t="s">
        <v>429</v>
      </c>
      <c r="E234" s="6" t="s">
        <v>1113</v>
      </c>
      <c r="F234" s="6" t="s">
        <v>1350</v>
      </c>
      <c r="G234" s="6"/>
      <c r="H234" s="6" t="s">
        <v>1619</v>
      </c>
      <c r="I234" s="6" t="s">
        <v>561</v>
      </c>
      <c r="J234" s="6"/>
      <c r="K234" s="6"/>
      <c r="L234" s="6" t="s">
        <v>304</v>
      </c>
      <c r="M234" s="6" t="s">
        <v>59</v>
      </c>
      <c r="N234" s="6"/>
    </row>
    <row r="235" ht="15.75" customHeight="1">
      <c r="A235" s="6" t="s">
        <v>669</v>
      </c>
      <c r="B235" s="6" t="s">
        <v>1705</v>
      </c>
      <c r="C235" s="6" t="s">
        <v>840</v>
      </c>
      <c r="D235" s="6" t="s">
        <v>429</v>
      </c>
      <c r="E235" s="6" t="s">
        <v>812</v>
      </c>
      <c r="F235" s="6" t="s">
        <v>1321</v>
      </c>
      <c r="G235" s="6" t="s">
        <v>1556</v>
      </c>
      <c r="H235" s="6" t="s">
        <v>1706</v>
      </c>
      <c r="I235" s="6" t="s">
        <v>1303</v>
      </c>
      <c r="J235" s="6"/>
      <c r="K235" s="6" t="s">
        <v>724</v>
      </c>
      <c r="L235" s="6" t="s">
        <v>304</v>
      </c>
      <c r="M235" s="6" t="s">
        <v>30</v>
      </c>
      <c r="N235" s="6"/>
    </row>
    <row r="236" ht="15.75" customHeight="1">
      <c r="A236" s="6" t="s">
        <v>669</v>
      </c>
      <c r="B236" s="6" t="s">
        <v>1453</v>
      </c>
      <c r="C236" s="6" t="s">
        <v>837</v>
      </c>
      <c r="D236" s="6" t="s">
        <v>429</v>
      </c>
      <c r="E236" s="6" t="s">
        <v>1113</v>
      </c>
      <c r="F236" s="6" t="s">
        <v>1455</v>
      </c>
      <c r="G236" s="6"/>
      <c r="H236" s="6" t="s">
        <v>1707</v>
      </c>
      <c r="I236" s="6" t="s">
        <v>314</v>
      </c>
      <c r="J236" s="6"/>
      <c r="K236" s="6"/>
      <c r="L236" s="6" t="s">
        <v>304</v>
      </c>
      <c r="M236" s="6" t="s">
        <v>30</v>
      </c>
      <c r="N236" s="6"/>
    </row>
    <row r="237" ht="15.75" customHeight="1">
      <c r="A237" s="6" t="s">
        <v>669</v>
      </c>
      <c r="B237" s="6" t="s">
        <v>1458</v>
      </c>
      <c r="C237" s="6" t="s">
        <v>837</v>
      </c>
      <c r="D237" s="6" t="s">
        <v>429</v>
      </c>
      <c r="E237" s="6" t="s">
        <v>800</v>
      </c>
      <c r="F237" s="6" t="s">
        <v>1321</v>
      </c>
      <c r="G237" s="6" t="s">
        <v>1556</v>
      </c>
      <c r="H237" s="6" t="s">
        <v>838</v>
      </c>
      <c r="I237" s="6" t="s">
        <v>497</v>
      </c>
      <c r="J237" s="6"/>
      <c r="K237" s="6" t="s">
        <v>674</v>
      </c>
      <c r="L237" s="6" t="s">
        <v>304</v>
      </c>
      <c r="M237" s="6" t="s">
        <v>30</v>
      </c>
      <c r="N237" s="6"/>
    </row>
    <row r="238" ht="15.75" customHeight="1">
      <c r="A238" s="6" t="s">
        <v>669</v>
      </c>
      <c r="B238" s="6" t="s">
        <v>1459</v>
      </c>
      <c r="C238" s="6" t="s">
        <v>781</v>
      </c>
      <c r="D238" s="6" t="s">
        <v>429</v>
      </c>
      <c r="E238" s="6" t="s">
        <v>800</v>
      </c>
      <c r="F238" s="6" t="s">
        <v>1321</v>
      </c>
      <c r="G238" s="6" t="s">
        <v>1560</v>
      </c>
      <c r="H238" s="6" t="s">
        <v>49</v>
      </c>
      <c r="I238" s="6"/>
      <c r="J238" s="6"/>
      <c r="K238" s="6"/>
      <c r="L238" s="6" t="s">
        <v>304</v>
      </c>
      <c r="M238" s="6" t="s">
        <v>30</v>
      </c>
      <c r="N238" s="6"/>
    </row>
    <row r="239" ht="15.75" customHeight="1">
      <c r="A239" s="6" t="s">
        <v>669</v>
      </c>
      <c r="B239" s="6" t="s">
        <v>1359</v>
      </c>
      <c r="C239" s="6" t="s">
        <v>848</v>
      </c>
      <c r="D239" s="6" t="s">
        <v>429</v>
      </c>
      <c r="E239" s="6" t="s">
        <v>1113</v>
      </c>
      <c r="F239" s="6" t="s">
        <v>1350</v>
      </c>
      <c r="G239" s="6" t="s">
        <v>1567</v>
      </c>
      <c r="H239" s="6" t="s">
        <v>1314</v>
      </c>
      <c r="I239" s="6" t="s">
        <v>1322</v>
      </c>
      <c r="J239" s="6"/>
      <c r="K239" s="6"/>
      <c r="L239" s="6" t="s">
        <v>304</v>
      </c>
      <c r="M239" s="6" t="s">
        <v>30</v>
      </c>
      <c r="N239" s="6"/>
    </row>
    <row r="240" ht="15.75" customHeight="1">
      <c r="A240" s="6" t="s">
        <v>669</v>
      </c>
      <c r="B240" s="6" t="s">
        <v>1363</v>
      </c>
      <c r="C240" s="6" t="s">
        <v>672</v>
      </c>
      <c r="D240" s="6" t="s">
        <v>429</v>
      </c>
      <c r="E240" s="6" t="s">
        <v>800</v>
      </c>
      <c r="F240" s="6" t="s">
        <v>1321</v>
      </c>
      <c r="G240" s="6" t="s">
        <v>1560</v>
      </c>
      <c r="H240" s="6" t="s">
        <v>156</v>
      </c>
      <c r="I240" s="6" t="s">
        <v>1303</v>
      </c>
      <c r="J240" s="6"/>
      <c r="K240" s="6"/>
      <c r="L240" s="6" t="s">
        <v>304</v>
      </c>
      <c r="M240" s="6" t="s">
        <v>30</v>
      </c>
      <c r="N240" s="6"/>
    </row>
    <row r="241" ht="15.75" customHeight="1">
      <c r="A241" s="6" t="s">
        <v>669</v>
      </c>
      <c r="B241" s="6" t="s">
        <v>1626</v>
      </c>
      <c r="C241" s="6" t="s">
        <v>672</v>
      </c>
      <c r="D241" s="6" t="s">
        <v>429</v>
      </c>
      <c r="E241" s="6" t="s">
        <v>1113</v>
      </c>
      <c r="F241" s="6" t="s">
        <v>1416</v>
      </c>
      <c r="G241" s="6"/>
      <c r="H241" s="6" t="s">
        <v>1407</v>
      </c>
      <c r="I241" s="6" t="s">
        <v>1467</v>
      </c>
      <c r="J241" s="6"/>
      <c r="K241" s="6"/>
      <c r="L241" s="6" t="s">
        <v>304</v>
      </c>
      <c r="M241" s="6" t="s">
        <v>30</v>
      </c>
      <c r="N241" s="6"/>
    </row>
    <row r="242" ht="15.75" customHeight="1">
      <c r="A242" s="6" t="s">
        <v>669</v>
      </c>
      <c r="B242" s="6" t="s">
        <v>1468</v>
      </c>
      <c r="C242" s="6" t="s">
        <v>670</v>
      </c>
      <c r="D242" s="6" t="s">
        <v>429</v>
      </c>
      <c r="E242" s="6" t="s">
        <v>930</v>
      </c>
      <c r="F242" s="6" t="s">
        <v>244</v>
      </c>
      <c r="G242" s="6" t="s">
        <v>1611</v>
      </c>
      <c r="H242" s="6" t="s">
        <v>777</v>
      </c>
      <c r="I242" s="6" t="s">
        <v>1303</v>
      </c>
      <c r="J242" s="6"/>
      <c r="K242" s="6"/>
      <c r="L242" s="6" t="s">
        <v>304</v>
      </c>
      <c r="M242" s="6" t="s">
        <v>30</v>
      </c>
      <c r="N242" s="6"/>
    </row>
    <row r="243" ht="15.75" customHeight="1">
      <c r="A243" s="6" t="s">
        <v>669</v>
      </c>
      <c r="B243" s="6" t="s">
        <v>1468</v>
      </c>
      <c r="C243" s="6" t="s">
        <v>825</v>
      </c>
      <c r="D243" s="6" t="s">
        <v>429</v>
      </c>
      <c r="E243" s="6" t="s">
        <v>800</v>
      </c>
      <c r="F243" s="6" t="s">
        <v>1321</v>
      </c>
      <c r="G243" s="6" t="s">
        <v>1556</v>
      </c>
      <c r="H243" s="6" t="s">
        <v>117</v>
      </c>
      <c r="I243" s="6" t="s">
        <v>1303</v>
      </c>
      <c r="J243" s="6"/>
      <c r="K243" s="6" t="s">
        <v>674</v>
      </c>
      <c r="L243" s="6" t="s">
        <v>304</v>
      </c>
      <c r="M243" s="6" t="s">
        <v>30</v>
      </c>
      <c r="N243" s="6"/>
    </row>
    <row r="244" ht="15.75" customHeight="1">
      <c r="A244" s="6" t="s">
        <v>669</v>
      </c>
      <c r="B244" s="6" t="s">
        <v>1471</v>
      </c>
      <c r="C244" s="6" t="s">
        <v>848</v>
      </c>
      <c r="D244" s="6" t="s">
        <v>429</v>
      </c>
      <c r="E244" s="6" t="s">
        <v>1113</v>
      </c>
      <c r="F244" s="6" t="s">
        <v>1350</v>
      </c>
      <c r="G244" s="6"/>
      <c r="H244" s="6" t="s">
        <v>1708</v>
      </c>
      <c r="I244" s="6" t="s">
        <v>1474</v>
      </c>
      <c r="J244" s="6"/>
      <c r="K244" s="6" t="s">
        <v>674</v>
      </c>
      <c r="L244" s="6" t="s">
        <v>304</v>
      </c>
      <c r="M244" s="6" t="s">
        <v>30</v>
      </c>
      <c r="N244" s="6"/>
    </row>
    <row r="245" ht="15.75" customHeight="1">
      <c r="A245" s="6" t="s">
        <v>669</v>
      </c>
      <c r="B245" s="6" t="s">
        <v>1572</v>
      </c>
      <c r="C245" s="6" t="s">
        <v>870</v>
      </c>
      <c r="D245" s="6" t="s">
        <v>429</v>
      </c>
      <c r="E245" s="6" t="s">
        <v>1113</v>
      </c>
      <c r="F245" s="6" t="s">
        <v>1321</v>
      </c>
      <c r="G245" s="6" t="s">
        <v>1560</v>
      </c>
      <c r="H245" s="6" t="s">
        <v>1314</v>
      </c>
      <c r="I245" s="6" t="s">
        <v>1474</v>
      </c>
      <c r="J245" s="6"/>
      <c r="K245" s="6"/>
      <c r="L245" s="6" t="s">
        <v>304</v>
      </c>
      <c r="M245" s="6" t="s">
        <v>30</v>
      </c>
      <c r="N245" s="6"/>
    </row>
    <row r="246" ht="15.75" customHeight="1">
      <c r="A246" s="6" t="s">
        <v>669</v>
      </c>
      <c r="B246" s="6" t="s">
        <v>1627</v>
      </c>
      <c r="C246" s="6" t="s">
        <v>781</v>
      </c>
      <c r="D246" s="6" t="s">
        <v>429</v>
      </c>
      <c r="E246" s="6" t="s">
        <v>1113</v>
      </c>
      <c r="F246" s="6" t="s">
        <v>1377</v>
      </c>
      <c r="G246" s="6"/>
      <c r="H246" s="6" t="s">
        <v>1709</v>
      </c>
      <c r="I246" s="6" t="s">
        <v>314</v>
      </c>
      <c r="J246" s="6"/>
      <c r="K246" s="6"/>
      <c r="L246" s="6" t="s">
        <v>304</v>
      </c>
      <c r="M246" s="6" t="s">
        <v>30</v>
      </c>
      <c r="N246" s="6"/>
    </row>
    <row r="247" ht="15.75" customHeight="1">
      <c r="A247" s="6" t="s">
        <v>669</v>
      </c>
      <c r="B247" s="6" t="s">
        <v>1710</v>
      </c>
      <c r="C247" s="6" t="s">
        <v>764</v>
      </c>
      <c r="D247" s="6" t="s">
        <v>429</v>
      </c>
      <c r="E247" s="6" t="s">
        <v>1113</v>
      </c>
      <c r="F247" s="6" t="s">
        <v>1455</v>
      </c>
      <c r="H247" s="6" t="s">
        <v>1711</v>
      </c>
      <c r="I247" s="6" t="s">
        <v>1303</v>
      </c>
      <c r="L247" s="6" t="s">
        <v>304</v>
      </c>
      <c r="M247" s="6" t="s">
        <v>561</v>
      </c>
    </row>
    <row r="248" ht="15.75" customHeight="1">
      <c r="A248" s="6" t="s">
        <v>669</v>
      </c>
      <c r="B248" s="6" t="s">
        <v>1374</v>
      </c>
      <c r="C248" s="6" t="s">
        <v>840</v>
      </c>
      <c r="D248" s="6" t="s">
        <v>553</v>
      </c>
      <c r="E248" s="6" t="s">
        <v>812</v>
      </c>
      <c r="F248" s="6" t="s">
        <v>1321</v>
      </c>
      <c r="G248" s="6" t="s">
        <v>1560</v>
      </c>
      <c r="H248" s="6" t="s">
        <v>558</v>
      </c>
      <c r="I248" s="6" t="s">
        <v>1322</v>
      </c>
      <c r="K248" s="6" t="s">
        <v>753</v>
      </c>
      <c r="M248" s="6"/>
    </row>
    <row r="249" ht="15.75" customHeight="1">
      <c r="A249" s="6" t="s">
        <v>669</v>
      </c>
      <c r="B249" s="6" t="s">
        <v>1522</v>
      </c>
      <c r="C249" s="6" t="s">
        <v>705</v>
      </c>
      <c r="D249" s="6" t="s">
        <v>429</v>
      </c>
      <c r="E249" s="6" t="s">
        <v>812</v>
      </c>
      <c r="F249" s="6" t="s">
        <v>1321</v>
      </c>
      <c r="G249" s="6" t="s">
        <v>1560</v>
      </c>
      <c r="H249" s="6" t="s">
        <v>55</v>
      </c>
      <c r="I249" s="6" t="s">
        <v>1303</v>
      </c>
      <c r="J249" s="6"/>
      <c r="K249" s="6"/>
      <c r="L249" s="6" t="s">
        <v>304</v>
      </c>
      <c r="M249" s="6" t="s">
        <v>30</v>
      </c>
      <c r="N249" s="6"/>
    </row>
    <row r="250" ht="15.75" customHeight="1">
      <c r="A250" s="6" t="s">
        <v>669</v>
      </c>
      <c r="B250" s="6" t="s">
        <v>1479</v>
      </c>
      <c r="C250" s="6" t="s">
        <v>781</v>
      </c>
      <c r="D250" s="6" t="s">
        <v>429</v>
      </c>
      <c r="E250" s="6" t="s">
        <v>1113</v>
      </c>
      <c r="F250" s="6" t="s">
        <v>1350</v>
      </c>
      <c r="G250" s="6"/>
      <c r="H250" s="6" t="s">
        <v>1712</v>
      </c>
      <c r="I250" s="6" t="s">
        <v>1303</v>
      </c>
      <c r="J250" s="6"/>
      <c r="K250" s="6"/>
      <c r="L250" s="6" t="s">
        <v>304</v>
      </c>
      <c r="M250" s="6" t="s">
        <v>30</v>
      </c>
      <c r="N250" s="6"/>
    </row>
    <row r="251" ht="15.75" customHeight="1">
      <c r="A251" s="6" t="s">
        <v>669</v>
      </c>
      <c r="B251" s="6" t="s">
        <v>1529</v>
      </c>
      <c r="C251" s="6" t="s">
        <v>700</v>
      </c>
      <c r="D251" s="6" t="s">
        <v>429</v>
      </c>
      <c r="E251" s="6" t="s">
        <v>812</v>
      </c>
      <c r="F251" s="6" t="s">
        <v>1321</v>
      </c>
      <c r="G251" s="6" t="s">
        <v>1556</v>
      </c>
      <c r="H251" s="6" t="s">
        <v>838</v>
      </c>
      <c r="I251" s="6" t="s">
        <v>1530</v>
      </c>
      <c r="J251" s="6"/>
      <c r="K251" s="6" t="s">
        <v>674</v>
      </c>
      <c r="L251" s="6" t="s">
        <v>304</v>
      </c>
      <c r="M251" s="6" t="s">
        <v>59</v>
      </c>
      <c r="N251" s="6"/>
    </row>
    <row r="252" ht="15.75" customHeight="1">
      <c r="A252" s="6" t="s">
        <v>669</v>
      </c>
      <c r="B252" s="6" t="s">
        <v>1482</v>
      </c>
      <c r="C252" s="6" t="s">
        <v>672</v>
      </c>
      <c r="D252" s="6" t="s">
        <v>429</v>
      </c>
      <c r="E252" s="6" t="s">
        <v>1113</v>
      </c>
      <c r="F252" s="6" t="s">
        <v>1416</v>
      </c>
      <c r="G252" s="6"/>
      <c r="H252" s="6" t="s">
        <v>1713</v>
      </c>
      <c r="I252" s="6" t="s">
        <v>1303</v>
      </c>
      <c r="J252" s="6"/>
      <c r="K252" s="6"/>
      <c r="L252" s="6" t="s">
        <v>304</v>
      </c>
      <c r="M252" s="6" t="s">
        <v>30</v>
      </c>
      <c r="N252" s="6"/>
    </row>
    <row r="253" ht="15.75" customHeight="1">
      <c r="A253" s="6" t="s">
        <v>669</v>
      </c>
      <c r="B253" s="6" t="s">
        <v>1388</v>
      </c>
      <c r="C253" s="6" t="s">
        <v>690</v>
      </c>
      <c r="D253" s="6" t="s">
        <v>553</v>
      </c>
      <c r="E253" s="6" t="s">
        <v>812</v>
      </c>
      <c r="F253" s="6" t="s">
        <v>67</v>
      </c>
      <c r="G253" s="6" t="s">
        <v>1601</v>
      </c>
      <c r="H253" s="6" t="s">
        <v>1714</v>
      </c>
      <c r="I253" s="6" t="s">
        <v>1303</v>
      </c>
      <c r="K253" s="6" t="s">
        <v>753</v>
      </c>
      <c r="M253" s="6"/>
    </row>
    <row r="254" ht="15.75" customHeight="1">
      <c r="A254" s="6" t="s">
        <v>669</v>
      </c>
      <c r="B254" s="6" t="s">
        <v>1647</v>
      </c>
      <c r="C254" s="6" t="s">
        <v>764</v>
      </c>
      <c r="D254" s="6" t="s">
        <v>429</v>
      </c>
      <c r="E254" s="6" t="s">
        <v>1113</v>
      </c>
      <c r="F254" s="6" t="s">
        <v>1350</v>
      </c>
      <c r="H254" s="6" t="s">
        <v>1715</v>
      </c>
      <c r="I254" s="6" t="s">
        <v>1303</v>
      </c>
      <c r="L254" s="6" t="s">
        <v>304</v>
      </c>
      <c r="M254" s="6" t="s">
        <v>561</v>
      </c>
    </row>
    <row r="255" ht="15.75" customHeight="1"/>
    <row r="256" ht="15.75" customHeight="1">
      <c r="A256" s="16" t="s">
        <v>661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ht="15.75" customHeight="1">
      <c r="A257" s="17" t="s">
        <v>1292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ht="15.75" customHeight="1">
      <c r="A258" s="18" t="s">
        <v>4</v>
      </c>
      <c r="B258" s="18" t="s">
        <v>6</v>
      </c>
      <c r="C258" s="18" t="s">
        <v>7</v>
      </c>
      <c r="D258" s="18" t="s">
        <v>8</v>
      </c>
      <c r="E258" s="18" t="s">
        <v>9</v>
      </c>
      <c r="F258" s="18" t="s">
        <v>10</v>
      </c>
      <c r="G258" s="18" t="s">
        <v>11</v>
      </c>
      <c r="H258" s="18" t="s">
        <v>12</v>
      </c>
      <c r="I258" s="18" t="s">
        <v>13</v>
      </c>
      <c r="J258" s="18" t="s">
        <v>14</v>
      </c>
      <c r="K258" s="18" t="s">
        <v>15</v>
      </c>
      <c r="L258" s="18" t="s">
        <v>16</v>
      </c>
      <c r="M258" s="18" t="s">
        <v>17</v>
      </c>
      <c r="N258" s="18" t="s">
        <v>18</v>
      </c>
    </row>
    <row r="259" ht="15.75" customHeight="1">
      <c r="A259" s="6" t="s">
        <v>669</v>
      </c>
      <c r="B259" s="6" t="s">
        <v>1498</v>
      </c>
      <c r="C259" s="6" t="s">
        <v>921</v>
      </c>
      <c r="D259" s="6" t="s">
        <v>429</v>
      </c>
      <c r="E259" s="6" t="s">
        <v>430</v>
      </c>
      <c r="F259" s="6" t="s">
        <v>1321</v>
      </c>
      <c r="G259" s="6" t="s">
        <v>1556</v>
      </c>
      <c r="H259" s="6" t="s">
        <v>117</v>
      </c>
      <c r="I259" s="6" t="s">
        <v>159</v>
      </c>
      <c r="J259" s="6"/>
      <c r="K259" s="6" t="s">
        <v>674</v>
      </c>
      <c r="L259" s="6" t="s">
        <v>304</v>
      </c>
      <c r="M259" s="6" t="s">
        <v>59</v>
      </c>
      <c r="N259" s="6"/>
    </row>
    <row r="260" ht="15.75" customHeight="1"/>
    <row r="261" ht="15.75" customHeight="1">
      <c r="A261" s="16" t="s">
        <v>738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ht="15.75" customHeight="1">
      <c r="A262" s="17" t="s">
        <v>1716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 t="str">
        <f>IFERROR(__xludf.DUMMYFUNCTION("AI(""Preencha com um valor adequado para esta célula com base no contexto da tabela"")"),"=AI(""Preencha com um valor adequado para esta célula com base no contexto da tabela"")")</f>
        <v>=AI("Preencha com um valor adequado para esta célula com base no contexto da tabela")</v>
      </c>
      <c r="M262" s="17"/>
      <c r="N262" s="17"/>
    </row>
    <row r="263" ht="15.75" customHeight="1">
      <c r="A263" s="18" t="s">
        <v>4</v>
      </c>
      <c r="B263" s="18" t="s">
        <v>6</v>
      </c>
      <c r="C263" s="18" t="s">
        <v>7</v>
      </c>
      <c r="D263" s="18" t="s">
        <v>8</v>
      </c>
      <c r="E263" s="18" t="s">
        <v>9</v>
      </c>
      <c r="F263" s="18" t="s">
        <v>10</v>
      </c>
      <c r="G263" s="18" t="s">
        <v>11</v>
      </c>
      <c r="H263" s="18" t="s">
        <v>12</v>
      </c>
      <c r="I263" s="18" t="s">
        <v>13</v>
      </c>
      <c r="J263" s="18" t="s">
        <v>14</v>
      </c>
      <c r="K263" s="18" t="s">
        <v>15</v>
      </c>
      <c r="L263" s="18" t="s">
        <v>16</v>
      </c>
      <c r="M263" s="18" t="s">
        <v>17</v>
      </c>
      <c r="N263" s="18" t="s">
        <v>18</v>
      </c>
    </row>
    <row r="264" ht="15.75" customHeight="1">
      <c r="A264" s="6" t="s">
        <v>745</v>
      </c>
      <c r="B264" s="6" t="s">
        <v>1459</v>
      </c>
      <c r="C264" s="6" t="s">
        <v>690</v>
      </c>
      <c r="D264" s="6" t="s">
        <v>429</v>
      </c>
      <c r="E264" s="6" t="s">
        <v>800</v>
      </c>
      <c r="F264" s="6" t="s">
        <v>1321</v>
      </c>
      <c r="G264" s="6" t="s">
        <v>1560</v>
      </c>
      <c r="H264" s="6" t="s">
        <v>38</v>
      </c>
      <c r="I264" s="6"/>
      <c r="J264" s="6"/>
      <c r="K264" s="6" t="s">
        <v>674</v>
      </c>
      <c r="L264" s="6" t="s">
        <v>304</v>
      </c>
      <c r="M264" s="6" t="s">
        <v>30</v>
      </c>
      <c r="N264" s="6"/>
    </row>
    <row r="265" ht="15.75" customHeight="1">
      <c r="A265" s="6" t="s">
        <v>745</v>
      </c>
      <c r="B265" s="6" t="s">
        <v>1561</v>
      </c>
      <c r="C265" s="6" t="s">
        <v>764</v>
      </c>
      <c r="D265" s="6" t="s">
        <v>429</v>
      </c>
      <c r="E265" s="6" t="s">
        <v>812</v>
      </c>
      <c r="F265" s="6" t="s">
        <v>1321</v>
      </c>
      <c r="G265" s="6" t="s">
        <v>1560</v>
      </c>
      <c r="H265" s="6" t="s">
        <v>1314</v>
      </c>
      <c r="I265" s="6" t="s">
        <v>1303</v>
      </c>
      <c r="L265" s="6" t="s">
        <v>304</v>
      </c>
      <c r="M265" s="6" t="s">
        <v>561</v>
      </c>
    </row>
    <row r="266" ht="15.75" customHeight="1">
      <c r="A266" s="6" t="s">
        <v>745</v>
      </c>
      <c r="B266" s="6" t="s">
        <v>1563</v>
      </c>
      <c r="C266" s="6" t="s">
        <v>747</v>
      </c>
      <c r="D266" s="6" t="s">
        <v>429</v>
      </c>
      <c r="E266" s="6" t="s">
        <v>1113</v>
      </c>
      <c r="F266" s="6" t="s">
        <v>1350</v>
      </c>
      <c r="G266" s="6"/>
      <c r="H266" s="6" t="s">
        <v>26</v>
      </c>
      <c r="I266" s="6" t="s">
        <v>314</v>
      </c>
      <c r="J266" s="6"/>
      <c r="K266" s="6"/>
      <c r="L266" s="6" t="s">
        <v>304</v>
      </c>
      <c r="M266" s="6" t="s">
        <v>984</v>
      </c>
      <c r="N266" s="6"/>
    </row>
    <row r="267" ht="15.75" customHeight="1">
      <c r="A267" s="6" t="s">
        <v>745</v>
      </c>
      <c r="B267" s="6" t="s">
        <v>1354</v>
      </c>
      <c r="C267" s="6" t="s">
        <v>781</v>
      </c>
      <c r="D267" s="6" t="s">
        <v>429</v>
      </c>
      <c r="E267" s="6" t="s">
        <v>1113</v>
      </c>
      <c r="F267" s="6" t="s">
        <v>1350</v>
      </c>
      <c r="G267" s="6"/>
      <c r="H267" s="6" t="s">
        <v>1733</v>
      </c>
      <c r="I267" s="6"/>
      <c r="J267" s="6"/>
      <c r="K267" s="6"/>
      <c r="L267" s="6" t="s">
        <v>304</v>
      </c>
      <c r="M267" s="6" t="s">
        <v>30</v>
      </c>
      <c r="N267" s="6"/>
    </row>
    <row r="268" ht="15.75" customHeight="1">
      <c r="A268" s="6" t="s">
        <v>745</v>
      </c>
      <c r="B268" s="6" t="s">
        <v>1359</v>
      </c>
      <c r="C268" s="6" t="s">
        <v>848</v>
      </c>
      <c r="D268" s="6" t="s">
        <v>429</v>
      </c>
      <c r="E268" s="6" t="s">
        <v>1113</v>
      </c>
      <c r="F268" s="6" t="s">
        <v>1350</v>
      </c>
      <c r="G268" s="6" t="s">
        <v>1567</v>
      </c>
      <c r="H268" s="6" t="s">
        <v>1330</v>
      </c>
      <c r="I268" s="6" t="s">
        <v>1322</v>
      </c>
      <c r="J268" s="6"/>
      <c r="K268" s="6"/>
      <c r="L268" s="6" t="s">
        <v>304</v>
      </c>
      <c r="M268" s="6" t="s">
        <v>30</v>
      </c>
      <c r="N268" s="6"/>
    </row>
    <row r="269" ht="15.75" customHeight="1">
      <c r="A269" s="6" t="s">
        <v>745</v>
      </c>
      <c r="B269" s="6" t="s">
        <v>1569</v>
      </c>
      <c r="C269" s="6" t="s">
        <v>870</v>
      </c>
      <c r="D269" s="6" t="s">
        <v>429</v>
      </c>
      <c r="E269" s="6" t="s">
        <v>812</v>
      </c>
      <c r="F269" s="6" t="s">
        <v>1321</v>
      </c>
      <c r="G269" s="6" t="s">
        <v>1556</v>
      </c>
      <c r="H269" s="6" t="s">
        <v>838</v>
      </c>
      <c r="I269" s="6" t="s">
        <v>497</v>
      </c>
      <c r="K269" s="6" t="s">
        <v>674</v>
      </c>
      <c r="L269" s="6" t="s">
        <v>304</v>
      </c>
      <c r="M269" s="6" t="s">
        <v>561</v>
      </c>
    </row>
    <row r="270" ht="15.75" customHeight="1">
      <c r="A270" s="6" t="s">
        <v>745</v>
      </c>
      <c r="B270" s="6" t="s">
        <v>1365</v>
      </c>
      <c r="C270" s="6" t="s">
        <v>914</v>
      </c>
      <c r="D270" s="6" t="s">
        <v>429</v>
      </c>
      <c r="E270" s="6" t="s">
        <v>1113</v>
      </c>
      <c r="F270" s="6" t="s">
        <v>1350</v>
      </c>
      <c r="G270" s="6"/>
      <c r="H270" s="6" t="s">
        <v>1735</v>
      </c>
      <c r="I270" s="6" t="s">
        <v>314</v>
      </c>
      <c r="J270" s="6"/>
      <c r="K270" s="6"/>
      <c r="L270" s="6" t="s">
        <v>304</v>
      </c>
      <c r="M270" s="6" t="s">
        <v>30</v>
      </c>
      <c r="N270" s="6"/>
    </row>
    <row r="271" ht="15.75" customHeight="1">
      <c r="A271" s="6" t="s">
        <v>745</v>
      </c>
      <c r="B271" s="6" t="s">
        <v>1572</v>
      </c>
      <c r="C271" s="6" t="s">
        <v>840</v>
      </c>
      <c r="D271" s="6" t="s">
        <v>429</v>
      </c>
      <c r="E271" s="6" t="s">
        <v>1113</v>
      </c>
      <c r="F271" s="6" t="s">
        <v>1321</v>
      </c>
      <c r="G271" s="6" t="s">
        <v>1560</v>
      </c>
      <c r="H271" s="6" t="s">
        <v>1330</v>
      </c>
      <c r="I271" s="6" t="s">
        <v>1474</v>
      </c>
      <c r="L271" s="6" t="s">
        <v>304</v>
      </c>
      <c r="M271" s="6" t="s">
        <v>561</v>
      </c>
    </row>
    <row r="272" ht="15.75" customHeight="1">
      <c r="A272" s="6" t="s">
        <v>745</v>
      </c>
      <c r="B272" s="6" t="s">
        <v>1573</v>
      </c>
      <c r="C272" s="6" t="s">
        <v>747</v>
      </c>
      <c r="D272" s="6" t="s">
        <v>429</v>
      </c>
      <c r="E272" s="6" t="s">
        <v>1113</v>
      </c>
      <c r="F272" s="6" t="s">
        <v>1350</v>
      </c>
      <c r="G272" s="6"/>
      <c r="H272" s="6" t="s">
        <v>26</v>
      </c>
      <c r="I272" s="6" t="s">
        <v>314</v>
      </c>
      <c r="J272" s="6"/>
      <c r="K272" s="6"/>
      <c r="L272" s="6" t="s">
        <v>304</v>
      </c>
      <c r="M272" s="6" t="s">
        <v>30</v>
      </c>
      <c r="N272" s="6"/>
    </row>
    <row r="273" ht="15.75" customHeight="1">
      <c r="A273" s="6" t="s">
        <v>745</v>
      </c>
      <c r="B273" s="6" t="s">
        <v>1371</v>
      </c>
      <c r="C273" s="6" t="s">
        <v>825</v>
      </c>
      <c r="D273" s="6" t="s">
        <v>429</v>
      </c>
      <c r="E273" s="6" t="s">
        <v>812</v>
      </c>
      <c r="F273" s="6" t="s">
        <v>1321</v>
      </c>
      <c r="G273" s="6" t="s">
        <v>1560</v>
      </c>
      <c r="H273" s="6" t="s">
        <v>1362</v>
      </c>
      <c r="I273" s="6" t="s">
        <v>1303</v>
      </c>
      <c r="J273" s="6"/>
      <c r="K273" s="6" t="s">
        <v>674</v>
      </c>
      <c r="L273" s="6" t="s">
        <v>304</v>
      </c>
      <c r="M273" s="6" t="s">
        <v>30</v>
      </c>
      <c r="N273" s="6"/>
    </row>
    <row r="274" ht="15.75" customHeight="1">
      <c r="A274" s="6" t="s">
        <v>745</v>
      </c>
      <c r="B274" s="6" t="s">
        <v>1369</v>
      </c>
      <c r="C274" s="6" t="s">
        <v>684</v>
      </c>
      <c r="D274" s="6" t="s">
        <v>429</v>
      </c>
      <c r="E274" s="6" t="s">
        <v>812</v>
      </c>
      <c r="F274" s="6" t="s">
        <v>1321</v>
      </c>
      <c r="G274" s="6" t="s">
        <v>1556</v>
      </c>
      <c r="H274" s="6" t="s">
        <v>26</v>
      </c>
      <c r="I274" s="6" t="s">
        <v>1303</v>
      </c>
      <c r="J274" s="6"/>
      <c r="K274" s="6"/>
      <c r="L274" s="6" t="s">
        <v>304</v>
      </c>
      <c r="M274" s="6" t="s">
        <v>30</v>
      </c>
      <c r="N274" s="6"/>
    </row>
    <row r="275" ht="15.75" customHeight="1">
      <c r="A275" s="6" t="s">
        <v>745</v>
      </c>
      <c r="B275" s="6" t="s">
        <v>1374</v>
      </c>
      <c r="C275" s="6" t="s">
        <v>705</v>
      </c>
      <c r="D275" s="6" t="s">
        <v>429</v>
      </c>
      <c r="E275" s="6" t="s">
        <v>800</v>
      </c>
      <c r="F275" s="6" t="s">
        <v>1321</v>
      </c>
      <c r="G275" s="6" t="s">
        <v>1560</v>
      </c>
      <c r="H275" s="6" t="s">
        <v>26</v>
      </c>
      <c r="I275" s="6" t="s">
        <v>1322</v>
      </c>
      <c r="J275" s="6"/>
      <c r="K275" s="6"/>
      <c r="L275" s="6" t="s">
        <v>304</v>
      </c>
      <c r="M275" s="6" t="s">
        <v>30</v>
      </c>
      <c r="N275" s="6"/>
    </row>
    <row r="276" ht="15.75" customHeight="1">
      <c r="A276" s="6" t="s">
        <v>745</v>
      </c>
      <c r="B276" s="6" t="s">
        <v>1375</v>
      </c>
      <c r="C276" s="6" t="s">
        <v>690</v>
      </c>
      <c r="D276" s="6" t="s">
        <v>429</v>
      </c>
      <c r="E276" s="6" t="s">
        <v>1113</v>
      </c>
      <c r="F276" s="6" t="s">
        <v>1321</v>
      </c>
      <c r="G276" s="6" t="s">
        <v>1560</v>
      </c>
      <c r="H276" s="6" t="s">
        <v>70</v>
      </c>
      <c r="I276" s="6" t="s">
        <v>1303</v>
      </c>
      <c r="J276" s="6"/>
      <c r="K276" s="6" t="s">
        <v>674</v>
      </c>
      <c r="L276" s="6" t="s">
        <v>304</v>
      </c>
      <c r="M276" s="6" t="s">
        <v>30</v>
      </c>
      <c r="N276" s="6"/>
    </row>
    <row r="277" ht="15.75" customHeight="1">
      <c r="A277" s="6" t="s">
        <v>745</v>
      </c>
      <c r="B277" s="6" t="s">
        <v>1379</v>
      </c>
      <c r="C277" s="6" t="s">
        <v>848</v>
      </c>
      <c r="D277" s="6" t="s">
        <v>429</v>
      </c>
      <c r="E277" s="6" t="s">
        <v>812</v>
      </c>
      <c r="F277" s="6" t="s">
        <v>1549</v>
      </c>
      <c r="G277" s="6" t="s">
        <v>1577</v>
      </c>
      <c r="H277" s="6" t="s">
        <v>453</v>
      </c>
      <c r="I277" s="6" t="s">
        <v>314</v>
      </c>
      <c r="J277" s="6"/>
      <c r="K277" s="6"/>
      <c r="L277" s="6" t="s">
        <v>304</v>
      </c>
      <c r="M277" s="6" t="s">
        <v>30</v>
      </c>
      <c r="N277" s="6"/>
    </row>
    <row r="278" ht="15.75" customHeight="1">
      <c r="A278" s="6" t="s">
        <v>745</v>
      </c>
      <c r="B278" s="6" t="s">
        <v>1381</v>
      </c>
      <c r="C278" s="6" t="s">
        <v>840</v>
      </c>
      <c r="D278" s="6" t="s">
        <v>429</v>
      </c>
      <c r="E278" s="6" t="s">
        <v>812</v>
      </c>
      <c r="F278" s="6" t="s">
        <v>1321</v>
      </c>
      <c r="G278" s="6" t="s">
        <v>1556</v>
      </c>
      <c r="H278" s="6" t="s">
        <v>838</v>
      </c>
      <c r="I278" s="6" t="s">
        <v>1303</v>
      </c>
      <c r="K278" s="6" t="s">
        <v>674</v>
      </c>
      <c r="L278" s="6" t="s">
        <v>304</v>
      </c>
      <c r="M278" s="6" t="s">
        <v>561</v>
      </c>
    </row>
    <row r="279" ht="15.75" customHeight="1">
      <c r="A279" s="6" t="s">
        <v>745</v>
      </c>
      <c r="B279" s="6" t="s">
        <v>1522</v>
      </c>
      <c r="C279" s="6" t="s">
        <v>690</v>
      </c>
      <c r="D279" s="6" t="s">
        <v>429</v>
      </c>
      <c r="E279" s="6" t="s">
        <v>812</v>
      </c>
      <c r="F279" s="6" t="s">
        <v>1321</v>
      </c>
      <c r="G279" s="6" t="s">
        <v>1560</v>
      </c>
      <c r="H279" s="6" t="s">
        <v>26</v>
      </c>
      <c r="I279" s="6" t="s">
        <v>1303</v>
      </c>
      <c r="J279" s="6"/>
      <c r="K279" s="6"/>
      <c r="L279" s="6" t="s">
        <v>304</v>
      </c>
      <c r="M279" s="6" t="s">
        <v>30</v>
      </c>
      <c r="N279" s="6"/>
    </row>
    <row r="280" ht="15.75" customHeight="1">
      <c r="A280" s="6" t="s">
        <v>745</v>
      </c>
      <c r="B280" s="6" t="s">
        <v>1578</v>
      </c>
      <c r="C280" s="6" t="s">
        <v>747</v>
      </c>
      <c r="D280" s="6" t="s">
        <v>429</v>
      </c>
      <c r="E280" s="6" t="s">
        <v>800</v>
      </c>
      <c r="F280" s="6" t="s">
        <v>1321</v>
      </c>
      <c r="G280" s="6" t="s">
        <v>1556</v>
      </c>
      <c r="H280" s="6" t="s">
        <v>838</v>
      </c>
      <c r="I280" s="6" t="s">
        <v>1579</v>
      </c>
      <c r="J280" s="6"/>
      <c r="K280" s="6" t="s">
        <v>674</v>
      </c>
      <c r="L280" s="6" t="s">
        <v>304</v>
      </c>
      <c r="M280" s="6" t="s">
        <v>561</v>
      </c>
      <c r="N280" s="6"/>
    </row>
    <row r="281" ht="15.75" customHeight="1">
      <c r="A281" s="6" t="s">
        <v>745</v>
      </c>
      <c r="B281" s="6" t="s">
        <v>1383</v>
      </c>
      <c r="C281" s="6" t="s">
        <v>747</v>
      </c>
      <c r="D281" s="6" t="s">
        <v>429</v>
      </c>
      <c r="E281" s="6" t="s">
        <v>1113</v>
      </c>
      <c r="F281" s="6" t="s">
        <v>1455</v>
      </c>
      <c r="G281" s="6"/>
      <c r="H281" s="6" t="s">
        <v>1580</v>
      </c>
      <c r="I281" s="6" t="s">
        <v>497</v>
      </c>
      <c r="J281" s="6"/>
      <c r="K281" s="6"/>
      <c r="L281" s="6" t="s">
        <v>304</v>
      </c>
      <c r="M281" s="6" t="s">
        <v>30</v>
      </c>
      <c r="N281" s="6"/>
    </row>
    <row r="282" ht="15.75" customHeight="1">
      <c r="A282" s="6" t="s">
        <v>745</v>
      </c>
      <c r="B282" s="6" t="s">
        <v>1582</v>
      </c>
      <c r="C282" s="6" t="s">
        <v>700</v>
      </c>
      <c r="D282" s="6" t="s">
        <v>429</v>
      </c>
      <c r="E282" s="6" t="s">
        <v>812</v>
      </c>
      <c r="F282" s="6" t="s">
        <v>85</v>
      </c>
      <c r="G282" s="6" t="s">
        <v>1583</v>
      </c>
      <c r="H282" s="6" t="s">
        <v>88</v>
      </c>
      <c r="I282" s="6" t="s">
        <v>159</v>
      </c>
      <c r="J282" s="6"/>
      <c r="K282" s="6" t="s">
        <v>941</v>
      </c>
      <c r="L282" s="6" t="s">
        <v>304</v>
      </c>
      <c r="M282" s="6" t="s">
        <v>30</v>
      </c>
      <c r="N282" s="6"/>
    </row>
    <row r="283" ht="15.75" customHeight="1">
      <c r="A283" s="6" t="s">
        <v>745</v>
      </c>
      <c r="B283" s="6" t="s">
        <v>1584</v>
      </c>
      <c r="C283" s="6" t="s">
        <v>690</v>
      </c>
      <c r="D283" s="6" t="s">
        <v>429</v>
      </c>
      <c r="E283" s="6" t="s">
        <v>1113</v>
      </c>
      <c r="F283" s="6" t="s">
        <v>1350</v>
      </c>
      <c r="G283" s="6"/>
      <c r="H283" s="6" t="s">
        <v>1585</v>
      </c>
      <c r="I283" s="6" t="s">
        <v>1303</v>
      </c>
      <c r="J283" s="6"/>
      <c r="K283" s="6"/>
      <c r="L283" s="6" t="s">
        <v>304</v>
      </c>
      <c r="M283" s="6" t="s">
        <v>30</v>
      </c>
      <c r="N283" s="6"/>
    </row>
    <row r="284" ht="15.75" customHeight="1">
      <c r="A284" s="6" t="s">
        <v>745</v>
      </c>
      <c r="B284" s="6" t="s">
        <v>1386</v>
      </c>
      <c r="C284" s="6" t="s">
        <v>705</v>
      </c>
      <c r="D284" s="6" t="s">
        <v>429</v>
      </c>
      <c r="E284" s="6" t="s">
        <v>1113</v>
      </c>
      <c r="F284" s="6" t="s">
        <v>1377</v>
      </c>
      <c r="G284" s="6" t="s">
        <v>1587</v>
      </c>
      <c r="H284" s="6" t="s">
        <v>1525</v>
      </c>
      <c r="I284" s="6" t="s">
        <v>1303</v>
      </c>
      <c r="J284" s="6"/>
      <c r="K284" s="6"/>
      <c r="L284" s="6" t="s">
        <v>304</v>
      </c>
      <c r="M284" s="6" t="s">
        <v>561</v>
      </c>
      <c r="N284" s="6"/>
    </row>
    <row r="285" ht="15.75" customHeight="1">
      <c r="A285" s="6" t="s">
        <v>745</v>
      </c>
      <c r="B285" s="6" t="s">
        <v>1491</v>
      </c>
      <c r="C285" s="6" t="s">
        <v>837</v>
      </c>
      <c r="D285" s="6" t="s">
        <v>429</v>
      </c>
      <c r="E285" s="6" t="s">
        <v>1113</v>
      </c>
      <c r="F285" s="6" t="s">
        <v>1455</v>
      </c>
      <c r="H285" s="6" t="s">
        <v>1742</v>
      </c>
      <c r="I285" s="6" t="s">
        <v>314</v>
      </c>
      <c r="L285" s="6" t="s">
        <v>304</v>
      </c>
      <c r="M285" s="6" t="s">
        <v>561</v>
      </c>
    </row>
    <row r="286" ht="15.75" customHeight="1">
      <c r="A286" s="6" t="s">
        <v>745</v>
      </c>
      <c r="B286" s="6" t="s">
        <v>1388</v>
      </c>
      <c r="C286" s="6" t="s">
        <v>705</v>
      </c>
      <c r="D286" s="6" t="s">
        <v>429</v>
      </c>
      <c r="E286" s="6" t="s">
        <v>1113</v>
      </c>
      <c r="F286" s="6" t="s">
        <v>1377</v>
      </c>
      <c r="G286" s="6" t="s">
        <v>1587</v>
      </c>
      <c r="H286" s="6" t="s">
        <v>1293</v>
      </c>
      <c r="I286" s="6" t="s">
        <v>1303</v>
      </c>
      <c r="J286" s="6"/>
      <c r="K286" s="6"/>
      <c r="L286" s="6" t="s">
        <v>304</v>
      </c>
      <c r="M286" s="6" t="s">
        <v>30</v>
      </c>
      <c r="N286" s="6"/>
    </row>
    <row r="287" ht="15.75" customHeight="1">
      <c r="A287" s="6" t="s">
        <v>745</v>
      </c>
      <c r="B287" s="6" t="s">
        <v>1393</v>
      </c>
      <c r="C287" s="6" t="s">
        <v>672</v>
      </c>
      <c r="D287" s="6" t="s">
        <v>429</v>
      </c>
      <c r="E287" s="6" t="s">
        <v>1113</v>
      </c>
      <c r="F287" s="6" t="s">
        <v>1377</v>
      </c>
      <c r="G287" s="6"/>
      <c r="H287" s="6" t="s">
        <v>1743</v>
      </c>
      <c r="I287" s="6" t="s">
        <v>1303</v>
      </c>
      <c r="J287" s="6"/>
      <c r="K287" s="6"/>
      <c r="L287" s="6" t="s">
        <v>304</v>
      </c>
      <c r="M287" s="6" t="s">
        <v>30</v>
      </c>
      <c r="N287" s="6"/>
    </row>
    <row r="288" ht="15.75" customHeight="1">
      <c r="A288" s="6" t="s">
        <v>745</v>
      </c>
      <c r="B288" s="6" t="s">
        <v>1403</v>
      </c>
      <c r="C288" s="6" t="s">
        <v>672</v>
      </c>
      <c r="D288" s="6" t="s">
        <v>429</v>
      </c>
      <c r="E288" s="6" t="s">
        <v>812</v>
      </c>
      <c r="F288" s="6" t="s">
        <v>1321</v>
      </c>
      <c r="G288" s="6" t="s">
        <v>1556</v>
      </c>
      <c r="H288" s="6" t="s">
        <v>1547</v>
      </c>
      <c r="I288" s="6" t="s">
        <v>314</v>
      </c>
      <c r="J288" s="6"/>
      <c r="K288" s="6"/>
      <c r="L288" s="6" t="s">
        <v>304</v>
      </c>
      <c r="M288" s="6" t="s">
        <v>30</v>
      </c>
      <c r="N288" s="6"/>
    </row>
    <row r="289" ht="15.75" customHeight="1"/>
    <row r="290" ht="15.75" customHeight="1">
      <c r="A290" s="16" t="s">
        <v>738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ht="15.75" customHeight="1">
      <c r="A291" s="17" t="s">
        <v>174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 ht="15.75" customHeight="1">
      <c r="A292" s="18" t="s">
        <v>4</v>
      </c>
      <c r="B292" s="18" t="s">
        <v>6</v>
      </c>
      <c r="C292" s="18" t="s">
        <v>7</v>
      </c>
      <c r="D292" s="18" t="s">
        <v>8</v>
      </c>
      <c r="E292" s="18" t="s">
        <v>9</v>
      </c>
      <c r="F292" s="18" t="s">
        <v>10</v>
      </c>
      <c r="G292" s="18" t="s">
        <v>11</v>
      </c>
      <c r="H292" s="18" t="s">
        <v>12</v>
      </c>
      <c r="I292" s="18" t="s">
        <v>13</v>
      </c>
      <c r="J292" s="18" t="s">
        <v>14</v>
      </c>
      <c r="K292" s="18" t="s">
        <v>15</v>
      </c>
      <c r="L292" s="18" t="s">
        <v>16</v>
      </c>
      <c r="M292" s="18" t="s">
        <v>17</v>
      </c>
      <c r="N292" s="18" t="s">
        <v>18</v>
      </c>
    </row>
    <row r="293" ht="15.75" customHeight="1">
      <c r="A293" s="6" t="s">
        <v>745</v>
      </c>
      <c r="B293" s="6" t="s">
        <v>1412</v>
      </c>
      <c r="C293" s="6" t="s">
        <v>770</v>
      </c>
      <c r="D293" s="6" t="s">
        <v>429</v>
      </c>
      <c r="E293" s="6" t="s">
        <v>430</v>
      </c>
      <c r="F293" s="6" t="s">
        <v>78</v>
      </c>
      <c r="G293" s="6" t="s">
        <v>1556</v>
      </c>
      <c r="H293" s="6" t="s">
        <v>26</v>
      </c>
      <c r="I293" s="6" t="s">
        <v>497</v>
      </c>
      <c r="J293" s="6"/>
      <c r="K293" s="6"/>
      <c r="L293" s="6" t="s">
        <v>304</v>
      </c>
      <c r="M293" s="6" t="s">
        <v>59</v>
      </c>
      <c r="N293" s="6"/>
    </row>
    <row r="294" ht="15.75" customHeight="1">
      <c r="A294" s="6" t="s">
        <v>745</v>
      </c>
      <c r="B294" s="6" t="s">
        <v>1414</v>
      </c>
      <c r="C294" s="6" t="s">
        <v>870</v>
      </c>
      <c r="D294" s="6" t="s">
        <v>429</v>
      </c>
      <c r="E294" s="6" t="s">
        <v>438</v>
      </c>
      <c r="F294" s="6" t="s">
        <v>1416</v>
      </c>
      <c r="G294" s="6" t="s">
        <v>1599</v>
      </c>
      <c r="H294" s="6" t="s">
        <v>1744</v>
      </c>
      <c r="I294" s="6"/>
      <c r="J294" s="6"/>
      <c r="K294" s="6" t="s">
        <v>724</v>
      </c>
      <c r="L294" s="6" t="s">
        <v>304</v>
      </c>
      <c r="M294" s="6" t="s">
        <v>59</v>
      </c>
      <c r="N294" s="6"/>
    </row>
    <row r="295" ht="15.75" customHeight="1">
      <c r="A295" s="6" t="s">
        <v>745</v>
      </c>
      <c r="B295" s="6" t="s">
        <v>537</v>
      </c>
      <c r="C295" s="6" t="s">
        <v>825</v>
      </c>
      <c r="D295" s="6" t="s">
        <v>429</v>
      </c>
      <c r="E295" s="6" t="s">
        <v>946</v>
      </c>
      <c r="F295" s="6" t="s">
        <v>67</v>
      </c>
      <c r="G295" s="6" t="s">
        <v>1601</v>
      </c>
      <c r="H295" s="6" t="s">
        <v>26</v>
      </c>
      <c r="I295" s="6" t="s">
        <v>543</v>
      </c>
      <c r="J295" s="6"/>
      <c r="K295" s="6"/>
      <c r="L295" s="6" t="s">
        <v>304</v>
      </c>
      <c r="M295" s="6" t="s">
        <v>59</v>
      </c>
      <c r="N295" s="6"/>
    </row>
    <row r="296" ht="15.75" customHeight="1">
      <c r="A296" s="6" t="s">
        <v>745</v>
      </c>
      <c r="B296" s="6" t="s">
        <v>1419</v>
      </c>
      <c r="C296" s="6" t="s">
        <v>747</v>
      </c>
      <c r="D296" s="6" t="s">
        <v>429</v>
      </c>
      <c r="E296" s="6" t="s">
        <v>438</v>
      </c>
      <c r="F296" s="6" t="s">
        <v>1377</v>
      </c>
      <c r="G296" s="6"/>
      <c r="H296" s="6" t="s">
        <v>1746</v>
      </c>
      <c r="I296" s="6" t="s">
        <v>1603</v>
      </c>
      <c r="J296" s="6" t="s">
        <v>1422</v>
      </c>
      <c r="K296" s="6"/>
      <c r="L296" s="6" t="s">
        <v>304</v>
      </c>
      <c r="M296" s="6" t="s">
        <v>59</v>
      </c>
      <c r="N296" s="6"/>
    </row>
    <row r="297" ht="15.75" customHeight="1">
      <c r="A297" s="6" t="s">
        <v>745</v>
      </c>
      <c r="B297" s="6" t="s">
        <v>1423</v>
      </c>
      <c r="C297" s="6" t="s">
        <v>690</v>
      </c>
      <c r="D297" s="6" t="s">
        <v>429</v>
      </c>
      <c r="E297" s="6" t="s">
        <v>430</v>
      </c>
      <c r="F297" s="6" t="s">
        <v>1400</v>
      </c>
      <c r="G297" s="6" t="s">
        <v>1747</v>
      </c>
      <c r="H297" s="6" t="s">
        <v>1402</v>
      </c>
      <c r="I297" s="6" t="s">
        <v>497</v>
      </c>
      <c r="J297" s="6"/>
      <c r="K297" s="6" t="s">
        <v>941</v>
      </c>
      <c r="L297" s="6" t="s">
        <v>304</v>
      </c>
      <c r="M297" s="6" t="s">
        <v>59</v>
      </c>
      <c r="N297" s="6"/>
    </row>
    <row r="298" ht="15.75" customHeight="1">
      <c r="A298" s="6" t="s">
        <v>745</v>
      </c>
      <c r="B298" s="6" t="s">
        <v>1427</v>
      </c>
      <c r="C298" s="6" t="s">
        <v>747</v>
      </c>
      <c r="D298" s="6" t="s">
        <v>429</v>
      </c>
      <c r="E298" s="6" t="s">
        <v>438</v>
      </c>
      <c r="F298" s="6" t="s">
        <v>1377</v>
      </c>
      <c r="G298" s="6" t="s">
        <v>1587</v>
      </c>
      <c r="H298" s="6" t="s">
        <v>1750</v>
      </c>
      <c r="I298" s="6" t="s">
        <v>1303</v>
      </c>
      <c r="J298" s="6" t="s">
        <v>1430</v>
      </c>
      <c r="K298" s="6" t="s">
        <v>674</v>
      </c>
      <c r="L298" s="6" t="s">
        <v>304</v>
      </c>
      <c r="M298" s="6" t="s">
        <v>59</v>
      </c>
      <c r="N298" s="6"/>
    </row>
    <row r="299" ht="15.75" customHeight="1">
      <c r="A299" s="6" t="s">
        <v>745</v>
      </c>
      <c r="B299" s="6" t="s">
        <v>1545</v>
      </c>
      <c r="C299" s="6" t="s">
        <v>747</v>
      </c>
      <c r="D299" s="6" t="s">
        <v>429</v>
      </c>
      <c r="E299" s="6" t="s">
        <v>430</v>
      </c>
      <c r="F299" s="6" t="s">
        <v>244</v>
      </c>
      <c r="G299" s="6" t="s">
        <v>1611</v>
      </c>
      <c r="H299" s="6" t="s">
        <v>1470</v>
      </c>
      <c r="I299" s="6" t="s">
        <v>1303</v>
      </c>
      <c r="J299" s="6"/>
      <c r="K299" s="6"/>
      <c r="L299" s="6" t="s">
        <v>304</v>
      </c>
      <c r="M299" s="6" t="s">
        <v>59</v>
      </c>
      <c r="N299" s="6"/>
    </row>
    <row r="300" ht="15.75" customHeight="1">
      <c r="A300" s="6" t="s">
        <v>745</v>
      </c>
      <c r="B300" s="6" t="s">
        <v>1431</v>
      </c>
      <c r="C300" s="6" t="s">
        <v>747</v>
      </c>
      <c r="D300" s="6" t="s">
        <v>429</v>
      </c>
      <c r="E300" s="6" t="s">
        <v>438</v>
      </c>
      <c r="F300" s="6" t="s">
        <v>1377</v>
      </c>
      <c r="G300" s="6"/>
      <c r="H300" s="6" t="s">
        <v>1755</v>
      </c>
      <c r="I300" s="6" t="s">
        <v>314</v>
      </c>
      <c r="J300" s="6" t="s">
        <v>1434</v>
      </c>
      <c r="K300" s="6"/>
      <c r="L300" s="6" t="s">
        <v>304</v>
      </c>
      <c r="M300" s="6" t="s">
        <v>59</v>
      </c>
      <c r="N300" s="6"/>
    </row>
    <row r="301" ht="15.75" customHeight="1">
      <c r="A301" s="6" t="s">
        <v>745</v>
      </c>
      <c r="B301" s="6" t="s">
        <v>1435</v>
      </c>
      <c r="C301" s="6" t="s">
        <v>705</v>
      </c>
      <c r="D301" s="6" t="s">
        <v>429</v>
      </c>
      <c r="E301" s="6" t="s">
        <v>438</v>
      </c>
      <c r="F301" s="6" t="s">
        <v>1416</v>
      </c>
      <c r="G301" s="6"/>
      <c r="H301" s="6" t="s">
        <v>120</v>
      </c>
      <c r="I301" s="6" t="s">
        <v>1437</v>
      </c>
      <c r="J301" s="6"/>
      <c r="K301" s="6" t="s">
        <v>674</v>
      </c>
      <c r="L301" s="6" t="s">
        <v>304</v>
      </c>
      <c r="M301" s="6" t="s">
        <v>30</v>
      </c>
      <c r="N301" s="6"/>
    </row>
    <row r="302" ht="15.75" customHeight="1">
      <c r="A302" s="6" t="s">
        <v>745</v>
      </c>
      <c r="B302" s="6" t="s">
        <v>1615</v>
      </c>
      <c r="C302" s="6" t="s">
        <v>781</v>
      </c>
      <c r="D302" s="6" t="s">
        <v>429</v>
      </c>
      <c r="E302" s="6" t="s">
        <v>438</v>
      </c>
      <c r="F302" s="6" t="s">
        <v>1416</v>
      </c>
      <c r="G302" s="6" t="s">
        <v>1616</v>
      </c>
      <c r="H302" s="6" t="s">
        <v>1756</v>
      </c>
      <c r="I302" s="6" t="s">
        <v>1303</v>
      </c>
      <c r="L302" s="6" t="s">
        <v>304</v>
      </c>
      <c r="M302" s="6" t="s">
        <v>373</v>
      </c>
    </row>
    <row r="303" ht="15.75" customHeight="1"/>
    <row r="304" ht="15.75" customHeight="1">
      <c r="A304" s="16" t="s">
        <v>809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ht="15.75" customHeight="1">
      <c r="A305" s="17" t="s">
        <v>1449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 ht="15.75" customHeight="1">
      <c r="A306" s="18" t="s">
        <v>4</v>
      </c>
      <c r="B306" s="18" t="s">
        <v>6</v>
      </c>
      <c r="C306" s="18" t="s">
        <v>7</v>
      </c>
      <c r="D306" s="18" t="s">
        <v>8</v>
      </c>
      <c r="E306" s="18" t="s">
        <v>9</v>
      </c>
      <c r="F306" s="18" t="s">
        <v>10</v>
      </c>
      <c r="G306" s="18" t="s">
        <v>11</v>
      </c>
      <c r="H306" s="18" t="s">
        <v>12</v>
      </c>
      <c r="I306" s="18" t="s">
        <v>13</v>
      </c>
      <c r="J306" s="18" t="s">
        <v>14</v>
      </c>
      <c r="K306" s="18" t="s">
        <v>15</v>
      </c>
      <c r="L306" s="18" t="s">
        <v>16</v>
      </c>
      <c r="M306" s="18" t="s">
        <v>17</v>
      </c>
      <c r="N306" s="18" t="s">
        <v>18</v>
      </c>
    </row>
    <row r="307" ht="15.75" customHeight="1">
      <c r="A307" s="6" t="s">
        <v>818</v>
      </c>
      <c r="B307" s="6" t="s">
        <v>1618</v>
      </c>
      <c r="C307" s="6" t="s">
        <v>781</v>
      </c>
      <c r="D307" s="6" t="s">
        <v>429</v>
      </c>
      <c r="E307" s="6" t="s">
        <v>1113</v>
      </c>
      <c r="F307" s="6" t="s">
        <v>1350</v>
      </c>
      <c r="G307" s="6"/>
      <c r="H307" s="6" t="s">
        <v>1757</v>
      </c>
      <c r="I307" s="6" t="s">
        <v>561</v>
      </c>
      <c r="J307" s="6"/>
      <c r="K307" s="6"/>
      <c r="L307" s="6" t="s">
        <v>304</v>
      </c>
      <c r="M307" s="6" t="s">
        <v>30</v>
      </c>
      <c r="N307" s="6"/>
    </row>
    <row r="308" ht="15.75" customHeight="1">
      <c r="A308" s="6" t="s">
        <v>818</v>
      </c>
      <c r="B308" s="6" t="s">
        <v>1705</v>
      </c>
      <c r="C308" s="6" t="s">
        <v>914</v>
      </c>
      <c r="D308" s="6" t="s">
        <v>429</v>
      </c>
      <c r="E308" s="6" t="s">
        <v>812</v>
      </c>
      <c r="F308" s="6" t="s">
        <v>1321</v>
      </c>
      <c r="G308" s="6" t="s">
        <v>1556</v>
      </c>
      <c r="H308" s="6" t="s">
        <v>1758</v>
      </c>
      <c r="I308" s="6" t="s">
        <v>1303</v>
      </c>
      <c r="J308" s="6"/>
      <c r="K308" s="6"/>
      <c r="L308" s="6" t="s">
        <v>304</v>
      </c>
      <c r="M308" s="6" t="s">
        <v>30</v>
      </c>
      <c r="N308" s="6"/>
    </row>
    <row r="309" ht="15.75" customHeight="1">
      <c r="A309" s="6" t="s">
        <v>818</v>
      </c>
      <c r="B309" s="6" t="s">
        <v>1501</v>
      </c>
      <c r="C309" s="6" t="s">
        <v>721</v>
      </c>
      <c r="D309" s="6" t="s">
        <v>429</v>
      </c>
      <c r="E309" s="6" t="s">
        <v>812</v>
      </c>
      <c r="F309" s="6" t="s">
        <v>67</v>
      </c>
      <c r="G309" s="6" t="s">
        <v>1601</v>
      </c>
      <c r="H309" s="6" t="s">
        <v>1759</v>
      </c>
      <c r="I309" s="6" t="s">
        <v>1303</v>
      </c>
      <c r="J309" s="6"/>
      <c r="K309" s="6"/>
      <c r="L309" s="6" t="s">
        <v>304</v>
      </c>
      <c r="M309" s="6" t="s">
        <v>30</v>
      </c>
      <c r="N309" s="6"/>
    </row>
    <row r="310" ht="15.75" customHeight="1">
      <c r="A310" s="6" t="s">
        <v>818</v>
      </c>
      <c r="B310" s="6" t="s">
        <v>1359</v>
      </c>
      <c r="C310" s="6" t="s">
        <v>781</v>
      </c>
      <c r="D310" s="6" t="s">
        <v>429</v>
      </c>
      <c r="E310" s="6" t="s">
        <v>1113</v>
      </c>
      <c r="F310" s="6" t="s">
        <v>1350</v>
      </c>
      <c r="G310" s="6" t="s">
        <v>1567</v>
      </c>
      <c r="H310" s="6" t="s">
        <v>1337</v>
      </c>
      <c r="I310" s="6" t="s">
        <v>1322</v>
      </c>
      <c r="J310" s="6"/>
      <c r="K310" s="6"/>
      <c r="L310" s="6" t="s">
        <v>304</v>
      </c>
      <c r="M310" s="6" t="s">
        <v>30</v>
      </c>
      <c r="N310" s="6"/>
    </row>
    <row r="311" ht="15.75" customHeight="1">
      <c r="A311" s="6" t="s">
        <v>818</v>
      </c>
      <c r="B311" s="6" t="s">
        <v>1626</v>
      </c>
      <c r="C311" s="6" t="s">
        <v>672</v>
      </c>
      <c r="D311" s="6" t="s">
        <v>429</v>
      </c>
      <c r="E311" s="6" t="s">
        <v>1113</v>
      </c>
      <c r="F311" s="6" t="s">
        <v>1416</v>
      </c>
      <c r="G311" s="6"/>
      <c r="H311" s="6" t="s">
        <v>1684</v>
      </c>
      <c r="I311" s="6" t="s">
        <v>1467</v>
      </c>
      <c r="J311" s="6"/>
      <c r="K311" s="6"/>
      <c r="L311" s="6" t="s">
        <v>304</v>
      </c>
      <c r="M311" s="6" t="s">
        <v>30</v>
      </c>
      <c r="N311" s="6"/>
    </row>
    <row r="312" ht="15.75" customHeight="1">
      <c r="A312" s="6" t="s">
        <v>818</v>
      </c>
      <c r="B312" s="6" t="s">
        <v>1760</v>
      </c>
      <c r="C312" s="6" t="s">
        <v>700</v>
      </c>
      <c r="D312" s="6" t="s">
        <v>429</v>
      </c>
      <c r="E312" s="6" t="s">
        <v>812</v>
      </c>
      <c r="F312" s="6" t="s">
        <v>1321</v>
      </c>
      <c r="G312" s="6" t="s">
        <v>1560</v>
      </c>
      <c r="H312" s="6" t="s">
        <v>1302</v>
      </c>
      <c r="I312" s="6" t="s">
        <v>314</v>
      </c>
      <c r="J312" s="6"/>
      <c r="K312" s="6" t="s">
        <v>724</v>
      </c>
      <c r="L312" s="6" t="s">
        <v>304</v>
      </c>
      <c r="M312" s="6" t="s">
        <v>30</v>
      </c>
      <c r="N312" s="6"/>
    </row>
    <row r="313" ht="15.75" customHeight="1">
      <c r="A313" s="6" t="s">
        <v>818</v>
      </c>
      <c r="B313" s="6" t="s">
        <v>1627</v>
      </c>
      <c r="C313" s="6" t="s">
        <v>848</v>
      </c>
      <c r="D313" s="6" t="s">
        <v>429</v>
      </c>
      <c r="E313" s="6" t="s">
        <v>1113</v>
      </c>
      <c r="F313" s="6" t="s">
        <v>1377</v>
      </c>
      <c r="G313" s="6"/>
      <c r="H313" s="6" t="s">
        <v>1761</v>
      </c>
      <c r="I313" s="6" t="s">
        <v>314</v>
      </c>
      <c r="J313" s="6"/>
      <c r="K313" s="6"/>
      <c r="L313" s="6" t="s">
        <v>304</v>
      </c>
      <c r="M313" s="6" t="s">
        <v>561</v>
      </c>
      <c r="N313" s="6"/>
    </row>
    <row r="314" ht="15.75" customHeight="1">
      <c r="A314" s="6" t="s">
        <v>818</v>
      </c>
      <c r="B314" s="6" t="s">
        <v>1371</v>
      </c>
      <c r="C314" s="6" t="s">
        <v>837</v>
      </c>
      <c r="D314" s="6" t="s">
        <v>429</v>
      </c>
      <c r="E314" s="6" t="s">
        <v>1113</v>
      </c>
      <c r="F314" s="6" t="s">
        <v>1377</v>
      </c>
      <c r="G314" s="6"/>
      <c r="H314" s="6" t="s">
        <v>1762</v>
      </c>
      <c r="I314" s="6" t="s">
        <v>1303</v>
      </c>
      <c r="J314" s="6"/>
      <c r="K314" s="6"/>
      <c r="L314" s="6" t="s">
        <v>304</v>
      </c>
      <c r="M314" s="6" t="s">
        <v>30</v>
      </c>
      <c r="N314" s="6"/>
    </row>
    <row r="315" ht="15.75" customHeight="1">
      <c r="A315" s="6" t="s">
        <v>818</v>
      </c>
      <c r="B315" s="6" t="s">
        <v>1374</v>
      </c>
      <c r="C315" s="6" t="s">
        <v>870</v>
      </c>
      <c r="D315" s="6" t="s">
        <v>429</v>
      </c>
      <c r="E315" s="6" t="s">
        <v>812</v>
      </c>
      <c r="F315" s="6" t="s">
        <v>1321</v>
      </c>
      <c r="G315" s="6" t="s">
        <v>1560</v>
      </c>
      <c r="H315" s="6" t="s">
        <v>66</v>
      </c>
      <c r="I315" s="6" t="s">
        <v>1322</v>
      </c>
      <c r="J315" s="6"/>
      <c r="K315" s="6"/>
      <c r="L315" s="6" t="s">
        <v>304</v>
      </c>
      <c r="M315" s="6" t="s">
        <v>30</v>
      </c>
      <c r="N315" s="6"/>
    </row>
    <row r="316" ht="15.75" customHeight="1">
      <c r="A316" s="6" t="s">
        <v>818</v>
      </c>
      <c r="B316" s="6" t="s">
        <v>1518</v>
      </c>
      <c r="C316" s="6" t="s">
        <v>672</v>
      </c>
      <c r="D316" s="6" t="s">
        <v>429</v>
      </c>
      <c r="E316" s="6" t="s">
        <v>1113</v>
      </c>
      <c r="F316" s="6" t="s">
        <v>1350</v>
      </c>
      <c r="G316" s="6"/>
      <c r="H316" s="6" t="s">
        <v>1763</v>
      </c>
      <c r="I316" s="6" t="s">
        <v>1521</v>
      </c>
      <c r="J316" s="6"/>
      <c r="K316" s="6"/>
      <c r="L316" s="6" t="s">
        <v>304</v>
      </c>
      <c r="M316" s="6" t="s">
        <v>30</v>
      </c>
      <c r="N316" s="6"/>
    </row>
    <row r="317" ht="15.75" customHeight="1">
      <c r="A317" s="6" t="s">
        <v>818</v>
      </c>
      <c r="B317" s="6" t="s">
        <v>1523</v>
      </c>
      <c r="C317" s="6" t="s">
        <v>690</v>
      </c>
      <c r="D317" s="6" t="s">
        <v>429</v>
      </c>
      <c r="E317" s="6" t="s">
        <v>812</v>
      </c>
      <c r="F317" s="6" t="s">
        <v>1321</v>
      </c>
      <c r="G317" s="6" t="s">
        <v>1556</v>
      </c>
      <c r="H317" s="6" t="s">
        <v>1407</v>
      </c>
      <c r="I317" s="6" t="s">
        <v>1303</v>
      </c>
      <c r="J317" s="6"/>
      <c r="K317" s="6"/>
      <c r="L317" s="6" t="s">
        <v>304</v>
      </c>
      <c r="M317" s="6" t="s">
        <v>30</v>
      </c>
      <c r="N317" s="6"/>
    </row>
    <row r="318" ht="15.75" customHeight="1">
      <c r="A318" s="6" t="s">
        <v>818</v>
      </c>
      <c r="B318" s="6" t="s">
        <v>1634</v>
      </c>
      <c r="C318" s="6" t="s">
        <v>705</v>
      </c>
      <c r="D318" s="6" t="s">
        <v>429</v>
      </c>
      <c r="E318" s="6" t="s">
        <v>812</v>
      </c>
      <c r="F318" s="6" t="s">
        <v>1316</v>
      </c>
      <c r="G318" s="6" t="s">
        <v>1583</v>
      </c>
      <c r="H318" s="6" t="s">
        <v>88</v>
      </c>
      <c r="I318" s="6" t="s">
        <v>1635</v>
      </c>
      <c r="J318" s="6"/>
      <c r="K318" s="6" t="s">
        <v>845</v>
      </c>
      <c r="L318" s="6" t="s">
        <v>304</v>
      </c>
      <c r="M318" s="6" t="s">
        <v>561</v>
      </c>
      <c r="N318" s="6"/>
    </row>
    <row r="319" ht="15.75" customHeight="1">
      <c r="A319" s="6" t="s">
        <v>818</v>
      </c>
      <c r="B319" s="6" t="s">
        <v>1634</v>
      </c>
      <c r="C319" s="6" t="s">
        <v>747</v>
      </c>
      <c r="D319" s="6" t="s">
        <v>429</v>
      </c>
      <c r="E319" s="6" t="s">
        <v>930</v>
      </c>
      <c r="F319" s="6" t="s">
        <v>244</v>
      </c>
      <c r="G319" s="6" t="s">
        <v>1611</v>
      </c>
      <c r="H319" s="6" t="s">
        <v>1470</v>
      </c>
      <c r="I319" s="6" t="s">
        <v>1635</v>
      </c>
      <c r="J319" s="6"/>
      <c r="K319" s="6"/>
      <c r="L319" s="6" t="s">
        <v>304</v>
      </c>
      <c r="M319" s="6" t="s">
        <v>561</v>
      </c>
      <c r="N319" s="6"/>
    </row>
    <row r="320" ht="15.75" customHeight="1">
      <c r="A320" s="6" t="s">
        <v>818</v>
      </c>
      <c r="B320" s="6" t="s">
        <v>1636</v>
      </c>
      <c r="C320" s="6" t="s">
        <v>764</v>
      </c>
      <c r="D320" s="6" t="s">
        <v>429</v>
      </c>
      <c r="E320" s="6" t="s">
        <v>1113</v>
      </c>
      <c r="F320" s="6" t="s">
        <v>1455</v>
      </c>
      <c r="G320" s="6" t="s">
        <v>1616</v>
      </c>
      <c r="H320" s="6" t="s">
        <v>1764</v>
      </c>
      <c r="I320" s="6" t="s">
        <v>1303</v>
      </c>
      <c r="J320" s="6"/>
      <c r="K320" s="6"/>
      <c r="L320" s="6" t="s">
        <v>304</v>
      </c>
      <c r="M320" s="6" t="s">
        <v>30</v>
      </c>
      <c r="N320" s="6"/>
    </row>
    <row r="321" ht="15.75" customHeight="1">
      <c r="A321" s="6" t="s">
        <v>818</v>
      </c>
      <c r="B321" s="6" t="s">
        <v>1334</v>
      </c>
      <c r="C321" s="6" t="s">
        <v>848</v>
      </c>
      <c r="D321" s="6" t="s">
        <v>429</v>
      </c>
      <c r="E321" s="6" t="s">
        <v>1113</v>
      </c>
      <c r="F321" s="6" t="s">
        <v>1350</v>
      </c>
      <c r="G321" s="6"/>
      <c r="H321" s="6" t="s">
        <v>1765</v>
      </c>
      <c r="I321" s="6" t="s">
        <v>497</v>
      </c>
      <c r="J321" s="6"/>
      <c r="K321" s="6"/>
      <c r="L321" s="6" t="s">
        <v>304</v>
      </c>
      <c r="M321" s="6" t="s">
        <v>30</v>
      </c>
      <c r="N321" s="6"/>
    </row>
    <row r="322" ht="15.75" customHeight="1">
      <c r="A322" s="6" t="s">
        <v>818</v>
      </c>
      <c r="B322" s="6" t="s">
        <v>1482</v>
      </c>
      <c r="C322" s="6" t="s">
        <v>672</v>
      </c>
      <c r="D322" s="6" t="s">
        <v>429</v>
      </c>
      <c r="E322" s="6" t="s">
        <v>1113</v>
      </c>
      <c r="F322" s="6" t="s">
        <v>1416</v>
      </c>
      <c r="G322" s="6"/>
      <c r="H322" s="6" t="s">
        <v>1766</v>
      </c>
      <c r="I322" s="6" t="s">
        <v>1303</v>
      </c>
      <c r="J322" s="6"/>
      <c r="K322" s="6"/>
      <c r="L322" s="6" t="s">
        <v>304</v>
      </c>
      <c r="M322" s="6" t="s">
        <v>30</v>
      </c>
      <c r="N322" s="6"/>
    </row>
    <row r="323" ht="15.75" customHeight="1">
      <c r="A323" s="6" t="s">
        <v>818</v>
      </c>
      <c r="B323" s="6" t="s">
        <v>1767</v>
      </c>
      <c r="C323" s="6" t="s">
        <v>840</v>
      </c>
      <c r="D323" s="6" t="s">
        <v>429</v>
      </c>
      <c r="E323" s="6" t="s">
        <v>812</v>
      </c>
      <c r="F323" s="6" t="s">
        <v>1321</v>
      </c>
      <c r="G323" s="6" t="s">
        <v>1556</v>
      </c>
      <c r="H323" s="6" t="s">
        <v>1768</v>
      </c>
      <c r="I323" s="6" t="s">
        <v>497</v>
      </c>
      <c r="J323" s="6"/>
      <c r="K323" s="6" t="s">
        <v>820</v>
      </c>
      <c r="L323" s="6" t="s">
        <v>304</v>
      </c>
      <c r="M323" s="6" t="s">
        <v>30</v>
      </c>
      <c r="N323" s="6"/>
    </row>
    <row r="324" ht="15.75" customHeight="1">
      <c r="A324" s="6" t="s">
        <v>818</v>
      </c>
      <c r="B324" s="6" t="s">
        <v>1643</v>
      </c>
      <c r="C324" s="6" t="s">
        <v>764</v>
      </c>
      <c r="D324" s="6" t="s">
        <v>429</v>
      </c>
      <c r="E324" s="6" t="s">
        <v>1113</v>
      </c>
      <c r="F324" s="6" t="s">
        <v>1350</v>
      </c>
      <c r="G324" s="6"/>
      <c r="H324" s="6" t="s">
        <v>1769</v>
      </c>
      <c r="I324" s="6" t="s">
        <v>497</v>
      </c>
      <c r="J324" s="6"/>
      <c r="K324" s="6"/>
      <c r="L324" s="6" t="s">
        <v>304</v>
      </c>
      <c r="M324" s="6" t="s">
        <v>30</v>
      </c>
      <c r="N324" s="6"/>
    </row>
    <row r="325" ht="15.75" customHeight="1">
      <c r="A325" s="6" t="s">
        <v>818</v>
      </c>
      <c r="B325" s="6" t="s">
        <v>1646</v>
      </c>
      <c r="C325" s="6" t="s">
        <v>770</v>
      </c>
      <c r="D325" s="6" t="s">
        <v>429</v>
      </c>
      <c r="E325" s="6" t="s">
        <v>812</v>
      </c>
      <c r="F325" s="6" t="s">
        <v>1321</v>
      </c>
      <c r="G325" s="6" t="s">
        <v>1560</v>
      </c>
      <c r="H325" s="6" t="s">
        <v>1575</v>
      </c>
      <c r="I325" s="6"/>
      <c r="J325" s="6"/>
      <c r="K325" s="6"/>
      <c r="L325" s="6" t="s">
        <v>304</v>
      </c>
      <c r="M325" s="6" t="s">
        <v>30</v>
      </c>
      <c r="N325" s="6"/>
    </row>
    <row r="326" ht="15.75" customHeight="1"/>
    <row r="327" ht="15.75" customHeight="1">
      <c r="A327" s="16" t="s">
        <v>809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ht="15.75" customHeight="1">
      <c r="A328" s="17" t="s">
        <v>1162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 ht="15.75" customHeight="1">
      <c r="A329" s="18" t="s">
        <v>4</v>
      </c>
      <c r="B329" s="18" t="s">
        <v>6</v>
      </c>
      <c r="C329" s="18" t="s">
        <v>7</v>
      </c>
      <c r="D329" s="18" t="s">
        <v>8</v>
      </c>
      <c r="E329" s="18" t="s">
        <v>9</v>
      </c>
      <c r="F329" s="18" t="s">
        <v>10</v>
      </c>
      <c r="G329" s="18" t="s">
        <v>11</v>
      </c>
      <c r="H329" s="18" t="s">
        <v>12</v>
      </c>
      <c r="I329" s="18" t="s">
        <v>13</v>
      </c>
      <c r="J329" s="18" t="s">
        <v>14</v>
      </c>
      <c r="K329" s="18" t="s">
        <v>15</v>
      </c>
      <c r="L329" s="18" t="s">
        <v>16</v>
      </c>
      <c r="M329" s="18" t="s">
        <v>17</v>
      </c>
      <c r="N329" s="18" t="s">
        <v>18</v>
      </c>
    </row>
    <row r="330" ht="15.75" customHeight="1">
      <c r="A330" s="6" t="s">
        <v>818</v>
      </c>
      <c r="B330" s="6" t="s">
        <v>742</v>
      </c>
      <c r="C330" s="6" t="s">
        <v>837</v>
      </c>
      <c r="D330" s="6" t="s">
        <v>429</v>
      </c>
      <c r="E330" s="6" t="s">
        <v>430</v>
      </c>
      <c r="F330" s="6" t="s">
        <v>1400</v>
      </c>
      <c r="G330" s="6" t="s">
        <v>1747</v>
      </c>
      <c r="H330" s="6" t="s">
        <v>88</v>
      </c>
      <c r="I330" s="6" t="s">
        <v>743</v>
      </c>
      <c r="J330" s="6"/>
      <c r="K330" s="6" t="s">
        <v>845</v>
      </c>
      <c r="L330" s="6" t="s">
        <v>304</v>
      </c>
      <c r="M330" s="6" t="s">
        <v>59</v>
      </c>
      <c r="N330" s="6"/>
    </row>
    <row r="331" ht="15.75" customHeight="1">
      <c r="A331" s="6" t="s">
        <v>818</v>
      </c>
      <c r="B331" s="6" t="s">
        <v>1539</v>
      </c>
      <c r="C331" s="6" t="s">
        <v>700</v>
      </c>
      <c r="D331" s="6" t="s">
        <v>429</v>
      </c>
      <c r="E331" s="6" t="s">
        <v>714</v>
      </c>
      <c r="F331" s="6" t="s">
        <v>1416</v>
      </c>
      <c r="G331" s="6" t="s">
        <v>1587</v>
      </c>
      <c r="H331" s="6" t="s">
        <v>1466</v>
      </c>
      <c r="I331" s="6" t="s">
        <v>1303</v>
      </c>
      <c r="J331" s="6"/>
      <c r="K331" s="6" t="s">
        <v>724</v>
      </c>
      <c r="L331" s="6" t="s">
        <v>304</v>
      </c>
      <c r="M331" s="6" t="s">
        <v>59</v>
      </c>
      <c r="N331" s="6"/>
    </row>
    <row r="332" ht="15.75" customHeight="1">
      <c r="A332" s="6" t="s">
        <v>818</v>
      </c>
      <c r="B332" s="6" t="s">
        <v>1498</v>
      </c>
      <c r="C332" s="6" t="s">
        <v>750</v>
      </c>
      <c r="D332" s="6" t="s">
        <v>429</v>
      </c>
      <c r="E332" s="6" t="s">
        <v>430</v>
      </c>
      <c r="F332" s="6" t="s">
        <v>1321</v>
      </c>
      <c r="G332" s="6" t="s">
        <v>1556</v>
      </c>
      <c r="H332" s="6" t="s">
        <v>554</v>
      </c>
      <c r="I332" s="6" t="s">
        <v>159</v>
      </c>
      <c r="J332" s="6"/>
      <c r="K332" s="6" t="s">
        <v>820</v>
      </c>
      <c r="L332" s="6" t="s">
        <v>304</v>
      </c>
      <c r="M332" s="6" t="s">
        <v>59</v>
      </c>
      <c r="N332" s="6"/>
    </row>
    <row r="333" ht="15.75" customHeight="1">
      <c r="A333" s="6" t="s">
        <v>818</v>
      </c>
      <c r="B333" s="6" t="s">
        <v>1649</v>
      </c>
      <c r="C333" s="6" t="s">
        <v>705</v>
      </c>
      <c r="D333" s="6" t="s">
        <v>429</v>
      </c>
      <c r="E333" s="6" t="s">
        <v>438</v>
      </c>
      <c r="F333" s="6" t="s">
        <v>1416</v>
      </c>
      <c r="G333" s="6" t="s">
        <v>1599</v>
      </c>
      <c r="H333" s="6" t="s">
        <v>1544</v>
      </c>
      <c r="I333" s="6" t="s">
        <v>314</v>
      </c>
      <c r="K333" s="6" t="s">
        <v>724</v>
      </c>
      <c r="L333" s="6" t="s">
        <v>304</v>
      </c>
      <c r="M333" s="6" t="s">
        <v>373</v>
      </c>
    </row>
    <row r="334" ht="15.75" customHeight="1">
      <c r="A334" s="6" t="s">
        <v>818</v>
      </c>
      <c r="B334" s="6" t="s">
        <v>1607</v>
      </c>
      <c r="C334" s="6" t="s">
        <v>747</v>
      </c>
      <c r="D334" s="6" t="s">
        <v>429</v>
      </c>
      <c r="E334" s="6" t="s">
        <v>438</v>
      </c>
      <c r="F334" s="6" t="s">
        <v>1455</v>
      </c>
      <c r="G334" s="6"/>
      <c r="H334" s="6" t="s">
        <v>1770</v>
      </c>
      <c r="I334" s="6" t="s">
        <v>1579</v>
      </c>
      <c r="J334" s="6" t="s">
        <v>1695</v>
      </c>
      <c r="K334" s="6"/>
      <c r="L334" s="6" t="s">
        <v>304</v>
      </c>
      <c r="M334" s="6" t="s">
        <v>59</v>
      </c>
      <c r="N334" s="6"/>
    </row>
    <row r="335" ht="15.75" customHeight="1">
      <c r="A335" s="6" t="s">
        <v>818</v>
      </c>
      <c r="B335" s="6" t="s">
        <v>1542</v>
      </c>
      <c r="C335" s="6" t="s">
        <v>781</v>
      </c>
      <c r="D335" s="6" t="s">
        <v>429</v>
      </c>
      <c r="E335" s="6" t="s">
        <v>714</v>
      </c>
      <c r="F335" s="6" t="s">
        <v>1416</v>
      </c>
      <c r="G335" s="6"/>
      <c r="H335" s="6" t="s">
        <v>1541</v>
      </c>
      <c r="I335" s="6" t="s">
        <v>943</v>
      </c>
      <c r="J335" s="6" t="s">
        <v>1771</v>
      </c>
      <c r="K335" s="6" t="s">
        <v>820</v>
      </c>
      <c r="L335" s="6" t="s">
        <v>304</v>
      </c>
      <c r="M335" s="6" t="s">
        <v>59</v>
      </c>
      <c r="N335" s="6"/>
    </row>
    <row r="336" ht="15.75" customHeight="1">
      <c r="A336" s="6" t="s">
        <v>818</v>
      </c>
      <c r="B336" s="6" t="s">
        <v>915</v>
      </c>
      <c r="C336" s="6" t="s">
        <v>684</v>
      </c>
      <c r="D336" s="6" t="s">
        <v>429</v>
      </c>
      <c r="E336" s="6" t="s">
        <v>430</v>
      </c>
      <c r="F336" s="6" t="s">
        <v>1549</v>
      </c>
      <c r="G336" s="6" t="s">
        <v>1772</v>
      </c>
      <c r="H336" s="6" t="s">
        <v>1677</v>
      </c>
      <c r="I336" s="6" t="s">
        <v>917</v>
      </c>
      <c r="J336" s="6"/>
      <c r="K336" s="6" t="s">
        <v>820</v>
      </c>
      <c r="L336" s="6" t="s">
        <v>304</v>
      </c>
      <c r="M336" s="6" t="s">
        <v>59</v>
      </c>
      <c r="N336" s="6"/>
    </row>
    <row r="337" ht="15.75" customHeight="1">
      <c r="A337" s="6" t="s">
        <v>818</v>
      </c>
      <c r="B337" s="6" t="s">
        <v>1651</v>
      </c>
      <c r="C337" s="6" t="s">
        <v>700</v>
      </c>
      <c r="D337" s="6" t="s">
        <v>429</v>
      </c>
      <c r="E337" s="6" t="s">
        <v>714</v>
      </c>
      <c r="F337" s="6" t="s">
        <v>1416</v>
      </c>
      <c r="G337" s="6" t="s">
        <v>1587</v>
      </c>
      <c r="H337" s="6" t="s">
        <v>1341</v>
      </c>
      <c r="I337" s="6"/>
      <c r="J337" s="6"/>
      <c r="K337" s="6" t="s">
        <v>820</v>
      </c>
      <c r="L337" s="6" t="s">
        <v>304</v>
      </c>
      <c r="M337" s="6" t="s">
        <v>59</v>
      </c>
      <c r="N337" s="6"/>
    </row>
    <row r="338" ht="15.75" customHeight="1">
      <c r="A338" s="6" t="s">
        <v>818</v>
      </c>
      <c r="B338" s="6" t="s">
        <v>1553</v>
      </c>
      <c r="C338" s="6" t="s">
        <v>781</v>
      </c>
      <c r="D338" s="6" t="s">
        <v>429</v>
      </c>
      <c r="E338" s="6" t="s">
        <v>714</v>
      </c>
      <c r="F338" s="6" t="s">
        <v>1416</v>
      </c>
      <c r="G338" s="6"/>
      <c r="H338" s="6" t="s">
        <v>1541</v>
      </c>
      <c r="I338" s="6" t="s">
        <v>943</v>
      </c>
      <c r="J338" s="6" t="s">
        <v>1773</v>
      </c>
      <c r="K338" s="6" t="s">
        <v>820</v>
      </c>
      <c r="L338" s="6" t="s">
        <v>304</v>
      </c>
      <c r="M338" s="6" t="s">
        <v>59</v>
      </c>
      <c r="N338" s="6"/>
    </row>
    <row r="339" ht="15.75" customHeight="1"/>
    <row r="340" ht="15.75" customHeight="1">
      <c r="A340" s="16" t="s">
        <v>855</v>
      </c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ht="15.75" customHeight="1">
      <c r="A341" s="17" t="s">
        <v>1774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 ht="15.75" customHeight="1">
      <c r="A342" s="18" t="s">
        <v>4</v>
      </c>
      <c r="B342" s="18" t="s">
        <v>6</v>
      </c>
      <c r="C342" s="18" t="s">
        <v>7</v>
      </c>
      <c r="D342" s="18" t="s">
        <v>8</v>
      </c>
      <c r="E342" s="18" t="s">
        <v>9</v>
      </c>
      <c r="F342" s="18" t="s">
        <v>10</v>
      </c>
      <c r="G342" s="18" t="s">
        <v>11</v>
      </c>
      <c r="H342" s="18" t="s">
        <v>12</v>
      </c>
      <c r="I342" s="18" t="s">
        <v>13</v>
      </c>
      <c r="J342" s="18" t="s">
        <v>14</v>
      </c>
      <c r="K342" s="18" t="s">
        <v>15</v>
      </c>
      <c r="L342" s="18" t="s">
        <v>16</v>
      </c>
      <c r="M342" s="18" t="s">
        <v>17</v>
      </c>
      <c r="N342" s="18" t="s">
        <v>18</v>
      </c>
    </row>
    <row r="343" ht="15.75" customHeight="1">
      <c r="A343" s="6" t="s">
        <v>863</v>
      </c>
      <c r="B343" s="6" t="s">
        <v>1559</v>
      </c>
      <c r="C343" s="6" t="s">
        <v>672</v>
      </c>
      <c r="D343" s="6" t="s">
        <v>429</v>
      </c>
      <c r="E343" s="6" t="s">
        <v>1113</v>
      </c>
      <c r="F343" s="6" t="s">
        <v>1416</v>
      </c>
      <c r="G343" s="6"/>
      <c r="H343" s="6" t="s">
        <v>1544</v>
      </c>
      <c r="I343" s="6"/>
      <c r="J343" s="6"/>
      <c r="K343" s="6" t="s">
        <v>724</v>
      </c>
      <c r="L343" s="6" t="s">
        <v>304</v>
      </c>
      <c r="M343" s="6" t="s">
        <v>561</v>
      </c>
      <c r="N343" s="6"/>
    </row>
    <row r="344" ht="15.75" customHeight="1">
      <c r="A344" s="6" t="s">
        <v>863</v>
      </c>
      <c r="B344" s="6" t="s">
        <v>1561</v>
      </c>
      <c r="C344" s="6" t="s">
        <v>781</v>
      </c>
      <c r="D344" s="6" t="s">
        <v>429</v>
      </c>
      <c r="E344" s="6" t="s">
        <v>812</v>
      </c>
      <c r="F344" s="6" t="s">
        <v>1321</v>
      </c>
      <c r="G344" s="6" t="s">
        <v>1560</v>
      </c>
      <c r="H344" s="6" t="s">
        <v>1314</v>
      </c>
      <c r="I344" s="6" t="s">
        <v>1303</v>
      </c>
      <c r="J344" s="6"/>
      <c r="K344" s="6"/>
      <c r="L344" s="6" t="s">
        <v>304</v>
      </c>
      <c r="M344" s="6" t="s">
        <v>561</v>
      </c>
      <c r="N344" s="6"/>
    </row>
    <row r="345" ht="15.75" customHeight="1">
      <c r="A345" s="6" t="s">
        <v>863</v>
      </c>
      <c r="B345" s="6" t="s">
        <v>1653</v>
      </c>
      <c r="C345" s="6" t="s">
        <v>690</v>
      </c>
      <c r="D345" s="6" t="s">
        <v>429</v>
      </c>
      <c r="E345" s="6" t="s">
        <v>812</v>
      </c>
      <c r="F345" s="6" t="s">
        <v>1321</v>
      </c>
      <c r="G345" s="6" t="s">
        <v>1556</v>
      </c>
      <c r="H345" s="6" t="s">
        <v>1541</v>
      </c>
      <c r="I345" s="6" t="s">
        <v>1303</v>
      </c>
      <c r="J345" s="6"/>
      <c r="K345" s="6" t="s">
        <v>820</v>
      </c>
      <c r="L345" s="6" t="s">
        <v>304</v>
      </c>
      <c r="M345" s="6" t="s">
        <v>30</v>
      </c>
      <c r="N345" s="6"/>
    </row>
    <row r="346" ht="15.75" customHeight="1">
      <c r="A346" s="6" t="s">
        <v>863</v>
      </c>
      <c r="B346" s="6" t="s">
        <v>1655</v>
      </c>
      <c r="C346" s="6" t="s">
        <v>690</v>
      </c>
      <c r="D346" s="6" t="s">
        <v>429</v>
      </c>
      <c r="E346" s="6" t="s">
        <v>1113</v>
      </c>
      <c r="F346" s="6" t="s">
        <v>1350</v>
      </c>
      <c r="G346" s="6"/>
      <c r="H346" s="6" t="s">
        <v>1641</v>
      </c>
      <c r="I346" s="6"/>
      <c r="J346" s="6"/>
      <c r="K346" s="6"/>
      <c r="L346" s="6" t="s">
        <v>304</v>
      </c>
      <c r="M346" s="6" t="s">
        <v>30</v>
      </c>
      <c r="N346" s="6"/>
    </row>
    <row r="347" ht="15.75" customHeight="1">
      <c r="A347" s="6" t="s">
        <v>863</v>
      </c>
      <c r="B347" s="6" t="s">
        <v>1354</v>
      </c>
      <c r="C347" s="6" t="s">
        <v>781</v>
      </c>
      <c r="D347" s="6" t="s">
        <v>429</v>
      </c>
      <c r="E347" s="6" t="s">
        <v>1113</v>
      </c>
      <c r="F347" s="6" t="s">
        <v>1350</v>
      </c>
      <c r="G347" s="6"/>
      <c r="H347" s="6" t="s">
        <v>1515</v>
      </c>
      <c r="I347" s="6"/>
      <c r="J347" s="6"/>
      <c r="K347" s="6"/>
      <c r="L347" s="6" t="s">
        <v>304</v>
      </c>
      <c r="M347" s="6" t="s">
        <v>30</v>
      </c>
      <c r="N347" s="6"/>
    </row>
    <row r="348" ht="15.75" customHeight="1">
      <c r="A348" s="6" t="s">
        <v>863</v>
      </c>
      <c r="B348" s="6" t="s">
        <v>1363</v>
      </c>
      <c r="C348" s="6" t="s">
        <v>837</v>
      </c>
      <c r="D348" s="6" t="s">
        <v>429</v>
      </c>
      <c r="E348" s="6" t="s">
        <v>812</v>
      </c>
      <c r="F348" s="6" t="s">
        <v>1321</v>
      </c>
      <c r="G348" s="6" t="s">
        <v>1560</v>
      </c>
      <c r="H348" s="6" t="s">
        <v>49</v>
      </c>
      <c r="I348" s="6" t="s">
        <v>1303</v>
      </c>
      <c r="J348" s="6"/>
      <c r="K348" s="6"/>
      <c r="L348" s="6" t="s">
        <v>304</v>
      </c>
      <c r="M348" s="6" t="s">
        <v>30</v>
      </c>
      <c r="N348" s="6"/>
    </row>
    <row r="349" ht="15.75" customHeight="1">
      <c r="A349" s="6" t="s">
        <v>863</v>
      </c>
      <c r="B349" s="6" t="s">
        <v>1365</v>
      </c>
      <c r="C349" s="6" t="s">
        <v>914</v>
      </c>
      <c r="D349" s="6" t="s">
        <v>429</v>
      </c>
      <c r="E349" s="6" t="s">
        <v>1113</v>
      </c>
      <c r="F349" s="6" t="s">
        <v>1350</v>
      </c>
      <c r="G349" s="6"/>
      <c r="H349" s="6" t="s">
        <v>1775</v>
      </c>
      <c r="I349" s="6" t="s">
        <v>314</v>
      </c>
      <c r="J349" s="6"/>
      <c r="K349" s="6"/>
      <c r="L349" s="6" t="s">
        <v>304</v>
      </c>
      <c r="M349" s="6" t="s">
        <v>30</v>
      </c>
      <c r="N349" s="6"/>
    </row>
    <row r="350" ht="15.75" customHeight="1">
      <c r="A350" s="6" t="s">
        <v>863</v>
      </c>
      <c r="B350" s="6" t="s">
        <v>1471</v>
      </c>
      <c r="C350" s="6" t="s">
        <v>781</v>
      </c>
      <c r="D350" s="6" t="s">
        <v>429</v>
      </c>
      <c r="E350" s="6" t="s">
        <v>1113</v>
      </c>
      <c r="F350" s="6" t="s">
        <v>1350</v>
      </c>
      <c r="G350" s="6"/>
      <c r="H350" s="6" t="s">
        <v>1115</v>
      </c>
      <c r="I350" s="6" t="s">
        <v>1474</v>
      </c>
      <c r="J350" s="6"/>
      <c r="K350" s="6" t="s">
        <v>724</v>
      </c>
      <c r="L350" s="6" t="s">
        <v>304</v>
      </c>
      <c r="M350" s="6" t="s">
        <v>30</v>
      </c>
      <c r="N350" s="6"/>
    </row>
    <row r="351" ht="15.75" customHeight="1">
      <c r="A351" s="6" t="s">
        <v>863</v>
      </c>
      <c r="B351" s="6" t="s">
        <v>1572</v>
      </c>
      <c r="C351" s="6" t="s">
        <v>840</v>
      </c>
      <c r="D351" s="6" t="s">
        <v>429</v>
      </c>
      <c r="E351" s="6" t="s">
        <v>1113</v>
      </c>
      <c r="F351" s="6" t="s">
        <v>1321</v>
      </c>
      <c r="G351" s="6" t="s">
        <v>1560</v>
      </c>
      <c r="H351" s="6" t="s">
        <v>1330</v>
      </c>
      <c r="I351" s="6" t="s">
        <v>1474</v>
      </c>
      <c r="J351" s="6"/>
      <c r="K351" s="6"/>
      <c r="L351" s="6" t="s">
        <v>304</v>
      </c>
      <c r="M351" s="6" t="s">
        <v>30</v>
      </c>
      <c r="N351" s="6"/>
    </row>
    <row r="352" ht="15.75" customHeight="1">
      <c r="A352" s="6" t="s">
        <v>863</v>
      </c>
      <c r="B352" s="6" t="s">
        <v>1371</v>
      </c>
      <c r="C352" s="6" t="s">
        <v>825</v>
      </c>
      <c r="D352" s="6" t="s">
        <v>429</v>
      </c>
      <c r="E352" s="6" t="s">
        <v>812</v>
      </c>
      <c r="F352" s="6" t="s">
        <v>1321</v>
      </c>
      <c r="G352" s="6" t="s">
        <v>1560</v>
      </c>
      <c r="H352" s="6" t="s">
        <v>1568</v>
      </c>
      <c r="I352" s="6" t="s">
        <v>1303</v>
      </c>
      <c r="J352" s="6"/>
      <c r="K352" s="6" t="s">
        <v>820</v>
      </c>
      <c r="L352" s="6" t="s">
        <v>304</v>
      </c>
      <c r="M352" s="6" t="s">
        <v>30</v>
      </c>
      <c r="N352" s="6"/>
    </row>
    <row r="353" ht="15.75" customHeight="1">
      <c r="A353" s="6" t="s">
        <v>863</v>
      </c>
      <c r="B353" s="6" t="s">
        <v>1369</v>
      </c>
      <c r="C353" s="6" t="s">
        <v>684</v>
      </c>
      <c r="D353" s="6" t="s">
        <v>429</v>
      </c>
      <c r="E353" s="6" t="s">
        <v>812</v>
      </c>
      <c r="F353" s="6" t="s">
        <v>1321</v>
      </c>
      <c r="G353" s="6" t="s">
        <v>1556</v>
      </c>
      <c r="H353" s="6" t="s">
        <v>66</v>
      </c>
      <c r="I353" s="6" t="s">
        <v>1303</v>
      </c>
      <c r="J353" s="6"/>
      <c r="K353" s="6"/>
      <c r="L353" s="6" t="s">
        <v>304</v>
      </c>
      <c r="M353" s="6" t="s">
        <v>30</v>
      </c>
      <c r="N353" s="6"/>
    </row>
    <row r="354" ht="15.75" customHeight="1">
      <c r="A354" s="6" t="s">
        <v>863</v>
      </c>
      <c r="B354" s="6" t="s">
        <v>1374</v>
      </c>
      <c r="C354" s="6" t="s">
        <v>705</v>
      </c>
      <c r="D354" s="6" t="s">
        <v>429</v>
      </c>
      <c r="E354" s="6" t="s">
        <v>812</v>
      </c>
      <c r="F354" s="6" t="s">
        <v>1321</v>
      </c>
      <c r="G354" s="6" t="s">
        <v>1560</v>
      </c>
      <c r="H354" s="6" t="s">
        <v>156</v>
      </c>
      <c r="I354" s="6" t="s">
        <v>1322</v>
      </c>
      <c r="J354" s="6"/>
      <c r="K354" s="6"/>
      <c r="L354" s="6" t="s">
        <v>304</v>
      </c>
      <c r="M354" s="6" t="s">
        <v>30</v>
      </c>
      <c r="N354" s="6"/>
    </row>
    <row r="355" ht="15.75" customHeight="1">
      <c r="A355" s="6" t="s">
        <v>863</v>
      </c>
      <c r="B355" s="6" t="s">
        <v>1375</v>
      </c>
      <c r="C355" s="6" t="s">
        <v>700</v>
      </c>
      <c r="D355" s="6" t="s">
        <v>429</v>
      </c>
      <c r="E355" s="6" t="s">
        <v>1113</v>
      </c>
      <c r="F355" s="6" t="s">
        <v>1321</v>
      </c>
      <c r="G355" s="6" t="s">
        <v>1560</v>
      </c>
      <c r="H355" s="6" t="s">
        <v>101</v>
      </c>
      <c r="I355" s="6" t="s">
        <v>1303</v>
      </c>
      <c r="J355" s="6"/>
      <c r="K355" s="6" t="s">
        <v>820</v>
      </c>
      <c r="L355" s="6" t="s">
        <v>304</v>
      </c>
      <c r="M355" s="6" t="s">
        <v>30</v>
      </c>
      <c r="N355" s="6"/>
    </row>
    <row r="356" ht="15.75" customHeight="1">
      <c r="A356" s="6" t="s">
        <v>863</v>
      </c>
      <c r="B356" s="6" t="s">
        <v>1376</v>
      </c>
      <c r="C356" s="6" t="s">
        <v>747</v>
      </c>
      <c r="D356" s="6" t="s">
        <v>429</v>
      </c>
      <c r="E356" s="6" t="s">
        <v>1113</v>
      </c>
      <c r="F356" s="6" t="s">
        <v>1377</v>
      </c>
      <c r="G356" s="6"/>
      <c r="H356" s="6" t="s">
        <v>1338</v>
      </c>
      <c r="I356" s="6"/>
      <c r="J356" s="6"/>
      <c r="K356" s="6"/>
      <c r="L356" s="6" t="s">
        <v>304</v>
      </c>
      <c r="M356" s="6" t="s">
        <v>30</v>
      </c>
      <c r="N356" s="6"/>
    </row>
    <row r="357" ht="15.75" customHeight="1">
      <c r="A357" s="6" t="s">
        <v>863</v>
      </c>
      <c r="B357" s="6" t="s">
        <v>1665</v>
      </c>
      <c r="C357" s="6" t="s">
        <v>690</v>
      </c>
      <c r="D357" s="6" t="s">
        <v>429</v>
      </c>
      <c r="E357" s="6" t="s">
        <v>1113</v>
      </c>
      <c r="F357" s="6" t="s">
        <v>1377</v>
      </c>
      <c r="G357" s="6"/>
      <c r="H357" s="6" t="s">
        <v>1667</v>
      </c>
      <c r="I357" s="6" t="s">
        <v>1303</v>
      </c>
      <c r="J357" s="6"/>
      <c r="K357" s="6"/>
      <c r="L357" s="6" t="s">
        <v>304</v>
      </c>
      <c r="M357" s="6" t="s">
        <v>561</v>
      </c>
      <c r="N357" s="6"/>
    </row>
    <row r="358" ht="15.75" customHeight="1">
      <c r="A358" s="6" t="s">
        <v>863</v>
      </c>
      <c r="B358" s="6" t="s">
        <v>1383</v>
      </c>
      <c r="C358" s="6" t="s">
        <v>889</v>
      </c>
      <c r="D358" s="6" t="s">
        <v>429</v>
      </c>
      <c r="E358" s="6" t="s">
        <v>930</v>
      </c>
      <c r="F358" s="6" t="s">
        <v>244</v>
      </c>
      <c r="G358" s="6" t="s">
        <v>1611</v>
      </c>
      <c r="H358" s="6" t="s">
        <v>1341</v>
      </c>
      <c r="I358" s="6" t="s">
        <v>497</v>
      </c>
      <c r="J358" s="6"/>
      <c r="K358" s="6" t="s">
        <v>820</v>
      </c>
      <c r="L358" s="6" t="s">
        <v>304</v>
      </c>
      <c r="M358" s="6" t="s">
        <v>30</v>
      </c>
      <c r="N358" s="6"/>
    </row>
    <row r="359" ht="15.75" customHeight="1">
      <c r="A359" s="6" t="s">
        <v>863</v>
      </c>
      <c r="B359" s="6" t="s">
        <v>1668</v>
      </c>
      <c r="C359" s="6" t="s">
        <v>690</v>
      </c>
      <c r="D359" s="6" t="s">
        <v>429</v>
      </c>
      <c r="E359" s="6" t="s">
        <v>1113</v>
      </c>
      <c r="F359" s="6" t="s">
        <v>1377</v>
      </c>
      <c r="G359" s="6"/>
      <c r="H359" s="6" t="s">
        <v>1670</v>
      </c>
      <c r="I359" s="6" t="s">
        <v>1303</v>
      </c>
      <c r="J359" s="6"/>
      <c r="K359" s="6"/>
      <c r="L359" s="6" t="s">
        <v>304</v>
      </c>
      <c r="M359" s="6" t="s">
        <v>561</v>
      </c>
      <c r="N359" s="6"/>
    </row>
    <row r="360" ht="15.75" customHeight="1">
      <c r="A360" s="6" t="s">
        <v>863</v>
      </c>
      <c r="B360" s="6" t="s">
        <v>1386</v>
      </c>
      <c r="C360" s="6" t="s">
        <v>705</v>
      </c>
      <c r="D360" s="6" t="s">
        <v>429</v>
      </c>
      <c r="E360" s="6" t="s">
        <v>1113</v>
      </c>
      <c r="F360" s="6" t="s">
        <v>1377</v>
      </c>
      <c r="G360" s="6" t="s">
        <v>1587</v>
      </c>
      <c r="H360" s="6" t="s">
        <v>1525</v>
      </c>
      <c r="I360" s="6" t="s">
        <v>1303</v>
      </c>
      <c r="J360" s="6"/>
      <c r="K360" s="6"/>
      <c r="L360" s="6" t="s">
        <v>304</v>
      </c>
      <c r="M360" s="6" t="s">
        <v>561</v>
      </c>
      <c r="N360" s="6"/>
    </row>
    <row r="361" ht="15.75" customHeight="1">
      <c r="A361" s="6" t="s">
        <v>863</v>
      </c>
      <c r="B361" s="6" t="s">
        <v>1491</v>
      </c>
      <c r="C361" s="6" t="s">
        <v>837</v>
      </c>
      <c r="D361" s="6" t="s">
        <v>429</v>
      </c>
      <c r="E361" s="6" t="s">
        <v>1113</v>
      </c>
      <c r="F361" s="6" t="s">
        <v>1455</v>
      </c>
      <c r="G361" s="6"/>
      <c r="H361" s="6" t="s">
        <v>1742</v>
      </c>
      <c r="I361" s="6" t="s">
        <v>314</v>
      </c>
      <c r="J361" s="6"/>
      <c r="K361" s="6"/>
      <c r="L361" s="6" t="s">
        <v>304</v>
      </c>
      <c r="M361" s="6" t="s">
        <v>30</v>
      </c>
      <c r="N361" s="6"/>
    </row>
    <row r="362" ht="15.75" customHeight="1">
      <c r="A362" s="6" t="s">
        <v>863</v>
      </c>
      <c r="B362" s="6" t="s">
        <v>1388</v>
      </c>
      <c r="C362" s="6" t="s">
        <v>705</v>
      </c>
      <c r="D362" s="6" t="s">
        <v>429</v>
      </c>
      <c r="E362" s="6" t="s">
        <v>1113</v>
      </c>
      <c r="F362" s="6" t="s">
        <v>1377</v>
      </c>
      <c r="G362" s="6" t="s">
        <v>1587</v>
      </c>
      <c r="H362" s="6" t="s">
        <v>1777</v>
      </c>
      <c r="I362" s="6" t="s">
        <v>1303</v>
      </c>
      <c r="J362" s="6"/>
      <c r="K362" s="6"/>
      <c r="L362" s="6" t="s">
        <v>304</v>
      </c>
      <c r="M362" s="6" t="s">
        <v>30</v>
      </c>
      <c r="N362" s="6"/>
    </row>
    <row r="363" ht="15.75" customHeight="1">
      <c r="A363" s="6" t="s">
        <v>863</v>
      </c>
      <c r="B363" s="6" t="s">
        <v>1673</v>
      </c>
      <c r="C363" s="6" t="s">
        <v>747</v>
      </c>
      <c r="D363" s="6" t="s">
        <v>429</v>
      </c>
      <c r="E363" s="6" t="s">
        <v>812</v>
      </c>
      <c r="F363" s="6" t="s">
        <v>1321</v>
      </c>
      <c r="G363" s="6" t="s">
        <v>1556</v>
      </c>
      <c r="H363" s="6" t="s">
        <v>70</v>
      </c>
      <c r="I363" s="6" t="s">
        <v>314</v>
      </c>
      <c r="J363" s="6"/>
      <c r="K363" s="6" t="s">
        <v>820</v>
      </c>
      <c r="L363" s="6" t="s">
        <v>304</v>
      </c>
      <c r="M363" s="6" t="s">
        <v>30</v>
      </c>
      <c r="N363" s="6"/>
    </row>
    <row r="364" ht="15.75" customHeight="1">
      <c r="A364" s="6" t="s">
        <v>863</v>
      </c>
      <c r="B364" s="6" t="s">
        <v>1674</v>
      </c>
      <c r="C364" s="6" t="s">
        <v>848</v>
      </c>
      <c r="D364" s="6" t="s">
        <v>429</v>
      </c>
      <c r="E364" s="6" t="s">
        <v>812</v>
      </c>
      <c r="F364" s="6" t="s">
        <v>1549</v>
      </c>
      <c r="G364" s="6" t="s">
        <v>1772</v>
      </c>
      <c r="H364" s="6" t="s">
        <v>838</v>
      </c>
      <c r="I364" s="6" t="s">
        <v>1303</v>
      </c>
      <c r="J364" s="6"/>
      <c r="K364" s="6" t="s">
        <v>820</v>
      </c>
      <c r="L364" s="6" t="s">
        <v>304</v>
      </c>
      <c r="M364" s="6" t="s">
        <v>30</v>
      </c>
      <c r="N364" s="6"/>
    </row>
    <row r="365" ht="15.75" customHeight="1">
      <c r="A365" s="6" t="s">
        <v>863</v>
      </c>
      <c r="B365" s="6" t="s">
        <v>1393</v>
      </c>
      <c r="C365" s="6" t="s">
        <v>721</v>
      </c>
      <c r="D365" s="6" t="s">
        <v>429</v>
      </c>
      <c r="E365" s="6" t="s">
        <v>812</v>
      </c>
      <c r="F365" s="6" t="s">
        <v>1321</v>
      </c>
      <c r="G365" s="6" t="s">
        <v>1556</v>
      </c>
      <c r="H365" s="6" t="s">
        <v>1054</v>
      </c>
      <c r="I365" s="6" t="s">
        <v>1303</v>
      </c>
      <c r="J365" s="6"/>
      <c r="K365" s="6" t="s">
        <v>820</v>
      </c>
      <c r="L365" s="6" t="s">
        <v>304</v>
      </c>
      <c r="M365" s="6" t="s">
        <v>30</v>
      </c>
      <c r="N365" s="6"/>
    </row>
    <row r="366" ht="15.75" customHeight="1">
      <c r="A366" s="6" t="s">
        <v>863</v>
      </c>
      <c r="B366" s="6" t="s">
        <v>1393</v>
      </c>
      <c r="C366" s="6" t="s">
        <v>870</v>
      </c>
      <c r="D366" s="6" t="s">
        <v>429</v>
      </c>
      <c r="E366" s="6" t="s">
        <v>1113</v>
      </c>
      <c r="F366" s="6" t="s">
        <v>1377</v>
      </c>
      <c r="G366" s="6"/>
      <c r="H366" s="6" t="s">
        <v>1778</v>
      </c>
      <c r="I366" s="6" t="s">
        <v>1303</v>
      </c>
      <c r="J366" s="6"/>
      <c r="K366" s="6"/>
      <c r="L366" s="6" t="s">
        <v>304</v>
      </c>
      <c r="M366" s="6" t="s">
        <v>30</v>
      </c>
      <c r="N366" s="6"/>
    </row>
    <row r="367" ht="15.75" customHeight="1">
      <c r="A367" s="6" t="s">
        <v>863</v>
      </c>
      <c r="B367" s="6" t="s">
        <v>1403</v>
      </c>
      <c r="C367" s="6" t="s">
        <v>825</v>
      </c>
      <c r="D367" s="6" t="s">
        <v>429</v>
      </c>
      <c r="E367" s="6" t="s">
        <v>1113</v>
      </c>
      <c r="F367" s="6" t="s">
        <v>1350</v>
      </c>
      <c r="G367" s="6"/>
      <c r="H367" s="6" t="s">
        <v>1779</v>
      </c>
      <c r="I367" s="6" t="s">
        <v>314</v>
      </c>
      <c r="J367" s="6"/>
      <c r="K367" s="6"/>
      <c r="L367" s="6" t="s">
        <v>304</v>
      </c>
      <c r="M367" s="6" t="s">
        <v>30</v>
      </c>
      <c r="N367" s="6"/>
    </row>
    <row r="368" ht="15.75" customHeight="1">
      <c r="A368" s="6" t="s">
        <v>863</v>
      </c>
      <c r="B368" s="6" t="s">
        <v>1403</v>
      </c>
      <c r="C368" s="6" t="s">
        <v>764</v>
      </c>
      <c r="D368" s="6" t="s">
        <v>429</v>
      </c>
      <c r="E368" s="6" t="s">
        <v>812</v>
      </c>
      <c r="F368" s="6" t="s">
        <v>1321</v>
      </c>
      <c r="G368" s="6" t="s">
        <v>1556</v>
      </c>
      <c r="H368" s="6" t="s">
        <v>1452</v>
      </c>
      <c r="I368" s="6" t="s">
        <v>314</v>
      </c>
      <c r="J368" s="6"/>
      <c r="K368" s="6"/>
      <c r="L368" s="6" t="s">
        <v>304</v>
      </c>
      <c r="M368" s="6" t="s">
        <v>30</v>
      </c>
      <c r="N368" s="6"/>
    </row>
    <row r="369" ht="15.75" customHeight="1"/>
    <row r="370" ht="15.75" customHeight="1">
      <c r="A370" s="16" t="s">
        <v>855</v>
      </c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ht="15.75" customHeight="1">
      <c r="A371" s="17" t="s">
        <v>1258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 ht="15.75" customHeight="1">
      <c r="A372" s="18" t="s">
        <v>4</v>
      </c>
      <c r="B372" s="18" t="s">
        <v>6</v>
      </c>
      <c r="C372" s="18" t="s">
        <v>7</v>
      </c>
      <c r="D372" s="18" t="s">
        <v>8</v>
      </c>
      <c r="E372" s="18" t="s">
        <v>9</v>
      </c>
      <c r="F372" s="18" t="s">
        <v>10</v>
      </c>
      <c r="G372" s="18" t="s">
        <v>11</v>
      </c>
      <c r="H372" s="18" t="s">
        <v>12</v>
      </c>
      <c r="I372" s="18" t="s">
        <v>13</v>
      </c>
      <c r="J372" s="18" t="s">
        <v>14</v>
      </c>
      <c r="K372" s="18" t="s">
        <v>15</v>
      </c>
      <c r="L372" s="18" t="s">
        <v>16</v>
      </c>
      <c r="M372" s="18" t="s">
        <v>17</v>
      </c>
      <c r="N372" s="18" t="s">
        <v>18</v>
      </c>
    </row>
    <row r="373" ht="15.75" customHeight="1">
      <c r="A373" s="6" t="s">
        <v>863</v>
      </c>
      <c r="B373" s="6" t="s">
        <v>1412</v>
      </c>
      <c r="C373" s="6" t="s">
        <v>770</v>
      </c>
      <c r="D373" s="6" t="s">
        <v>429</v>
      </c>
      <c r="E373" s="6" t="s">
        <v>430</v>
      </c>
      <c r="F373" s="6" t="s">
        <v>78</v>
      </c>
      <c r="G373" s="6" t="s">
        <v>1556</v>
      </c>
      <c r="H373" s="6" t="s">
        <v>66</v>
      </c>
      <c r="I373" s="6" t="s">
        <v>497</v>
      </c>
      <c r="J373" s="6"/>
      <c r="K373" s="6"/>
      <c r="L373" s="6" t="s">
        <v>304</v>
      </c>
      <c r="M373" s="6" t="s">
        <v>59</v>
      </c>
      <c r="N373" s="6"/>
    </row>
    <row r="374" ht="15.75" customHeight="1">
      <c r="A374" s="6" t="s">
        <v>863</v>
      </c>
      <c r="B374" s="6" t="s">
        <v>1419</v>
      </c>
      <c r="C374" s="6" t="s">
        <v>747</v>
      </c>
      <c r="D374" s="6" t="s">
        <v>429</v>
      </c>
      <c r="E374" s="6" t="s">
        <v>438</v>
      </c>
      <c r="F374" s="6" t="s">
        <v>1377</v>
      </c>
      <c r="G374" s="6"/>
      <c r="H374" s="6" t="s">
        <v>1780</v>
      </c>
      <c r="I374" s="6" t="s">
        <v>1603</v>
      </c>
      <c r="J374" s="6" t="s">
        <v>1422</v>
      </c>
      <c r="K374" s="6"/>
      <c r="L374" s="6" t="s">
        <v>304</v>
      </c>
      <c r="M374" s="6" t="s">
        <v>59</v>
      </c>
      <c r="N374" s="6"/>
    </row>
    <row r="375" ht="15.75" customHeight="1">
      <c r="A375" s="6" t="s">
        <v>863</v>
      </c>
      <c r="B375" s="6" t="s">
        <v>1423</v>
      </c>
      <c r="C375" s="6" t="s">
        <v>914</v>
      </c>
      <c r="D375" s="6" t="s">
        <v>429</v>
      </c>
      <c r="E375" s="6" t="s">
        <v>430</v>
      </c>
      <c r="F375" s="6" t="s">
        <v>78</v>
      </c>
      <c r="G375" s="6" t="s">
        <v>1556</v>
      </c>
      <c r="H375" s="6" t="s">
        <v>1781</v>
      </c>
      <c r="I375" s="6" t="s">
        <v>497</v>
      </c>
      <c r="J375" s="6"/>
      <c r="K375" s="6"/>
      <c r="L375" s="6" t="s">
        <v>304</v>
      </c>
      <c r="M375" s="6" t="s">
        <v>59</v>
      </c>
      <c r="N375" s="6"/>
    </row>
    <row r="376" ht="15.75" customHeight="1">
      <c r="A376" s="6" t="s">
        <v>863</v>
      </c>
      <c r="B376" s="6" t="s">
        <v>1607</v>
      </c>
      <c r="C376" s="6" t="s">
        <v>684</v>
      </c>
      <c r="D376" s="6" t="s">
        <v>429</v>
      </c>
      <c r="E376" s="6" t="s">
        <v>438</v>
      </c>
      <c r="F376" s="6" t="s">
        <v>1455</v>
      </c>
      <c r="G376" s="6"/>
      <c r="H376" s="6" t="s">
        <v>1782</v>
      </c>
      <c r="I376" s="6" t="s">
        <v>1579</v>
      </c>
      <c r="J376" s="6" t="s">
        <v>1695</v>
      </c>
      <c r="K376" s="6"/>
      <c r="L376" s="6" t="s">
        <v>304</v>
      </c>
      <c r="M376" s="6" t="s">
        <v>59</v>
      </c>
      <c r="N376" s="6"/>
    </row>
    <row r="377" ht="15.75" customHeight="1">
      <c r="A377" s="6" t="s">
        <v>863</v>
      </c>
      <c r="B377" s="6" t="s">
        <v>1427</v>
      </c>
      <c r="C377" s="6" t="s">
        <v>747</v>
      </c>
      <c r="D377" s="6" t="s">
        <v>429</v>
      </c>
      <c r="E377" s="6" t="s">
        <v>438</v>
      </c>
      <c r="F377" s="6" t="s">
        <v>1377</v>
      </c>
      <c r="G377" s="6" t="s">
        <v>1587</v>
      </c>
      <c r="H377" s="6" t="s">
        <v>1783</v>
      </c>
      <c r="I377" s="6" t="s">
        <v>1303</v>
      </c>
      <c r="J377" s="6" t="s">
        <v>1430</v>
      </c>
      <c r="K377" s="6" t="s">
        <v>820</v>
      </c>
      <c r="L377" s="6" t="s">
        <v>304</v>
      </c>
      <c r="M377" s="6" t="s">
        <v>59</v>
      </c>
      <c r="N377" s="6"/>
    </row>
    <row r="378" ht="15.75" customHeight="1">
      <c r="A378" s="6" t="s">
        <v>863</v>
      </c>
      <c r="B378" s="6" t="s">
        <v>1784</v>
      </c>
      <c r="C378" s="6" t="s">
        <v>700</v>
      </c>
      <c r="D378" s="6" t="s">
        <v>429</v>
      </c>
      <c r="E378" s="6" t="s">
        <v>438</v>
      </c>
      <c r="F378" s="6" t="s">
        <v>1416</v>
      </c>
      <c r="G378" s="6" t="s">
        <v>1599</v>
      </c>
      <c r="H378" s="6" t="s">
        <v>120</v>
      </c>
      <c r="I378" s="6" t="s">
        <v>1303</v>
      </c>
      <c r="J378" s="6"/>
      <c r="K378" s="6" t="s">
        <v>820</v>
      </c>
      <c r="L378" s="6" t="s">
        <v>304</v>
      </c>
      <c r="M378" s="6" t="s">
        <v>59</v>
      </c>
      <c r="N378" s="6"/>
    </row>
    <row r="379" ht="15.75" customHeight="1">
      <c r="A379" s="6" t="s">
        <v>863</v>
      </c>
      <c r="B379" s="6" t="s">
        <v>1431</v>
      </c>
      <c r="C379" s="6" t="s">
        <v>747</v>
      </c>
      <c r="D379" s="6" t="s">
        <v>429</v>
      </c>
      <c r="E379" s="6" t="s">
        <v>438</v>
      </c>
      <c r="F379" s="6" t="s">
        <v>1377</v>
      </c>
      <c r="G379" s="6"/>
      <c r="H379" s="6" t="s">
        <v>1785</v>
      </c>
      <c r="I379" s="6" t="s">
        <v>314</v>
      </c>
      <c r="J379" s="6" t="s">
        <v>1434</v>
      </c>
      <c r="K379" s="6"/>
      <c r="L379" s="6" t="s">
        <v>304</v>
      </c>
      <c r="M379" s="6" t="s">
        <v>59</v>
      </c>
      <c r="N379" s="6"/>
    </row>
    <row r="380" ht="15.75" customHeight="1">
      <c r="A380" s="6" t="s">
        <v>863</v>
      </c>
      <c r="B380" s="6" t="s">
        <v>1435</v>
      </c>
      <c r="C380" s="6" t="s">
        <v>690</v>
      </c>
      <c r="D380" s="6" t="s">
        <v>429</v>
      </c>
      <c r="E380" s="6" t="s">
        <v>438</v>
      </c>
      <c r="F380" s="6" t="s">
        <v>1416</v>
      </c>
      <c r="G380" s="6"/>
      <c r="H380" s="6" t="s">
        <v>219</v>
      </c>
      <c r="I380" s="6" t="s">
        <v>1437</v>
      </c>
      <c r="J380" s="6" t="s">
        <v>1786</v>
      </c>
      <c r="K380" s="6" t="s">
        <v>820</v>
      </c>
      <c r="L380" s="6" t="s">
        <v>304</v>
      </c>
      <c r="M380" s="6" t="s">
        <v>59</v>
      </c>
      <c r="N380" s="6"/>
    </row>
    <row r="381" ht="15.75" customHeight="1">
      <c r="A381" s="6" t="s">
        <v>863</v>
      </c>
      <c r="B381" s="6" t="s">
        <v>1438</v>
      </c>
      <c r="C381" s="6" t="s">
        <v>848</v>
      </c>
      <c r="D381" s="6" t="s">
        <v>429</v>
      </c>
      <c r="E381" s="6" t="s">
        <v>946</v>
      </c>
      <c r="F381" s="6" t="s">
        <v>67</v>
      </c>
      <c r="G381" s="6" t="s">
        <v>1601</v>
      </c>
      <c r="H381" s="6" t="s">
        <v>88</v>
      </c>
      <c r="I381" s="6" t="s">
        <v>497</v>
      </c>
      <c r="J381" s="6"/>
      <c r="K381" s="6" t="s">
        <v>845</v>
      </c>
      <c r="L381" s="6" t="s">
        <v>304</v>
      </c>
      <c r="M381" s="6" t="s">
        <v>59</v>
      </c>
      <c r="N381" s="6"/>
    </row>
    <row r="382" ht="15.75" customHeight="1">
      <c r="A382" s="6" t="s">
        <v>863</v>
      </c>
      <c r="B382" s="6" t="s">
        <v>1615</v>
      </c>
      <c r="C382" s="6" t="s">
        <v>781</v>
      </c>
      <c r="D382" s="6" t="s">
        <v>429</v>
      </c>
      <c r="E382" s="6" t="s">
        <v>438</v>
      </c>
      <c r="F382" s="6" t="s">
        <v>1416</v>
      </c>
      <c r="G382" s="6" t="s">
        <v>1616</v>
      </c>
      <c r="H382" s="6" t="s">
        <v>1756</v>
      </c>
      <c r="I382" s="6" t="s">
        <v>1303</v>
      </c>
      <c r="J382" s="6"/>
      <c r="K382" s="6"/>
      <c r="L382" s="6" t="s">
        <v>304</v>
      </c>
      <c r="M382" s="6" t="s">
        <v>59</v>
      </c>
      <c r="N382" s="6"/>
    </row>
    <row r="383" ht="15.75" customHeight="1">
      <c r="A383" s="6" t="s">
        <v>863</v>
      </c>
      <c r="B383" s="6" t="s">
        <v>1444</v>
      </c>
      <c r="C383" s="6" t="s">
        <v>764</v>
      </c>
      <c r="D383" s="6" t="s">
        <v>429</v>
      </c>
      <c r="E383" s="6" t="s">
        <v>438</v>
      </c>
      <c r="F383" s="6" t="s">
        <v>1377</v>
      </c>
      <c r="G383" s="6"/>
      <c r="H383" s="6" t="s">
        <v>1787</v>
      </c>
      <c r="I383" s="6" t="s">
        <v>1322</v>
      </c>
      <c r="J383" s="6" t="s">
        <v>1448</v>
      </c>
      <c r="K383" s="6"/>
      <c r="L383" s="6" t="s">
        <v>304</v>
      </c>
      <c r="M383" s="6" t="s">
        <v>59</v>
      </c>
      <c r="N383" s="6"/>
    </row>
    <row r="384" ht="15.75" customHeight="1">
      <c r="A384" s="6" t="s">
        <v>863</v>
      </c>
      <c r="B384" s="6" t="s">
        <v>1444</v>
      </c>
      <c r="C384" s="6" t="s">
        <v>672</v>
      </c>
      <c r="D384" s="6" t="s">
        <v>429</v>
      </c>
      <c r="E384" s="6" t="s">
        <v>946</v>
      </c>
      <c r="F384" s="6" t="s">
        <v>67</v>
      </c>
      <c r="G384" s="6" t="s">
        <v>1601</v>
      </c>
      <c r="H384" s="6" t="s">
        <v>88</v>
      </c>
      <c r="I384" s="6" t="s">
        <v>1322</v>
      </c>
      <c r="J384" s="6"/>
      <c r="K384" s="6" t="s">
        <v>845</v>
      </c>
      <c r="L384" s="6" t="s">
        <v>304</v>
      </c>
      <c r="M384" s="6" t="s">
        <v>59</v>
      </c>
      <c r="N384" s="6"/>
    </row>
    <row r="385" ht="15.75" customHeight="1"/>
    <row r="386" ht="15.75" customHeight="1">
      <c r="A386" s="16" t="s">
        <v>900</v>
      </c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ht="15.75" customHeight="1">
      <c r="A387" s="17" t="s">
        <v>1292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</row>
    <row r="388" ht="15.75" customHeight="1">
      <c r="A388" s="18" t="s">
        <v>4</v>
      </c>
      <c r="B388" s="18" t="s">
        <v>6</v>
      </c>
      <c r="C388" s="18" t="s">
        <v>7</v>
      </c>
      <c r="D388" s="18" t="s">
        <v>8</v>
      </c>
      <c r="E388" s="18" t="s">
        <v>9</v>
      </c>
      <c r="F388" s="18" t="s">
        <v>10</v>
      </c>
      <c r="G388" s="18" t="s">
        <v>11</v>
      </c>
      <c r="H388" s="18" t="s">
        <v>12</v>
      </c>
      <c r="I388" s="18" t="s">
        <v>13</v>
      </c>
      <c r="J388" s="18" t="s">
        <v>14</v>
      </c>
      <c r="K388" s="18" t="s">
        <v>15</v>
      </c>
      <c r="L388" s="18" t="s">
        <v>16</v>
      </c>
      <c r="M388" s="18" t="s">
        <v>17</v>
      </c>
      <c r="N388" s="18" t="s">
        <v>18</v>
      </c>
    </row>
    <row r="389" ht="15.75" customHeight="1">
      <c r="A389" s="6" t="s">
        <v>903</v>
      </c>
      <c r="B389" s="6" t="s">
        <v>1144</v>
      </c>
      <c r="C389" s="6" t="s">
        <v>111</v>
      </c>
      <c r="D389" s="6" t="s">
        <v>84</v>
      </c>
      <c r="E389" s="6" t="s">
        <v>311</v>
      </c>
      <c r="F389" s="6" t="s">
        <v>1788</v>
      </c>
      <c r="G389" s="6" t="s">
        <v>1661</v>
      </c>
      <c r="H389" s="6" t="s">
        <v>88</v>
      </c>
      <c r="I389" s="6" t="s">
        <v>1225</v>
      </c>
      <c r="J389" s="6"/>
      <c r="K389" s="6" t="s">
        <v>845</v>
      </c>
      <c r="L389" s="6" t="s">
        <v>29</v>
      </c>
      <c r="M389" s="6" t="s">
        <v>30</v>
      </c>
      <c r="N389" s="6"/>
    </row>
    <row r="390" ht="15.75" customHeight="1"/>
    <row r="391" ht="15.75" customHeight="1">
      <c r="A391" s="16" t="s">
        <v>900</v>
      </c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ht="15.75" customHeight="1">
      <c r="A392" s="17" t="s">
        <v>1347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 ht="15.75" customHeight="1">
      <c r="A393" s="18" t="s">
        <v>4</v>
      </c>
      <c r="B393" s="18" t="s">
        <v>6</v>
      </c>
      <c r="C393" s="18" t="s">
        <v>7</v>
      </c>
      <c r="D393" s="18" t="s">
        <v>8</v>
      </c>
      <c r="E393" s="18" t="s">
        <v>9</v>
      </c>
      <c r="F393" s="18" t="s">
        <v>10</v>
      </c>
      <c r="G393" s="18" t="s">
        <v>11</v>
      </c>
      <c r="H393" s="18" t="s">
        <v>12</v>
      </c>
      <c r="I393" s="18" t="s">
        <v>13</v>
      </c>
      <c r="J393" s="18" t="s">
        <v>14</v>
      </c>
      <c r="K393" s="18" t="s">
        <v>15</v>
      </c>
      <c r="L393" s="18" t="s">
        <v>16</v>
      </c>
      <c r="M393" s="18" t="s">
        <v>17</v>
      </c>
      <c r="N393" s="18" t="s">
        <v>18</v>
      </c>
    </row>
    <row r="394" ht="15.75" customHeight="1">
      <c r="A394" s="6" t="s">
        <v>903</v>
      </c>
      <c r="B394" s="6" t="s">
        <v>1618</v>
      </c>
      <c r="C394" s="6" t="s">
        <v>61</v>
      </c>
      <c r="D394" s="6" t="s">
        <v>1789</v>
      </c>
      <c r="E394" s="6" t="s">
        <v>677</v>
      </c>
      <c r="F394" s="6" t="s">
        <v>1350</v>
      </c>
      <c r="G394" s="6" t="s">
        <v>1527</v>
      </c>
      <c r="H394" s="6" t="s">
        <v>1790</v>
      </c>
      <c r="I394" s="6" t="s">
        <v>561</v>
      </c>
      <c r="J394" s="6"/>
      <c r="K394" s="6"/>
      <c r="L394" s="6" t="s">
        <v>304</v>
      </c>
      <c r="M394" s="6" t="s">
        <v>561</v>
      </c>
      <c r="N394" s="6"/>
    </row>
    <row r="395" ht="15.75" customHeight="1">
      <c r="A395" s="6" t="s">
        <v>903</v>
      </c>
      <c r="B395" s="6" t="s">
        <v>1705</v>
      </c>
      <c r="C395" s="6" t="s">
        <v>112</v>
      </c>
      <c r="D395" s="6" t="s">
        <v>1791</v>
      </c>
      <c r="E395" s="6" t="s">
        <v>1065</v>
      </c>
      <c r="F395" s="6" t="s">
        <v>1321</v>
      </c>
      <c r="G395" s="6"/>
      <c r="H395" s="6" t="s">
        <v>1792</v>
      </c>
      <c r="I395" s="6" t="s">
        <v>1303</v>
      </c>
      <c r="J395" s="6"/>
      <c r="K395" s="6"/>
      <c r="L395" s="6" t="s">
        <v>304</v>
      </c>
      <c r="M395" s="6" t="s">
        <v>30</v>
      </c>
      <c r="N395" s="6"/>
    </row>
    <row r="396" ht="15.75" customHeight="1">
      <c r="A396" s="6" t="s">
        <v>903</v>
      </c>
      <c r="B396" s="6" t="s">
        <v>1450</v>
      </c>
      <c r="C396" s="6" t="s">
        <v>262</v>
      </c>
      <c r="D396" s="6" t="s">
        <v>1793</v>
      </c>
      <c r="E396" s="6" t="s">
        <v>677</v>
      </c>
      <c r="F396" s="6" t="s">
        <v>1377</v>
      </c>
      <c r="G396" s="6"/>
      <c r="H396" s="6" t="s">
        <v>1470</v>
      </c>
      <c r="I396" s="6" t="s">
        <v>1303</v>
      </c>
      <c r="J396" s="6"/>
      <c r="K396" s="6"/>
      <c r="L396" s="6" t="s">
        <v>304</v>
      </c>
      <c r="M396" s="6" t="s">
        <v>30</v>
      </c>
      <c r="N396" s="6"/>
    </row>
    <row r="397" ht="15.75" customHeight="1">
      <c r="A397" s="6" t="s">
        <v>903</v>
      </c>
      <c r="B397" s="6" t="s">
        <v>1453</v>
      </c>
      <c r="C397" s="6" t="s">
        <v>62</v>
      </c>
      <c r="D397" s="6" t="s">
        <v>1794</v>
      </c>
      <c r="E397" s="6" t="s">
        <v>677</v>
      </c>
      <c r="F397" s="6" t="s">
        <v>1455</v>
      </c>
      <c r="G397" s="6" t="s">
        <v>1456</v>
      </c>
      <c r="H397" s="6" t="s">
        <v>1795</v>
      </c>
      <c r="I397" s="6" t="s">
        <v>314</v>
      </c>
      <c r="J397" s="6"/>
      <c r="K397" s="6"/>
      <c r="L397" s="6" t="s">
        <v>304</v>
      </c>
      <c r="M397" s="6" t="s">
        <v>30</v>
      </c>
      <c r="N397" s="6"/>
    </row>
    <row r="398" ht="15.75" customHeight="1">
      <c r="A398" s="6" t="s">
        <v>903</v>
      </c>
      <c r="B398" s="6" t="s">
        <v>1459</v>
      </c>
      <c r="C398" s="6" t="s">
        <v>62</v>
      </c>
      <c r="D398" s="6" t="s">
        <v>443</v>
      </c>
      <c r="E398" s="6" t="s">
        <v>1311</v>
      </c>
      <c r="F398" s="6" t="s">
        <v>1321</v>
      </c>
      <c r="G398" s="6" t="s">
        <v>1364</v>
      </c>
      <c r="H398" s="6" t="s">
        <v>70</v>
      </c>
      <c r="I398" s="6"/>
      <c r="J398" s="6"/>
      <c r="K398" s="6" t="s">
        <v>820</v>
      </c>
      <c r="L398" s="6" t="s">
        <v>304</v>
      </c>
      <c r="M398" s="6" t="s">
        <v>30</v>
      </c>
      <c r="N398" s="6"/>
    </row>
    <row r="399" ht="15.75" customHeight="1">
      <c r="A399" s="6" t="s">
        <v>903</v>
      </c>
      <c r="B399" s="6" t="s">
        <v>1626</v>
      </c>
      <c r="C399" s="6" t="s">
        <v>21</v>
      </c>
      <c r="D399" s="6" t="s">
        <v>1546</v>
      </c>
      <c r="E399" s="6" t="s">
        <v>677</v>
      </c>
      <c r="F399" s="6" t="s">
        <v>1416</v>
      </c>
      <c r="G399" s="6" t="s">
        <v>1465</v>
      </c>
      <c r="H399" s="6" t="s">
        <v>1547</v>
      </c>
      <c r="I399" s="6" t="s">
        <v>1467</v>
      </c>
      <c r="J399" s="6"/>
      <c r="K399" s="6"/>
      <c r="L399" s="6" t="s">
        <v>304</v>
      </c>
      <c r="M399" s="6" t="s">
        <v>561</v>
      </c>
      <c r="N399" s="6"/>
    </row>
    <row r="400" ht="15.75" customHeight="1">
      <c r="A400" s="6" t="s">
        <v>903</v>
      </c>
      <c r="B400" s="6" t="s">
        <v>1760</v>
      </c>
      <c r="C400" s="6" t="s">
        <v>94</v>
      </c>
      <c r="D400" s="6" t="s">
        <v>1652</v>
      </c>
      <c r="E400" s="6" t="s">
        <v>1065</v>
      </c>
      <c r="F400" s="6" t="s">
        <v>1321</v>
      </c>
      <c r="G400" s="6" t="s">
        <v>1364</v>
      </c>
      <c r="H400" s="6" t="s">
        <v>1314</v>
      </c>
      <c r="I400" s="6" t="s">
        <v>314</v>
      </c>
      <c r="J400" s="6"/>
      <c r="K400" s="6"/>
      <c r="L400" s="6" t="s">
        <v>304</v>
      </c>
      <c r="M400" s="6" t="s">
        <v>30</v>
      </c>
      <c r="N400" s="6"/>
    </row>
    <row r="401" ht="15.75" customHeight="1">
      <c r="A401" s="6" t="s">
        <v>903</v>
      </c>
      <c r="B401" s="6" t="s">
        <v>1468</v>
      </c>
      <c r="C401" s="6" t="s">
        <v>111</v>
      </c>
      <c r="D401" s="6" t="s">
        <v>1552</v>
      </c>
      <c r="E401" s="6" t="s">
        <v>242</v>
      </c>
      <c r="F401" s="6" t="s">
        <v>244</v>
      </c>
      <c r="G401" s="6" t="s">
        <v>1385</v>
      </c>
      <c r="H401" s="6" t="s">
        <v>1309</v>
      </c>
      <c r="I401" s="6" t="s">
        <v>1303</v>
      </c>
      <c r="J401" s="6"/>
      <c r="K401" s="6"/>
      <c r="L401" s="6" t="s">
        <v>304</v>
      </c>
      <c r="M401" s="6" t="s">
        <v>30</v>
      </c>
      <c r="N401" s="6"/>
    </row>
    <row r="402" ht="15.75" customHeight="1">
      <c r="A402" s="6" t="s">
        <v>903</v>
      </c>
      <c r="B402" s="6" t="s">
        <v>1468</v>
      </c>
      <c r="C402" s="6" t="s">
        <v>262</v>
      </c>
      <c r="D402" s="6" t="s">
        <v>552</v>
      </c>
      <c r="E402" s="6" t="s">
        <v>1311</v>
      </c>
      <c r="F402" s="6" t="s">
        <v>1321</v>
      </c>
      <c r="G402" s="6"/>
      <c r="H402" s="6" t="s">
        <v>554</v>
      </c>
      <c r="I402" s="6" t="s">
        <v>1303</v>
      </c>
      <c r="J402" s="6"/>
      <c r="K402" s="6" t="s">
        <v>820</v>
      </c>
      <c r="L402" s="6" t="s">
        <v>304</v>
      </c>
      <c r="M402" s="6" t="s">
        <v>30</v>
      </c>
      <c r="N402" s="6"/>
    </row>
    <row r="403" ht="15.75" customHeight="1">
      <c r="A403" s="6" t="s">
        <v>903</v>
      </c>
      <c r="B403" s="6" t="s">
        <v>1365</v>
      </c>
      <c r="C403" s="6" t="s">
        <v>145</v>
      </c>
      <c r="D403" s="6" t="s">
        <v>353</v>
      </c>
      <c r="E403" s="6" t="s">
        <v>1065</v>
      </c>
      <c r="F403" s="6" t="s">
        <v>85</v>
      </c>
      <c r="G403" s="6" t="s">
        <v>1380</v>
      </c>
      <c r="H403" s="6" t="s">
        <v>88</v>
      </c>
      <c r="I403" s="6" t="s">
        <v>314</v>
      </c>
      <c r="J403" s="6"/>
      <c r="K403" s="6" t="s">
        <v>845</v>
      </c>
      <c r="L403" s="6" t="s">
        <v>304</v>
      </c>
      <c r="M403" s="6" t="s">
        <v>30</v>
      </c>
      <c r="N403" s="6"/>
    </row>
    <row r="404" ht="15.75" customHeight="1">
      <c r="A404" s="6" t="s">
        <v>903</v>
      </c>
      <c r="B404" s="6" t="s">
        <v>1471</v>
      </c>
      <c r="C404" s="6" t="s">
        <v>61</v>
      </c>
      <c r="D404" s="6" t="s">
        <v>1796</v>
      </c>
      <c r="E404" s="6" t="s">
        <v>677</v>
      </c>
      <c r="F404" s="6" t="s">
        <v>1350</v>
      </c>
      <c r="G404" s="6" t="s">
        <v>1527</v>
      </c>
      <c r="H404" s="6" t="s">
        <v>247</v>
      </c>
      <c r="I404" s="6" t="s">
        <v>1474</v>
      </c>
      <c r="J404" s="6"/>
      <c r="K404" s="6"/>
      <c r="L404" s="6" t="s">
        <v>304</v>
      </c>
      <c r="M404" s="6" t="s">
        <v>30</v>
      </c>
      <c r="N404" s="6"/>
    </row>
    <row r="405" ht="15.75" customHeight="1">
      <c r="A405" s="6" t="s">
        <v>903</v>
      </c>
      <c r="B405" s="6" t="s">
        <v>1572</v>
      </c>
      <c r="C405" s="6" t="s">
        <v>177</v>
      </c>
      <c r="D405" s="6" t="s">
        <v>1797</v>
      </c>
      <c r="E405" s="6" t="s">
        <v>677</v>
      </c>
      <c r="F405" s="6" t="s">
        <v>1321</v>
      </c>
      <c r="G405" s="6" t="s">
        <v>1364</v>
      </c>
      <c r="H405" s="6" t="s">
        <v>1330</v>
      </c>
      <c r="I405" s="6" t="s">
        <v>1474</v>
      </c>
      <c r="J405" s="6"/>
      <c r="K405" s="6"/>
      <c r="L405" s="6" t="s">
        <v>304</v>
      </c>
      <c r="M405" s="6" t="s">
        <v>30</v>
      </c>
      <c r="N405" s="6"/>
    </row>
    <row r="406" ht="15.75" customHeight="1">
      <c r="A406" s="6" t="s">
        <v>903</v>
      </c>
      <c r="B406" s="6" t="s">
        <v>1710</v>
      </c>
      <c r="C406" s="6" t="s">
        <v>133</v>
      </c>
      <c r="D406" s="6" t="s">
        <v>1798</v>
      </c>
      <c r="E406" s="6" t="s">
        <v>677</v>
      </c>
      <c r="F406" s="6" t="s">
        <v>1455</v>
      </c>
      <c r="G406" s="6" t="s">
        <v>1487</v>
      </c>
      <c r="H406" s="6" t="s">
        <v>1711</v>
      </c>
      <c r="I406" s="6" t="s">
        <v>1303</v>
      </c>
      <c r="J406" s="6"/>
      <c r="K406" s="6"/>
      <c r="L406" s="6" t="s">
        <v>304</v>
      </c>
      <c r="M406" s="6" t="s">
        <v>30</v>
      </c>
      <c r="N406" s="6"/>
    </row>
    <row r="407" ht="15.75" customHeight="1">
      <c r="A407" s="6" t="s">
        <v>903</v>
      </c>
      <c r="B407" s="6" t="s">
        <v>1374</v>
      </c>
      <c r="C407" s="6" t="s">
        <v>50</v>
      </c>
      <c r="D407" s="6" t="s">
        <v>365</v>
      </c>
      <c r="E407" s="6" t="s">
        <v>1065</v>
      </c>
      <c r="F407" s="6" t="s">
        <v>1321</v>
      </c>
      <c r="G407" s="6" t="s">
        <v>1364</v>
      </c>
      <c r="H407" s="6" t="s">
        <v>49</v>
      </c>
      <c r="I407" s="6" t="s">
        <v>1322</v>
      </c>
      <c r="J407" s="6"/>
      <c r="K407" s="6"/>
      <c r="L407" s="6" t="s">
        <v>304</v>
      </c>
      <c r="M407" s="6" t="s">
        <v>30</v>
      </c>
      <c r="N407" s="6"/>
    </row>
    <row r="408" ht="15.75" customHeight="1">
      <c r="A408" s="6" t="s">
        <v>903</v>
      </c>
      <c r="B408" s="6" t="s">
        <v>1518</v>
      </c>
      <c r="C408" s="6" t="s">
        <v>21</v>
      </c>
      <c r="D408" s="6" t="s">
        <v>1799</v>
      </c>
      <c r="E408" s="6" t="s">
        <v>677</v>
      </c>
      <c r="F408" s="6" t="s">
        <v>1350</v>
      </c>
      <c r="G408" s="6" t="s">
        <v>1351</v>
      </c>
      <c r="H408" s="6" t="s">
        <v>1800</v>
      </c>
      <c r="I408" s="6" t="s">
        <v>1521</v>
      </c>
      <c r="J408" s="6"/>
      <c r="K408" s="6"/>
      <c r="L408" s="6" t="s">
        <v>304</v>
      </c>
      <c r="M408" s="6" t="s">
        <v>30</v>
      </c>
      <c r="N408" s="6"/>
    </row>
    <row r="409" ht="15.75" customHeight="1">
      <c r="A409" s="6" t="s">
        <v>903</v>
      </c>
      <c r="B409" s="6" t="s">
        <v>1522</v>
      </c>
      <c r="C409" s="6" t="s">
        <v>35</v>
      </c>
      <c r="D409" s="6" t="s">
        <v>526</v>
      </c>
      <c r="E409" s="6" t="s">
        <v>1065</v>
      </c>
      <c r="F409" s="6" t="s">
        <v>1321</v>
      </c>
      <c r="G409" s="6" t="s">
        <v>1364</v>
      </c>
      <c r="H409" s="6" t="s">
        <v>66</v>
      </c>
      <c r="I409" s="6" t="s">
        <v>1303</v>
      </c>
      <c r="J409" s="6"/>
      <c r="K409" s="6"/>
      <c r="L409" s="6" t="s">
        <v>304</v>
      </c>
      <c r="M409" s="6" t="s">
        <v>30</v>
      </c>
      <c r="N409" s="6"/>
    </row>
    <row r="410" ht="15.75" customHeight="1">
      <c r="A410" s="6" t="s">
        <v>903</v>
      </c>
      <c r="B410" s="6" t="s">
        <v>1479</v>
      </c>
      <c r="C410" s="6" t="s">
        <v>62</v>
      </c>
      <c r="D410" s="6" t="s">
        <v>1801</v>
      </c>
      <c r="E410" s="6" t="s">
        <v>677</v>
      </c>
      <c r="F410" s="6" t="s">
        <v>1350</v>
      </c>
      <c r="G410" s="6" t="s">
        <v>1351</v>
      </c>
      <c r="H410" s="6" t="s">
        <v>1802</v>
      </c>
      <c r="I410" s="6" t="s">
        <v>1303</v>
      </c>
      <c r="J410" s="6"/>
      <c r="K410" s="6"/>
      <c r="L410" s="6" t="s">
        <v>304</v>
      </c>
      <c r="M410" s="6" t="s">
        <v>30</v>
      </c>
      <c r="N410" s="6"/>
    </row>
    <row r="411" ht="15.75" customHeight="1">
      <c r="A411" s="6" t="s">
        <v>903</v>
      </c>
      <c r="B411" s="6" t="s">
        <v>1529</v>
      </c>
      <c r="C411" s="6" t="s">
        <v>43</v>
      </c>
      <c r="D411" s="6" t="s">
        <v>382</v>
      </c>
      <c r="E411" s="6" t="s">
        <v>1311</v>
      </c>
      <c r="F411" s="6" t="s">
        <v>1321</v>
      </c>
      <c r="G411" s="6" t="s">
        <v>1370</v>
      </c>
      <c r="H411" s="6" t="s">
        <v>313</v>
      </c>
      <c r="I411" s="6" t="s">
        <v>1530</v>
      </c>
      <c r="J411" s="6"/>
      <c r="K411" s="6" t="s">
        <v>724</v>
      </c>
      <c r="L411" s="6" t="s">
        <v>304</v>
      </c>
      <c r="M411" s="6" t="s">
        <v>30</v>
      </c>
      <c r="N411" s="6"/>
    </row>
    <row r="412" ht="15.75" customHeight="1">
      <c r="A412" s="6" t="s">
        <v>903</v>
      </c>
      <c r="B412" s="6" t="s">
        <v>1482</v>
      </c>
      <c r="C412" s="6" t="s">
        <v>21</v>
      </c>
      <c r="D412" s="6" t="s">
        <v>1803</v>
      </c>
      <c r="E412" s="6" t="s">
        <v>677</v>
      </c>
      <c r="F412" s="6" t="s">
        <v>1416</v>
      </c>
      <c r="G412" s="6" t="s">
        <v>1465</v>
      </c>
      <c r="H412" s="6" t="s">
        <v>1804</v>
      </c>
      <c r="I412" s="6" t="s">
        <v>1303</v>
      </c>
      <c r="J412" s="6"/>
      <c r="K412" s="6"/>
      <c r="L412" s="6" t="s">
        <v>304</v>
      </c>
      <c r="M412" s="6" t="s">
        <v>561</v>
      </c>
      <c r="N412" s="6"/>
    </row>
    <row r="413" ht="15.75" customHeight="1">
      <c r="A413" s="6" t="s">
        <v>903</v>
      </c>
      <c r="B413" s="6" t="s">
        <v>1489</v>
      </c>
      <c r="C413" s="6" t="s">
        <v>262</v>
      </c>
      <c r="D413" s="6" t="s">
        <v>821</v>
      </c>
      <c r="E413" s="6" t="s">
        <v>677</v>
      </c>
      <c r="F413" s="6" t="s">
        <v>1455</v>
      </c>
      <c r="G413" s="6"/>
      <c r="H413" s="6" t="s">
        <v>55</v>
      </c>
      <c r="I413" s="6"/>
      <c r="J413" s="6"/>
      <c r="K413" s="6"/>
      <c r="L413" s="6" t="s">
        <v>304</v>
      </c>
      <c r="M413" s="6" t="s">
        <v>561</v>
      </c>
      <c r="N413" s="6"/>
    </row>
    <row r="414" ht="15.75" customHeight="1">
      <c r="A414" s="6" t="s">
        <v>903</v>
      </c>
      <c r="B414" s="6" t="s">
        <v>1388</v>
      </c>
      <c r="C414" s="6" t="s">
        <v>235</v>
      </c>
      <c r="D414" s="6" t="s">
        <v>835</v>
      </c>
      <c r="E414" s="6" t="s">
        <v>1065</v>
      </c>
      <c r="F414" s="6" t="s">
        <v>67</v>
      </c>
      <c r="G414" s="6"/>
      <c r="H414" s="6" t="s">
        <v>838</v>
      </c>
      <c r="I414" s="6" t="s">
        <v>1303</v>
      </c>
      <c r="J414" s="6"/>
      <c r="K414" s="6" t="s">
        <v>820</v>
      </c>
      <c r="L414" s="6" t="s">
        <v>304</v>
      </c>
      <c r="M414" s="6" t="s">
        <v>30</v>
      </c>
      <c r="N414" s="6"/>
    </row>
    <row r="415" ht="15.75" customHeight="1">
      <c r="A415" s="6" t="s">
        <v>903</v>
      </c>
      <c r="B415" s="6" t="s">
        <v>1403</v>
      </c>
      <c r="C415" s="6" t="s">
        <v>43</v>
      </c>
      <c r="D415" s="6" t="s">
        <v>1805</v>
      </c>
      <c r="E415" s="6" t="s">
        <v>677</v>
      </c>
      <c r="F415" s="6" t="s">
        <v>1350</v>
      </c>
      <c r="G415" s="6"/>
      <c r="H415" s="6" t="s">
        <v>1806</v>
      </c>
      <c r="I415" s="6" t="s">
        <v>314</v>
      </c>
      <c r="J415" s="6"/>
      <c r="K415" s="6"/>
      <c r="L415" s="6" t="s">
        <v>304</v>
      </c>
      <c r="M415" s="6" t="s">
        <v>30</v>
      </c>
      <c r="N415" s="6"/>
    </row>
    <row r="416" ht="15.75" customHeight="1"/>
    <row r="417" ht="15.75" customHeight="1">
      <c r="A417" s="16" t="s">
        <v>928</v>
      </c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ht="15.75" customHeight="1">
      <c r="A418" s="17" t="s">
        <v>1704</v>
      </c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</row>
    <row r="419" ht="15.75" customHeight="1">
      <c r="A419" s="18" t="s">
        <v>4</v>
      </c>
      <c r="B419" s="18" t="s">
        <v>6</v>
      </c>
      <c r="C419" s="18" t="s">
        <v>7</v>
      </c>
      <c r="D419" s="18" t="s">
        <v>8</v>
      </c>
      <c r="E419" s="18" t="s">
        <v>9</v>
      </c>
      <c r="F419" s="18" t="s">
        <v>10</v>
      </c>
      <c r="G419" s="18" t="s">
        <v>11</v>
      </c>
      <c r="H419" s="18" t="s">
        <v>12</v>
      </c>
      <c r="I419" s="18" t="s">
        <v>13</v>
      </c>
      <c r="J419" s="18" t="s">
        <v>14</v>
      </c>
      <c r="K419" s="18" t="s">
        <v>15</v>
      </c>
      <c r="L419" s="18" t="s">
        <v>16</v>
      </c>
      <c r="M419" s="18" t="s">
        <v>17</v>
      </c>
      <c r="N419" s="18" t="s">
        <v>18</v>
      </c>
    </row>
    <row r="420" ht="15.75" customHeight="1">
      <c r="A420" s="6" t="s">
        <v>935</v>
      </c>
      <c r="B420" s="6" t="s">
        <v>1811</v>
      </c>
      <c r="C420" s="6" t="s">
        <v>482</v>
      </c>
      <c r="D420" s="6" t="s">
        <v>429</v>
      </c>
      <c r="E420" s="6" t="s">
        <v>812</v>
      </c>
      <c r="F420" s="6" t="s">
        <v>1321</v>
      </c>
      <c r="G420" s="6" t="s">
        <v>936</v>
      </c>
      <c r="H420" s="6" t="s">
        <v>1812</v>
      </c>
      <c r="I420" s="6" t="s">
        <v>1303</v>
      </c>
      <c r="J420" s="6"/>
      <c r="K420" s="6"/>
      <c r="L420" s="6" t="s">
        <v>304</v>
      </c>
      <c r="M420" s="6" t="s">
        <v>984</v>
      </c>
      <c r="N420" s="6"/>
    </row>
    <row r="421" ht="15.75" customHeight="1">
      <c r="A421" s="6" t="s">
        <v>935</v>
      </c>
      <c r="B421" s="6" t="s">
        <v>1501</v>
      </c>
      <c r="C421" s="6" t="s">
        <v>973</v>
      </c>
      <c r="D421" s="6" t="s">
        <v>429</v>
      </c>
      <c r="E421" s="6" t="s">
        <v>812</v>
      </c>
      <c r="F421" s="6" t="s">
        <v>67</v>
      </c>
      <c r="G421" s="6" t="s">
        <v>936</v>
      </c>
      <c r="H421" s="6" t="s">
        <v>1813</v>
      </c>
      <c r="I421" s="6" t="s">
        <v>1303</v>
      </c>
      <c r="J421" s="6"/>
      <c r="K421" s="6"/>
      <c r="L421" s="6" t="s">
        <v>304</v>
      </c>
      <c r="M421" s="6" t="s">
        <v>984</v>
      </c>
      <c r="N421" s="6"/>
    </row>
    <row r="422" ht="15.75" customHeight="1">
      <c r="A422" s="6" t="s">
        <v>935</v>
      </c>
      <c r="B422" s="6" t="s">
        <v>1453</v>
      </c>
      <c r="C422" s="6" t="s">
        <v>1814</v>
      </c>
      <c r="D422" s="6" t="s">
        <v>429</v>
      </c>
      <c r="E422" s="6" t="s">
        <v>930</v>
      </c>
      <c r="F422" s="6" t="s">
        <v>244</v>
      </c>
      <c r="G422" s="6" t="s">
        <v>936</v>
      </c>
      <c r="H422" s="6" t="s">
        <v>1457</v>
      </c>
      <c r="I422" s="6" t="s">
        <v>314</v>
      </c>
      <c r="J422" s="6"/>
      <c r="K422" s="6"/>
      <c r="L422" s="6" t="s">
        <v>304</v>
      </c>
      <c r="M422" s="6" t="s">
        <v>984</v>
      </c>
      <c r="N422" s="6"/>
    </row>
    <row r="423" ht="15.75" customHeight="1">
      <c r="A423" s="6" t="s">
        <v>935</v>
      </c>
      <c r="B423" s="6" t="s">
        <v>1509</v>
      </c>
      <c r="C423" s="6" t="s">
        <v>979</v>
      </c>
      <c r="D423" s="6" t="s">
        <v>429</v>
      </c>
      <c r="E423" s="6" t="s">
        <v>930</v>
      </c>
      <c r="F423" s="6" t="s">
        <v>244</v>
      </c>
      <c r="G423" s="6" t="s">
        <v>936</v>
      </c>
      <c r="H423" s="6" t="s">
        <v>777</v>
      </c>
      <c r="I423" s="6" t="s">
        <v>1510</v>
      </c>
      <c r="J423" s="6"/>
      <c r="K423" s="6"/>
      <c r="L423" s="6" t="s">
        <v>304</v>
      </c>
      <c r="M423" s="6" t="s">
        <v>984</v>
      </c>
      <c r="N423" s="6"/>
    </row>
    <row r="424" ht="15.75" customHeight="1">
      <c r="A424" s="6" t="s">
        <v>935</v>
      </c>
      <c r="B424" s="6" t="s">
        <v>1511</v>
      </c>
      <c r="C424" s="6" t="s">
        <v>539</v>
      </c>
      <c r="D424" s="6" t="s">
        <v>429</v>
      </c>
      <c r="E424" s="6" t="s">
        <v>1113</v>
      </c>
      <c r="F424" s="6" t="s">
        <v>1416</v>
      </c>
      <c r="G424" s="6" t="s">
        <v>936</v>
      </c>
      <c r="H424" s="6" t="s">
        <v>554</v>
      </c>
      <c r="I424" s="6" t="s">
        <v>1303</v>
      </c>
      <c r="J424" s="6"/>
      <c r="K424" s="6" t="s">
        <v>937</v>
      </c>
      <c r="L424" s="6" t="s">
        <v>304</v>
      </c>
      <c r="M424" s="6" t="s">
        <v>984</v>
      </c>
      <c r="N424" s="6"/>
    </row>
    <row r="425" ht="15.75" customHeight="1">
      <c r="A425" s="6" t="s">
        <v>935</v>
      </c>
      <c r="B425" s="6" t="s">
        <v>1363</v>
      </c>
      <c r="C425" s="6" t="s">
        <v>565</v>
      </c>
      <c r="D425" s="6" t="s">
        <v>429</v>
      </c>
      <c r="E425" s="6" t="s">
        <v>800</v>
      </c>
      <c r="F425" s="6" t="s">
        <v>1321</v>
      </c>
      <c r="G425" s="6" t="s">
        <v>936</v>
      </c>
      <c r="H425" s="6" t="s">
        <v>49</v>
      </c>
      <c r="I425" s="6" t="s">
        <v>1303</v>
      </c>
      <c r="J425" s="6"/>
      <c r="K425" s="6"/>
      <c r="L425" s="6" t="s">
        <v>304</v>
      </c>
      <c r="M425" s="6" t="s">
        <v>984</v>
      </c>
      <c r="N425" s="6"/>
    </row>
    <row r="426" ht="15.75" customHeight="1">
      <c r="A426" s="6" t="s">
        <v>935</v>
      </c>
      <c r="B426" s="6" t="s">
        <v>1463</v>
      </c>
      <c r="C426" s="6" t="s">
        <v>428</v>
      </c>
      <c r="D426" s="6" t="s">
        <v>429</v>
      </c>
      <c r="E426" s="6" t="s">
        <v>1113</v>
      </c>
      <c r="F426" s="6" t="s">
        <v>1416</v>
      </c>
      <c r="G426" s="6" t="s">
        <v>936</v>
      </c>
      <c r="H426" s="6" t="s">
        <v>1547</v>
      </c>
      <c r="I426" s="6" t="s">
        <v>1467</v>
      </c>
      <c r="J426" s="6"/>
      <c r="K426" s="6"/>
      <c r="L426" s="6" t="s">
        <v>304</v>
      </c>
      <c r="M426" s="6" t="s">
        <v>984</v>
      </c>
      <c r="N426" s="6"/>
    </row>
    <row r="427" ht="15.75" customHeight="1">
      <c r="A427" s="6" t="s">
        <v>935</v>
      </c>
      <c r="B427" s="6" t="s">
        <v>1512</v>
      </c>
      <c r="C427" s="6" t="s">
        <v>539</v>
      </c>
      <c r="D427" s="6" t="s">
        <v>429</v>
      </c>
      <c r="E427" s="6" t="s">
        <v>1113</v>
      </c>
      <c r="F427" s="6" t="s">
        <v>1416</v>
      </c>
      <c r="G427" s="6" t="s">
        <v>936</v>
      </c>
      <c r="H427" s="6" t="s">
        <v>554</v>
      </c>
      <c r="I427" s="6" t="s">
        <v>1303</v>
      </c>
      <c r="J427" s="6"/>
      <c r="K427" s="6" t="s">
        <v>937</v>
      </c>
      <c r="L427" s="6" t="s">
        <v>304</v>
      </c>
      <c r="M427" s="6" t="s">
        <v>984</v>
      </c>
      <c r="N427" s="6"/>
    </row>
    <row r="428" ht="15.75" customHeight="1">
      <c r="A428" s="6" t="s">
        <v>935</v>
      </c>
      <c r="B428" s="6" t="s">
        <v>1371</v>
      </c>
      <c r="C428" s="6" t="s">
        <v>565</v>
      </c>
      <c r="D428" s="6" t="s">
        <v>553</v>
      </c>
      <c r="E428" s="6" t="s">
        <v>1113</v>
      </c>
      <c r="F428" s="6" t="s">
        <v>1377</v>
      </c>
      <c r="G428" s="6" t="s">
        <v>936</v>
      </c>
      <c r="H428" s="6" t="s">
        <v>1815</v>
      </c>
      <c r="I428" s="6" t="s">
        <v>1303</v>
      </c>
      <c r="L428" s="6" t="s">
        <v>995</v>
      </c>
      <c r="M428" s="6"/>
    </row>
    <row r="429" ht="15.75" customHeight="1">
      <c r="A429" s="6" t="s">
        <v>935</v>
      </c>
      <c r="B429" s="6" t="s">
        <v>1374</v>
      </c>
      <c r="C429" s="6" t="s">
        <v>996</v>
      </c>
      <c r="D429" s="6" t="s">
        <v>429</v>
      </c>
      <c r="E429" s="6" t="s">
        <v>930</v>
      </c>
      <c r="F429" s="6" t="s">
        <v>244</v>
      </c>
      <c r="G429" s="6" t="s">
        <v>936</v>
      </c>
      <c r="H429" s="6" t="s">
        <v>1816</v>
      </c>
      <c r="I429" s="6" t="s">
        <v>1322</v>
      </c>
      <c r="J429" s="6"/>
      <c r="K429" s="6" t="s">
        <v>937</v>
      </c>
      <c r="L429" s="6" t="s">
        <v>304</v>
      </c>
      <c r="M429" s="6" t="s">
        <v>984</v>
      </c>
      <c r="N429" s="6"/>
    </row>
    <row r="430" ht="15.75" customHeight="1">
      <c r="A430" s="6" t="s">
        <v>935</v>
      </c>
      <c r="B430" s="6" t="s">
        <v>1310</v>
      </c>
      <c r="C430" s="6" t="s">
        <v>501</v>
      </c>
      <c r="D430" s="6" t="s">
        <v>429</v>
      </c>
      <c r="E430" s="6" t="s">
        <v>800</v>
      </c>
      <c r="F430" s="6" t="s">
        <v>85</v>
      </c>
      <c r="G430" s="6" t="s">
        <v>12</v>
      </c>
      <c r="H430" s="6" t="s">
        <v>88</v>
      </c>
      <c r="I430" s="6" t="s">
        <v>1303</v>
      </c>
      <c r="J430" s="6"/>
      <c r="K430" s="6" t="s">
        <v>945</v>
      </c>
      <c r="L430" s="6" t="s">
        <v>304</v>
      </c>
      <c r="M430" s="6" t="s">
        <v>984</v>
      </c>
      <c r="N430" s="6"/>
    </row>
    <row r="431" ht="15.75" customHeight="1">
      <c r="A431" s="6" t="s">
        <v>935</v>
      </c>
      <c r="B431" s="6" t="s">
        <v>1665</v>
      </c>
      <c r="C431" s="6" t="s">
        <v>482</v>
      </c>
      <c r="D431" s="6" t="s">
        <v>553</v>
      </c>
      <c r="E431" s="6" t="s">
        <v>812</v>
      </c>
      <c r="F431" s="6" t="s">
        <v>1321</v>
      </c>
      <c r="G431" s="6" t="s">
        <v>936</v>
      </c>
      <c r="H431" s="6" t="s">
        <v>558</v>
      </c>
      <c r="I431" s="6" t="s">
        <v>1303</v>
      </c>
      <c r="L431" s="6" t="s">
        <v>995</v>
      </c>
      <c r="M431" s="6"/>
    </row>
    <row r="432" ht="15.75" customHeight="1">
      <c r="A432" s="6" t="s">
        <v>935</v>
      </c>
      <c r="B432" s="6" t="s">
        <v>1518</v>
      </c>
      <c r="C432" s="6" t="s">
        <v>428</v>
      </c>
      <c r="D432" s="6" t="s">
        <v>429</v>
      </c>
      <c r="E432" s="6" t="s">
        <v>1113</v>
      </c>
      <c r="F432" s="6" t="s">
        <v>1350</v>
      </c>
      <c r="G432" s="6" t="s">
        <v>936</v>
      </c>
      <c r="H432" s="6" t="s">
        <v>1817</v>
      </c>
      <c r="I432" s="6" t="s">
        <v>1521</v>
      </c>
      <c r="J432" s="6"/>
      <c r="K432" s="6" t="s">
        <v>937</v>
      </c>
      <c r="L432" s="6" t="s">
        <v>304</v>
      </c>
      <c r="M432" s="6" t="s">
        <v>984</v>
      </c>
      <c r="N432" s="6"/>
    </row>
    <row r="433" ht="15.75" customHeight="1">
      <c r="A433" s="6" t="s">
        <v>935</v>
      </c>
      <c r="B433" s="6" t="s">
        <v>1522</v>
      </c>
      <c r="C433" s="6" t="s">
        <v>469</v>
      </c>
      <c r="D433" s="6" t="s">
        <v>429</v>
      </c>
      <c r="E433" s="6" t="s">
        <v>812</v>
      </c>
      <c r="F433" s="6" t="s">
        <v>1321</v>
      </c>
      <c r="G433" s="6" t="s">
        <v>936</v>
      </c>
      <c r="H433" s="6" t="s">
        <v>156</v>
      </c>
      <c r="I433" s="6" t="s">
        <v>1303</v>
      </c>
      <c r="J433" s="6"/>
      <c r="K433" s="6"/>
      <c r="L433" s="6" t="s">
        <v>304</v>
      </c>
      <c r="M433" s="6" t="s">
        <v>984</v>
      </c>
      <c r="N433" s="6"/>
    </row>
    <row r="434" ht="15.75" customHeight="1">
      <c r="A434" s="6" t="s">
        <v>935</v>
      </c>
      <c r="B434" s="6" t="s">
        <v>1636</v>
      </c>
      <c r="C434" s="6" t="s">
        <v>445</v>
      </c>
      <c r="D434" s="6" t="s">
        <v>429</v>
      </c>
      <c r="E434" s="6" t="s">
        <v>1113</v>
      </c>
      <c r="F434" s="6" t="s">
        <v>1455</v>
      </c>
      <c r="G434" s="6" t="s">
        <v>936</v>
      </c>
      <c r="H434" s="6" t="s">
        <v>1818</v>
      </c>
      <c r="I434" s="6" t="s">
        <v>1303</v>
      </c>
      <c r="J434" s="6"/>
      <c r="K434" s="6"/>
      <c r="L434" s="6" t="s">
        <v>304</v>
      </c>
      <c r="M434" s="6" t="s">
        <v>984</v>
      </c>
      <c r="N434" s="6"/>
    </row>
    <row r="435" ht="15.75" customHeight="1">
      <c r="A435" s="6" t="s">
        <v>935</v>
      </c>
      <c r="B435" s="6" t="s">
        <v>1334</v>
      </c>
      <c r="C435" s="6" t="s">
        <v>616</v>
      </c>
      <c r="D435" s="6" t="s">
        <v>429</v>
      </c>
      <c r="E435" s="6" t="s">
        <v>1113</v>
      </c>
      <c r="F435" s="6" t="s">
        <v>1350</v>
      </c>
      <c r="G435" s="6" t="s">
        <v>936</v>
      </c>
      <c r="H435" s="6" t="s">
        <v>1819</v>
      </c>
      <c r="I435" s="6">
        <v>0.0</v>
      </c>
      <c r="J435" s="6"/>
      <c r="K435" s="6"/>
      <c r="L435" s="6" t="s">
        <v>304</v>
      </c>
      <c r="M435" s="6" t="s">
        <v>984</v>
      </c>
      <c r="N435" s="6"/>
    </row>
    <row r="436" ht="15.75" customHeight="1">
      <c r="A436" s="6" t="s">
        <v>935</v>
      </c>
      <c r="B436" s="6" t="s">
        <v>1482</v>
      </c>
      <c r="C436" s="6" t="s">
        <v>428</v>
      </c>
      <c r="D436" s="6" t="s">
        <v>429</v>
      </c>
      <c r="E436" s="6" t="s">
        <v>1113</v>
      </c>
      <c r="F436" s="6" t="s">
        <v>1416</v>
      </c>
      <c r="G436" s="6" t="s">
        <v>936</v>
      </c>
      <c r="H436" s="6" t="s">
        <v>1804</v>
      </c>
      <c r="I436" s="6" t="s">
        <v>1303</v>
      </c>
      <c r="J436" s="6"/>
      <c r="K436" s="6"/>
      <c r="L436" s="6" t="s">
        <v>304</v>
      </c>
      <c r="M436" s="6" t="s">
        <v>984</v>
      </c>
      <c r="N436" s="6"/>
    </row>
    <row r="437" ht="15.75" customHeight="1">
      <c r="A437" s="6" t="s">
        <v>935</v>
      </c>
      <c r="B437" s="6" t="s">
        <v>1386</v>
      </c>
      <c r="C437" s="6" t="s">
        <v>576</v>
      </c>
      <c r="D437" s="6" t="s">
        <v>429</v>
      </c>
      <c r="E437" s="6" t="s">
        <v>812</v>
      </c>
      <c r="F437" s="6" t="s">
        <v>1321</v>
      </c>
      <c r="G437" s="6" t="s">
        <v>936</v>
      </c>
      <c r="H437" s="6" t="s">
        <v>49</v>
      </c>
      <c r="I437" s="6" t="s">
        <v>1303</v>
      </c>
      <c r="J437" s="6"/>
      <c r="K437" s="6"/>
      <c r="L437" s="6" t="s">
        <v>304</v>
      </c>
      <c r="M437" s="6" t="s">
        <v>984</v>
      </c>
      <c r="N437" s="6"/>
    </row>
    <row r="438" ht="15.75" customHeight="1">
      <c r="A438" s="6" t="s">
        <v>935</v>
      </c>
      <c r="B438" s="6" t="s">
        <v>1398</v>
      </c>
      <c r="C438" s="6" t="s">
        <v>435</v>
      </c>
      <c r="D438" s="6" t="s">
        <v>429</v>
      </c>
      <c r="E438" s="6" t="s">
        <v>812</v>
      </c>
      <c r="F438" s="6" t="s">
        <v>1321</v>
      </c>
      <c r="G438" s="6" t="s">
        <v>936</v>
      </c>
      <c r="H438" s="6" t="s">
        <v>1663</v>
      </c>
      <c r="I438" s="6"/>
      <c r="J438" s="6"/>
      <c r="K438" s="6" t="s">
        <v>937</v>
      </c>
      <c r="L438" s="6" t="s">
        <v>304</v>
      </c>
      <c r="M438" s="6" t="s">
        <v>984</v>
      </c>
      <c r="N438" s="6"/>
    </row>
    <row r="439" ht="15.75" customHeight="1">
      <c r="A439" s="6" t="s">
        <v>935</v>
      </c>
      <c r="B439" s="6" t="s">
        <v>1536</v>
      </c>
      <c r="C439" s="6" t="s">
        <v>591</v>
      </c>
      <c r="D439" s="6" t="s">
        <v>429</v>
      </c>
      <c r="E439" s="6" t="s">
        <v>812</v>
      </c>
      <c r="F439" s="6" t="s">
        <v>1321</v>
      </c>
      <c r="G439" s="6" t="s">
        <v>936</v>
      </c>
      <c r="H439" s="6" t="s">
        <v>70</v>
      </c>
      <c r="I439" s="6" t="s">
        <v>1303</v>
      </c>
      <c r="J439" s="6"/>
      <c r="K439" s="6" t="s">
        <v>937</v>
      </c>
      <c r="L439" s="6" t="s">
        <v>304</v>
      </c>
      <c r="M439" s="6" t="s">
        <v>984</v>
      </c>
      <c r="N439" s="6"/>
    </row>
    <row r="440" ht="15.75" customHeight="1">
      <c r="A440" s="6" t="s">
        <v>935</v>
      </c>
      <c r="B440" s="6" t="s">
        <v>1403</v>
      </c>
      <c r="C440" s="6" t="s">
        <v>457</v>
      </c>
      <c r="D440" s="6" t="s">
        <v>429</v>
      </c>
      <c r="E440" s="6" t="s">
        <v>1113</v>
      </c>
      <c r="F440" s="6" t="s">
        <v>1350</v>
      </c>
      <c r="G440" s="6" t="s">
        <v>936</v>
      </c>
      <c r="H440" s="6" t="s">
        <v>1820</v>
      </c>
      <c r="I440" s="6" t="s">
        <v>314</v>
      </c>
      <c r="J440" s="6"/>
      <c r="K440" s="6"/>
      <c r="L440" s="6" t="s">
        <v>304</v>
      </c>
      <c r="M440" s="6" t="s">
        <v>984</v>
      </c>
      <c r="N440" s="6"/>
    </row>
    <row r="441" ht="15.75" customHeight="1"/>
    <row r="442" ht="15.75" customHeight="1">
      <c r="A442" s="16" t="s">
        <v>928</v>
      </c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ht="15.75" customHeight="1">
      <c r="A443" s="17" t="s">
        <v>1191</v>
      </c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</row>
    <row r="444" ht="15.75" customHeight="1">
      <c r="A444" s="18" t="s">
        <v>4</v>
      </c>
      <c r="B444" s="18" t="s">
        <v>6</v>
      </c>
      <c r="C444" s="18" t="s">
        <v>7</v>
      </c>
      <c r="D444" s="18" t="s">
        <v>8</v>
      </c>
      <c r="E444" s="18" t="s">
        <v>9</v>
      </c>
      <c r="F444" s="18" t="s">
        <v>10</v>
      </c>
      <c r="G444" s="18" t="s">
        <v>11</v>
      </c>
      <c r="H444" s="18" t="s">
        <v>12</v>
      </c>
      <c r="I444" s="18" t="s">
        <v>13</v>
      </c>
      <c r="J444" s="18" t="s">
        <v>14</v>
      </c>
      <c r="K444" s="18" t="s">
        <v>15</v>
      </c>
      <c r="L444" s="18" t="s">
        <v>16</v>
      </c>
      <c r="M444" s="18" t="s">
        <v>17</v>
      </c>
      <c r="N444" s="18" t="s">
        <v>18</v>
      </c>
    </row>
    <row r="445" ht="15.75" customHeight="1">
      <c r="A445" s="6" t="s">
        <v>935</v>
      </c>
      <c r="B445" s="6" t="s">
        <v>1539</v>
      </c>
      <c r="C445" s="6" t="s">
        <v>588</v>
      </c>
      <c r="D445" s="6" t="s">
        <v>429</v>
      </c>
      <c r="E445" s="6" t="s">
        <v>714</v>
      </c>
      <c r="F445" s="6" t="s">
        <v>1416</v>
      </c>
      <c r="G445" s="6" t="s">
        <v>936</v>
      </c>
      <c r="H445" s="6" t="s">
        <v>1525</v>
      </c>
      <c r="I445" s="6" t="s">
        <v>1303</v>
      </c>
      <c r="J445" s="6"/>
      <c r="K445" s="6"/>
      <c r="L445" s="6" t="s">
        <v>304</v>
      </c>
      <c r="M445" s="6" t="s">
        <v>59</v>
      </c>
      <c r="N445" s="6"/>
    </row>
    <row r="446" ht="15.75" customHeight="1">
      <c r="A446" s="6" t="s">
        <v>935</v>
      </c>
      <c r="B446" s="6" t="s">
        <v>1542</v>
      </c>
      <c r="C446" s="6" t="s">
        <v>445</v>
      </c>
      <c r="D446" s="6" t="s">
        <v>429</v>
      </c>
      <c r="E446" s="6" t="s">
        <v>714</v>
      </c>
      <c r="F446" s="6" t="s">
        <v>1416</v>
      </c>
      <c r="G446" s="6" t="s">
        <v>936</v>
      </c>
      <c r="H446" s="6" t="s">
        <v>1821</v>
      </c>
      <c r="I446" s="6" t="s">
        <v>943</v>
      </c>
      <c r="J446" s="6" t="s">
        <v>1771</v>
      </c>
      <c r="K446" s="6" t="s">
        <v>937</v>
      </c>
      <c r="L446" s="6" t="s">
        <v>304</v>
      </c>
      <c r="M446" s="6" t="s">
        <v>59</v>
      </c>
      <c r="N446" s="6"/>
    </row>
    <row r="447" ht="15.75" customHeight="1">
      <c r="A447" s="6" t="s">
        <v>935</v>
      </c>
      <c r="B447" s="6" t="s">
        <v>1545</v>
      </c>
      <c r="C447" s="6" t="s">
        <v>539</v>
      </c>
      <c r="D447" s="6" t="s">
        <v>429</v>
      </c>
      <c r="E447" s="6" t="s">
        <v>714</v>
      </c>
      <c r="F447" s="6" t="s">
        <v>1416</v>
      </c>
      <c r="G447" s="6" t="s">
        <v>936</v>
      </c>
      <c r="H447" s="6" t="s">
        <v>1452</v>
      </c>
      <c r="I447" s="6" t="s">
        <v>1303</v>
      </c>
      <c r="J447" s="6"/>
      <c r="K447" s="6"/>
      <c r="L447" s="6" t="s">
        <v>304</v>
      </c>
      <c r="M447" s="6" t="s">
        <v>59</v>
      </c>
      <c r="N447" s="6"/>
    </row>
    <row r="448" ht="15.75" customHeight="1">
      <c r="A448" s="6" t="s">
        <v>935</v>
      </c>
      <c r="B448" s="6" t="s">
        <v>1435</v>
      </c>
      <c r="C448" s="6" t="s">
        <v>591</v>
      </c>
      <c r="D448" s="6" t="s">
        <v>429</v>
      </c>
      <c r="E448" s="6" t="s">
        <v>438</v>
      </c>
      <c r="F448" s="6" t="s">
        <v>1416</v>
      </c>
      <c r="G448" s="6" t="s">
        <v>936</v>
      </c>
      <c r="H448" s="6" t="s">
        <v>83</v>
      </c>
      <c r="I448" s="6" t="s">
        <v>1437</v>
      </c>
      <c r="J448" s="6" t="s">
        <v>1786</v>
      </c>
      <c r="K448" s="6" t="s">
        <v>937</v>
      </c>
      <c r="L448" s="6" t="s">
        <v>304</v>
      </c>
      <c r="M448" s="6" t="s">
        <v>59</v>
      </c>
      <c r="N448" s="6"/>
    </row>
    <row r="449" ht="15.75" customHeight="1">
      <c r="A449" s="6" t="s">
        <v>935</v>
      </c>
      <c r="B449" s="6" t="s">
        <v>1551</v>
      </c>
      <c r="C449" s="6" t="s">
        <v>588</v>
      </c>
      <c r="D449" s="6" t="s">
        <v>429</v>
      </c>
      <c r="E449" s="6" t="s">
        <v>714</v>
      </c>
      <c r="F449" s="6" t="s">
        <v>1416</v>
      </c>
      <c r="G449" s="6" t="s">
        <v>936</v>
      </c>
      <c r="H449" s="6" t="s">
        <v>1588</v>
      </c>
      <c r="I449" s="6"/>
      <c r="J449" s="6"/>
      <c r="K449" s="6" t="s">
        <v>937</v>
      </c>
      <c r="L449" s="6" t="s">
        <v>304</v>
      </c>
      <c r="M449" s="6" t="s">
        <v>59</v>
      </c>
      <c r="N449" s="6"/>
    </row>
    <row r="450" ht="15.75" customHeight="1">
      <c r="A450" s="6" t="s">
        <v>935</v>
      </c>
      <c r="B450" s="6" t="s">
        <v>1553</v>
      </c>
      <c r="C450" s="6" t="s">
        <v>445</v>
      </c>
      <c r="D450" s="6" t="s">
        <v>429</v>
      </c>
      <c r="E450" s="6" t="s">
        <v>714</v>
      </c>
      <c r="F450" s="6" t="s">
        <v>1416</v>
      </c>
      <c r="G450" s="6" t="s">
        <v>936</v>
      </c>
      <c r="H450" s="6" t="s">
        <v>1821</v>
      </c>
      <c r="I450" s="6" t="s">
        <v>943</v>
      </c>
      <c r="J450" s="6" t="s">
        <v>1773</v>
      </c>
      <c r="K450" s="6" t="s">
        <v>937</v>
      </c>
      <c r="L450" s="6" t="s">
        <v>304</v>
      </c>
      <c r="M450" s="6" t="s">
        <v>59</v>
      </c>
      <c r="N450" s="6"/>
    </row>
    <row r="451" ht="15.75" customHeight="1">
      <c r="A451" s="6" t="s">
        <v>935</v>
      </c>
      <c r="B451" s="6" t="s">
        <v>1199</v>
      </c>
      <c r="C451" s="6" t="s">
        <v>565</v>
      </c>
      <c r="D451" s="6" t="s">
        <v>429</v>
      </c>
      <c r="E451" s="6" t="s">
        <v>592</v>
      </c>
      <c r="F451" s="6" t="s">
        <v>1788</v>
      </c>
      <c r="G451" s="6" t="s">
        <v>936</v>
      </c>
      <c r="H451" s="6" t="s">
        <v>313</v>
      </c>
      <c r="I451" s="6" t="s">
        <v>1200</v>
      </c>
      <c r="J451" s="6"/>
      <c r="K451" s="6" t="s">
        <v>945</v>
      </c>
      <c r="L451" s="6" t="s">
        <v>304</v>
      </c>
      <c r="M451" s="6" t="s">
        <v>59</v>
      </c>
      <c r="N451" s="6"/>
    </row>
    <row r="452" ht="15.75" customHeight="1"/>
    <row r="453" ht="15.75" customHeight="1">
      <c r="A453" s="16" t="s">
        <v>975</v>
      </c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ht="15.75" customHeight="1">
      <c r="A454" s="17" t="s">
        <v>1554</v>
      </c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</row>
    <row r="455" ht="15.75" customHeight="1">
      <c r="A455" s="18" t="s">
        <v>4</v>
      </c>
      <c r="B455" s="18" t="s">
        <v>6</v>
      </c>
      <c r="C455" s="18" t="s">
        <v>7</v>
      </c>
      <c r="D455" s="18" t="s">
        <v>8</v>
      </c>
      <c r="E455" s="18" t="s">
        <v>9</v>
      </c>
      <c r="F455" s="18" t="s">
        <v>10</v>
      </c>
      <c r="G455" s="18" t="s">
        <v>11</v>
      </c>
      <c r="H455" s="18" t="s">
        <v>12</v>
      </c>
      <c r="I455" s="18" t="s">
        <v>13</v>
      </c>
      <c r="J455" s="18" t="s">
        <v>14</v>
      </c>
      <c r="K455" s="18" t="s">
        <v>15</v>
      </c>
      <c r="L455" s="18" t="s">
        <v>16</v>
      </c>
      <c r="M455" s="18" t="s">
        <v>17</v>
      </c>
      <c r="N455" s="18" t="s">
        <v>18</v>
      </c>
    </row>
    <row r="456" ht="15.75" customHeight="1">
      <c r="A456" s="6" t="s">
        <v>978</v>
      </c>
      <c r="B456" s="6" t="s">
        <v>1555</v>
      </c>
      <c r="C456" s="6" t="s">
        <v>565</v>
      </c>
      <c r="D456" s="6" t="s">
        <v>429</v>
      </c>
      <c r="E456" s="6" t="s">
        <v>712</v>
      </c>
      <c r="F456" s="6" t="s">
        <v>1321</v>
      </c>
      <c r="G456" s="6" t="s">
        <v>936</v>
      </c>
      <c r="H456" s="6" t="s">
        <v>117</v>
      </c>
      <c r="I456" s="6" t="s">
        <v>1303</v>
      </c>
      <c r="J456" s="6"/>
      <c r="K456" s="6" t="s">
        <v>985</v>
      </c>
      <c r="L456" s="6" t="s">
        <v>304</v>
      </c>
      <c r="M456" s="6" t="s">
        <v>984</v>
      </c>
      <c r="N456" s="6"/>
    </row>
    <row r="457" ht="15.75" customHeight="1">
      <c r="A457" s="6" t="s">
        <v>978</v>
      </c>
      <c r="B457" s="6" t="s">
        <v>1557</v>
      </c>
      <c r="C457" s="6" t="s">
        <v>428</v>
      </c>
      <c r="D457" s="6" t="s">
        <v>429</v>
      </c>
      <c r="E457" s="6" t="s">
        <v>712</v>
      </c>
      <c r="F457" s="6" t="s">
        <v>1321</v>
      </c>
      <c r="G457" s="6" t="s">
        <v>936</v>
      </c>
      <c r="H457" s="6" t="s">
        <v>1817</v>
      </c>
      <c r="I457" s="6"/>
      <c r="J457" s="6"/>
      <c r="K457" s="6" t="s">
        <v>985</v>
      </c>
      <c r="L457" s="6" t="s">
        <v>304</v>
      </c>
      <c r="M457" s="6" t="s">
        <v>984</v>
      </c>
      <c r="N457" s="6"/>
    </row>
    <row r="458" ht="15.75" customHeight="1">
      <c r="A458" s="6" t="s">
        <v>978</v>
      </c>
      <c r="B458" s="6" t="s">
        <v>1811</v>
      </c>
      <c r="C458" s="6" t="s">
        <v>539</v>
      </c>
      <c r="D458" s="6" t="s">
        <v>429</v>
      </c>
      <c r="E458" s="6" t="s">
        <v>812</v>
      </c>
      <c r="F458" s="6" t="s">
        <v>1321</v>
      </c>
      <c r="G458" s="6" t="s">
        <v>936</v>
      </c>
      <c r="H458" s="6" t="s">
        <v>1812</v>
      </c>
      <c r="I458" s="6" t="s">
        <v>1303</v>
      </c>
      <c r="J458" s="6"/>
      <c r="K458" s="6"/>
      <c r="L458" s="6" t="s">
        <v>304</v>
      </c>
      <c r="M458" s="6" t="s">
        <v>984</v>
      </c>
      <c r="N458" s="6"/>
    </row>
    <row r="459" ht="15.75" customHeight="1">
      <c r="A459" s="6" t="s">
        <v>978</v>
      </c>
      <c r="B459" s="6" t="s">
        <v>1559</v>
      </c>
      <c r="C459" s="6" t="s">
        <v>457</v>
      </c>
      <c r="D459" s="6" t="s">
        <v>429</v>
      </c>
      <c r="E459" s="6" t="s">
        <v>712</v>
      </c>
      <c r="F459" s="6" t="s">
        <v>1321</v>
      </c>
      <c r="G459" s="6" t="s">
        <v>936</v>
      </c>
      <c r="H459" s="6" t="s">
        <v>1373</v>
      </c>
      <c r="I459" s="6"/>
      <c r="J459" s="6"/>
      <c r="K459" s="6"/>
      <c r="L459" s="6" t="s">
        <v>304</v>
      </c>
      <c r="M459" s="6" t="s">
        <v>984</v>
      </c>
      <c r="N459" s="6"/>
    </row>
    <row r="460" ht="15.75" customHeight="1">
      <c r="A460" s="6" t="s">
        <v>978</v>
      </c>
      <c r="B460" s="6" t="s">
        <v>1459</v>
      </c>
      <c r="C460" s="6" t="s">
        <v>482</v>
      </c>
      <c r="D460" s="6" t="s">
        <v>429</v>
      </c>
      <c r="E460" s="6" t="s">
        <v>800</v>
      </c>
      <c r="F460" s="6" t="s">
        <v>1321</v>
      </c>
      <c r="G460" s="6" t="s">
        <v>936</v>
      </c>
      <c r="H460" s="6" t="s">
        <v>101</v>
      </c>
      <c r="I460" s="6"/>
      <c r="J460" s="6"/>
      <c r="K460" s="6" t="s">
        <v>985</v>
      </c>
      <c r="L460" s="6" t="s">
        <v>304</v>
      </c>
      <c r="M460" s="6" t="s">
        <v>984</v>
      </c>
      <c r="N460" s="6"/>
    </row>
    <row r="461" ht="15.75" customHeight="1">
      <c r="A461" s="6" t="s">
        <v>978</v>
      </c>
      <c r="B461" s="6" t="s">
        <v>1561</v>
      </c>
      <c r="C461" s="6" t="s">
        <v>445</v>
      </c>
      <c r="D461" s="6" t="s">
        <v>429</v>
      </c>
      <c r="E461" s="6" t="s">
        <v>812</v>
      </c>
      <c r="F461" s="6" t="s">
        <v>1321</v>
      </c>
      <c r="G461" s="6" t="s">
        <v>936</v>
      </c>
      <c r="H461" s="6" t="s">
        <v>1314</v>
      </c>
      <c r="I461" s="6" t="s">
        <v>1303</v>
      </c>
      <c r="J461" s="6"/>
      <c r="K461" s="6"/>
      <c r="L461" s="6" t="s">
        <v>304</v>
      </c>
      <c r="M461" s="6" t="s">
        <v>984</v>
      </c>
      <c r="N461" s="6"/>
    </row>
    <row r="462" ht="15.75" customHeight="1">
      <c r="A462" s="6" t="s">
        <v>978</v>
      </c>
      <c r="B462" s="6" t="s">
        <v>1563</v>
      </c>
      <c r="C462" s="6" t="s">
        <v>469</v>
      </c>
      <c r="D462" s="6" t="s">
        <v>429</v>
      </c>
      <c r="E462" s="6" t="s">
        <v>1113</v>
      </c>
      <c r="F462" s="6" t="s">
        <v>1350</v>
      </c>
      <c r="G462" s="6" t="s">
        <v>936</v>
      </c>
      <c r="H462" s="6" t="s">
        <v>66</v>
      </c>
      <c r="I462" s="6" t="s">
        <v>314</v>
      </c>
      <c r="J462" s="6"/>
      <c r="K462" s="6"/>
      <c r="L462" s="6" t="s">
        <v>304</v>
      </c>
      <c r="M462" s="6" t="s">
        <v>984</v>
      </c>
      <c r="N462" s="6"/>
    </row>
    <row r="463" ht="15.75" customHeight="1">
      <c r="A463" s="6" t="s">
        <v>978</v>
      </c>
      <c r="B463" s="6" t="s">
        <v>1354</v>
      </c>
      <c r="C463" s="6" t="s">
        <v>501</v>
      </c>
      <c r="D463" s="6" t="s">
        <v>429</v>
      </c>
      <c r="E463" s="6" t="s">
        <v>1113</v>
      </c>
      <c r="F463" s="6" t="s">
        <v>1350</v>
      </c>
      <c r="G463" s="6" t="s">
        <v>936</v>
      </c>
      <c r="H463" s="6" t="s">
        <v>1631</v>
      </c>
      <c r="I463" s="6"/>
      <c r="J463" s="6"/>
      <c r="K463" s="6"/>
      <c r="L463" s="6" t="s">
        <v>304</v>
      </c>
      <c r="M463" s="6" t="s">
        <v>984</v>
      </c>
      <c r="N463" s="6"/>
    </row>
    <row r="464" ht="15.75" customHeight="1">
      <c r="A464" s="6" t="s">
        <v>978</v>
      </c>
      <c r="B464" s="6" t="s">
        <v>1569</v>
      </c>
      <c r="C464" s="6" t="s">
        <v>639</v>
      </c>
      <c r="D464" s="6" t="s">
        <v>429</v>
      </c>
      <c r="E464" s="6" t="s">
        <v>812</v>
      </c>
      <c r="F464" s="6" t="s">
        <v>1321</v>
      </c>
      <c r="G464" s="6" t="s">
        <v>936</v>
      </c>
      <c r="H464" s="6" t="s">
        <v>838</v>
      </c>
      <c r="I464" s="6">
        <v>0.0</v>
      </c>
      <c r="J464" s="6"/>
      <c r="K464" s="6" t="s">
        <v>985</v>
      </c>
      <c r="L464" s="6" t="s">
        <v>304</v>
      </c>
      <c r="M464" s="6" t="s">
        <v>984</v>
      </c>
      <c r="N464" s="6"/>
    </row>
    <row r="465" ht="15.75" customHeight="1">
      <c r="A465" s="6" t="s">
        <v>978</v>
      </c>
      <c r="B465" s="6" t="s">
        <v>1365</v>
      </c>
      <c r="C465" s="6" t="s">
        <v>576</v>
      </c>
      <c r="D465" s="6" t="s">
        <v>429</v>
      </c>
      <c r="E465" s="6" t="s">
        <v>1113</v>
      </c>
      <c r="F465" s="6" t="s">
        <v>1350</v>
      </c>
      <c r="G465" s="6" t="s">
        <v>936</v>
      </c>
      <c r="H465" s="6" t="s">
        <v>1823</v>
      </c>
      <c r="I465" s="6" t="s">
        <v>314</v>
      </c>
      <c r="J465" s="6"/>
      <c r="K465" s="6"/>
      <c r="L465" s="6" t="s">
        <v>304</v>
      </c>
      <c r="M465" s="6" t="s">
        <v>984</v>
      </c>
      <c r="N465" s="6"/>
    </row>
    <row r="466" ht="15.75" customHeight="1">
      <c r="A466" s="6" t="s">
        <v>978</v>
      </c>
      <c r="B466" s="6" t="s">
        <v>1572</v>
      </c>
      <c r="C466" s="6" t="s">
        <v>596</v>
      </c>
      <c r="D466" s="6" t="s">
        <v>429</v>
      </c>
      <c r="E466" s="6" t="s">
        <v>1113</v>
      </c>
      <c r="F466" s="6" t="s">
        <v>1321</v>
      </c>
      <c r="G466" s="6" t="s">
        <v>936</v>
      </c>
      <c r="H466" s="6" t="s">
        <v>1337</v>
      </c>
      <c r="I466" s="6" t="s">
        <v>1474</v>
      </c>
      <c r="J466" s="6"/>
      <c r="K466" s="6"/>
      <c r="L466" s="6" t="s">
        <v>304</v>
      </c>
      <c r="M466" s="6" t="s">
        <v>984</v>
      </c>
      <c r="N466" s="6"/>
    </row>
    <row r="467" ht="15.75" customHeight="1">
      <c r="A467" s="6" t="s">
        <v>978</v>
      </c>
      <c r="B467" s="6" t="s">
        <v>1573</v>
      </c>
      <c r="C467" s="6" t="s">
        <v>469</v>
      </c>
      <c r="D467" s="6" t="s">
        <v>429</v>
      </c>
      <c r="E467" s="6" t="s">
        <v>1113</v>
      </c>
      <c r="F467" s="6" t="s">
        <v>1350</v>
      </c>
      <c r="G467" s="6" t="s">
        <v>936</v>
      </c>
      <c r="H467" s="6" t="s">
        <v>66</v>
      </c>
      <c r="I467" s="6" t="s">
        <v>314</v>
      </c>
      <c r="J467" s="6"/>
      <c r="K467" s="6"/>
      <c r="L467" s="6" t="s">
        <v>304</v>
      </c>
      <c r="M467" s="6" t="s">
        <v>984</v>
      </c>
      <c r="N467" s="6"/>
    </row>
    <row r="468" ht="15.75" customHeight="1">
      <c r="A468" s="6" t="s">
        <v>978</v>
      </c>
      <c r="B468" s="6" t="s">
        <v>1371</v>
      </c>
      <c r="C468" s="6" t="s">
        <v>539</v>
      </c>
      <c r="D468" s="6" t="s">
        <v>429</v>
      </c>
      <c r="E468" s="6" t="s">
        <v>812</v>
      </c>
      <c r="F468" s="6" t="s">
        <v>1321</v>
      </c>
      <c r="G468" s="6" t="s">
        <v>936</v>
      </c>
      <c r="H468" s="6" t="s">
        <v>807</v>
      </c>
      <c r="I468" s="6" t="s">
        <v>1303</v>
      </c>
      <c r="J468" s="6"/>
      <c r="K468" s="6"/>
      <c r="L468" s="6" t="s">
        <v>304</v>
      </c>
      <c r="M468" s="6" t="s">
        <v>984</v>
      </c>
      <c r="N468" s="6"/>
    </row>
    <row r="469" ht="15.75" customHeight="1">
      <c r="A469" s="6" t="s">
        <v>978</v>
      </c>
      <c r="B469" s="6" t="s">
        <v>1369</v>
      </c>
      <c r="C469" s="6" t="s">
        <v>457</v>
      </c>
      <c r="D469" s="6" t="s">
        <v>429</v>
      </c>
      <c r="E469" s="6" t="s">
        <v>812</v>
      </c>
      <c r="F469" s="6" t="s">
        <v>1321</v>
      </c>
      <c r="G469" s="6" t="s">
        <v>936</v>
      </c>
      <c r="H469" s="6" t="s">
        <v>156</v>
      </c>
      <c r="I469" s="6" t="s">
        <v>1303</v>
      </c>
      <c r="J469" s="6"/>
      <c r="K469" s="6"/>
      <c r="L469" s="6" t="s">
        <v>304</v>
      </c>
      <c r="M469" s="6" t="s">
        <v>984</v>
      </c>
      <c r="N469" s="6"/>
    </row>
    <row r="470" ht="15.75" customHeight="1">
      <c r="A470" s="6" t="s">
        <v>978</v>
      </c>
      <c r="B470" s="6" t="s">
        <v>1374</v>
      </c>
      <c r="C470" s="6" t="s">
        <v>591</v>
      </c>
      <c r="D470" s="6" t="s">
        <v>429</v>
      </c>
      <c r="E470" s="6" t="s">
        <v>800</v>
      </c>
      <c r="F470" s="6" t="s">
        <v>1321</v>
      </c>
      <c r="G470" s="6" t="s">
        <v>936</v>
      </c>
      <c r="H470" s="6" t="s">
        <v>38</v>
      </c>
      <c r="I470" s="6" t="s">
        <v>1322</v>
      </c>
      <c r="J470" s="6"/>
      <c r="K470" s="6" t="s">
        <v>985</v>
      </c>
      <c r="L470" s="6" t="s">
        <v>304</v>
      </c>
      <c r="M470" s="6" t="s">
        <v>984</v>
      </c>
      <c r="N470" s="6"/>
    </row>
    <row r="471" ht="15.75" customHeight="1">
      <c r="A471" s="6" t="s">
        <v>978</v>
      </c>
      <c r="B471" s="6" t="s">
        <v>1375</v>
      </c>
      <c r="C471" s="6" t="s">
        <v>482</v>
      </c>
      <c r="D471" s="6" t="s">
        <v>429</v>
      </c>
      <c r="E471" s="6" t="s">
        <v>1113</v>
      </c>
      <c r="F471" s="6" t="s">
        <v>1321</v>
      </c>
      <c r="G471" s="6" t="s">
        <v>936</v>
      </c>
      <c r="H471" s="6" t="s">
        <v>807</v>
      </c>
      <c r="I471" s="6" t="s">
        <v>1303</v>
      </c>
      <c r="J471" s="6"/>
      <c r="K471" s="6"/>
      <c r="L471" s="6" t="s">
        <v>304</v>
      </c>
      <c r="M471" s="6" t="s">
        <v>984</v>
      </c>
      <c r="N471" s="6"/>
    </row>
    <row r="472" ht="15.75" customHeight="1">
      <c r="A472" s="6" t="s">
        <v>978</v>
      </c>
      <c r="B472" s="6" t="s">
        <v>1379</v>
      </c>
      <c r="C472" s="6" t="s">
        <v>616</v>
      </c>
      <c r="D472" s="6" t="s">
        <v>429</v>
      </c>
      <c r="E472" s="6" t="s">
        <v>812</v>
      </c>
      <c r="F472" s="6" t="s">
        <v>1321</v>
      </c>
      <c r="G472" s="6" t="s">
        <v>936</v>
      </c>
      <c r="H472" s="6" t="s">
        <v>1525</v>
      </c>
      <c r="I472" s="6" t="s">
        <v>314</v>
      </c>
      <c r="J472" s="6"/>
      <c r="K472" s="6"/>
      <c r="L472" s="6" t="s">
        <v>304</v>
      </c>
      <c r="M472" s="6" t="s">
        <v>984</v>
      </c>
      <c r="N472" s="6"/>
    </row>
    <row r="473" ht="15.75" customHeight="1">
      <c r="A473" s="6" t="s">
        <v>978</v>
      </c>
      <c r="B473" s="6" t="s">
        <v>1381</v>
      </c>
      <c r="C473" s="6" t="s">
        <v>596</v>
      </c>
      <c r="D473" s="6" t="s">
        <v>429</v>
      </c>
      <c r="E473" s="6" t="s">
        <v>812</v>
      </c>
      <c r="F473" s="6" t="s">
        <v>1321</v>
      </c>
      <c r="G473" s="6" t="s">
        <v>936</v>
      </c>
      <c r="H473" s="6" t="s">
        <v>838</v>
      </c>
      <c r="I473" s="6" t="s">
        <v>1303</v>
      </c>
      <c r="J473" s="6"/>
      <c r="K473" s="6" t="s">
        <v>985</v>
      </c>
      <c r="L473" s="6" t="s">
        <v>304</v>
      </c>
      <c r="M473" s="6" t="s">
        <v>984</v>
      </c>
      <c r="N473" s="6"/>
    </row>
    <row r="474" ht="15.75" customHeight="1">
      <c r="A474" s="6" t="s">
        <v>978</v>
      </c>
      <c r="B474" s="6" t="s">
        <v>1578</v>
      </c>
      <c r="C474" s="6" t="s">
        <v>469</v>
      </c>
      <c r="D474" s="6" t="s">
        <v>429</v>
      </c>
      <c r="E474" s="6" t="s">
        <v>800</v>
      </c>
      <c r="F474" s="6" t="s">
        <v>1321</v>
      </c>
      <c r="G474" s="6" t="s">
        <v>936</v>
      </c>
      <c r="H474" s="6" t="s">
        <v>838</v>
      </c>
      <c r="I474" s="6">
        <v>123.0</v>
      </c>
      <c r="J474" s="6"/>
      <c r="K474" s="6" t="s">
        <v>985</v>
      </c>
      <c r="L474" s="6" t="s">
        <v>304</v>
      </c>
      <c r="M474" s="6" t="s">
        <v>984</v>
      </c>
      <c r="N474" s="6"/>
    </row>
    <row r="475" ht="15.75" customHeight="1">
      <c r="A475" s="6" t="s">
        <v>978</v>
      </c>
      <c r="B475" s="6" t="s">
        <v>1383</v>
      </c>
      <c r="C475" s="6" t="s">
        <v>469</v>
      </c>
      <c r="D475" s="6" t="s">
        <v>429</v>
      </c>
      <c r="E475" s="6" t="s">
        <v>1113</v>
      </c>
      <c r="F475" s="6" t="s">
        <v>1455</v>
      </c>
      <c r="G475" s="6" t="s">
        <v>936</v>
      </c>
      <c r="H475" s="6" t="s">
        <v>1824</v>
      </c>
      <c r="I475" s="6">
        <v>0.0</v>
      </c>
      <c r="J475" s="6"/>
      <c r="K475" s="6"/>
      <c r="L475" s="6" t="s">
        <v>304</v>
      </c>
      <c r="M475" s="6" t="s">
        <v>984</v>
      </c>
      <c r="N475" s="6"/>
    </row>
    <row r="476" ht="15.75" customHeight="1">
      <c r="A476" s="6" t="s">
        <v>978</v>
      </c>
      <c r="B476" s="6" t="s">
        <v>1582</v>
      </c>
      <c r="C476" s="6" t="s">
        <v>588</v>
      </c>
      <c r="D476" s="6" t="s">
        <v>429</v>
      </c>
      <c r="E476" s="6" t="s">
        <v>812</v>
      </c>
      <c r="F476" s="6" t="s">
        <v>1321</v>
      </c>
      <c r="G476" s="6" t="s">
        <v>1825</v>
      </c>
      <c r="H476" s="6" t="s">
        <v>105</v>
      </c>
      <c r="I476" s="6" t="s">
        <v>159</v>
      </c>
      <c r="J476" s="6"/>
      <c r="K476" s="6" t="s">
        <v>988</v>
      </c>
      <c r="L476" s="6" t="s">
        <v>304</v>
      </c>
      <c r="M476" s="6" t="s">
        <v>984</v>
      </c>
      <c r="N476" s="6"/>
    </row>
    <row r="477" ht="15.75" customHeight="1">
      <c r="A477" s="6" t="s">
        <v>978</v>
      </c>
      <c r="B477" s="6" t="s">
        <v>1584</v>
      </c>
      <c r="C477" s="6" t="s">
        <v>482</v>
      </c>
      <c r="D477" s="6" t="s">
        <v>429</v>
      </c>
      <c r="E477" s="6" t="s">
        <v>1113</v>
      </c>
      <c r="F477" s="6" t="s">
        <v>1350</v>
      </c>
      <c r="G477" s="6" t="s">
        <v>936</v>
      </c>
      <c r="H477" s="6" t="s">
        <v>1826</v>
      </c>
      <c r="I477" s="6" t="s">
        <v>1303</v>
      </c>
      <c r="J477" s="6"/>
      <c r="K477" s="6"/>
      <c r="L477" s="6" t="s">
        <v>304</v>
      </c>
      <c r="M477" s="6" t="s">
        <v>984</v>
      </c>
      <c r="N477" s="6"/>
    </row>
    <row r="478" ht="15.75" customHeight="1">
      <c r="A478" s="6" t="s">
        <v>978</v>
      </c>
      <c r="B478" s="6" t="s">
        <v>1482</v>
      </c>
      <c r="C478" s="6" t="s">
        <v>428</v>
      </c>
      <c r="D478" s="6" t="s">
        <v>429</v>
      </c>
      <c r="E478" s="6" t="s">
        <v>1113</v>
      </c>
      <c r="F478" s="6" t="s">
        <v>1416</v>
      </c>
      <c r="G478" s="6" t="s">
        <v>936</v>
      </c>
      <c r="H478" s="6" t="s">
        <v>1827</v>
      </c>
      <c r="I478" s="6" t="s">
        <v>1303</v>
      </c>
      <c r="J478" s="6"/>
      <c r="K478" s="6"/>
      <c r="L478" s="6" t="s">
        <v>304</v>
      </c>
      <c r="M478" s="6" t="s">
        <v>984</v>
      </c>
      <c r="N478" s="6"/>
    </row>
    <row r="479" ht="15.75" customHeight="1">
      <c r="A479" s="6" t="s">
        <v>978</v>
      </c>
      <c r="B479" s="6" t="s">
        <v>1386</v>
      </c>
      <c r="C479" s="6" t="s">
        <v>591</v>
      </c>
      <c r="D479" s="6" t="s">
        <v>429</v>
      </c>
      <c r="E479" s="6" t="s">
        <v>1113</v>
      </c>
      <c r="F479" s="6" t="s">
        <v>1377</v>
      </c>
      <c r="G479" s="6" t="s">
        <v>936</v>
      </c>
      <c r="H479" s="6" t="s">
        <v>1525</v>
      </c>
      <c r="I479" s="6" t="s">
        <v>1303</v>
      </c>
      <c r="J479" s="6"/>
      <c r="K479" s="6"/>
      <c r="L479" s="6" t="s">
        <v>304</v>
      </c>
      <c r="M479" s="6" t="s">
        <v>984</v>
      </c>
      <c r="N479" s="6"/>
    </row>
    <row r="480" ht="15.75" customHeight="1">
      <c r="A480" s="6" t="s">
        <v>978</v>
      </c>
      <c r="B480" s="6" t="s">
        <v>1491</v>
      </c>
      <c r="C480" s="6" t="s">
        <v>565</v>
      </c>
      <c r="D480" s="6" t="s">
        <v>429</v>
      </c>
      <c r="E480" s="6" t="s">
        <v>1113</v>
      </c>
      <c r="F480" s="6" t="s">
        <v>1455</v>
      </c>
      <c r="G480" s="6" t="s">
        <v>936</v>
      </c>
      <c r="H480" s="6" t="s">
        <v>1828</v>
      </c>
      <c r="I480" s="6" t="s">
        <v>314</v>
      </c>
      <c r="J480" s="6"/>
      <c r="K480" s="6"/>
      <c r="L480" s="6" t="s">
        <v>304</v>
      </c>
      <c r="M480" s="6" t="s">
        <v>984</v>
      </c>
      <c r="N480" s="6"/>
    </row>
    <row r="481" ht="15.75" customHeight="1">
      <c r="A481" s="6" t="s">
        <v>978</v>
      </c>
      <c r="B481" s="6" t="s">
        <v>1388</v>
      </c>
      <c r="C481" s="6" t="s">
        <v>591</v>
      </c>
      <c r="D481" s="6" t="s">
        <v>429</v>
      </c>
      <c r="E481" s="6" t="s">
        <v>1113</v>
      </c>
      <c r="F481" s="6" t="s">
        <v>1377</v>
      </c>
      <c r="G481" s="6" t="s">
        <v>936</v>
      </c>
      <c r="H481" s="6" t="s">
        <v>1829</v>
      </c>
      <c r="I481" s="6" t="s">
        <v>1303</v>
      </c>
      <c r="J481" s="6"/>
      <c r="K481" s="6"/>
      <c r="L481" s="6" t="s">
        <v>304</v>
      </c>
      <c r="M481" s="6" t="s">
        <v>984</v>
      </c>
      <c r="N481" s="6"/>
    </row>
    <row r="482" ht="15.75" customHeight="1">
      <c r="A482" s="6" t="s">
        <v>978</v>
      </c>
      <c r="B482" s="6" t="s">
        <v>1393</v>
      </c>
      <c r="C482" s="6" t="s">
        <v>428</v>
      </c>
      <c r="D482" s="6" t="s">
        <v>429</v>
      </c>
      <c r="E482" s="6" t="s">
        <v>1113</v>
      </c>
      <c r="F482" s="6" t="s">
        <v>1377</v>
      </c>
      <c r="G482" s="6" t="s">
        <v>936</v>
      </c>
      <c r="H482" s="6" t="s">
        <v>1830</v>
      </c>
      <c r="I482" s="6" t="s">
        <v>1303</v>
      </c>
      <c r="J482" s="6"/>
      <c r="K482" s="6"/>
      <c r="L482" s="6" t="s">
        <v>304</v>
      </c>
      <c r="M482" s="6" t="s">
        <v>984</v>
      </c>
      <c r="N482" s="6"/>
    </row>
    <row r="483" ht="15.75" customHeight="1">
      <c r="A483" s="6" t="s">
        <v>978</v>
      </c>
      <c r="B483" s="6" t="s">
        <v>1403</v>
      </c>
      <c r="C483" s="6" t="s">
        <v>428</v>
      </c>
      <c r="D483" s="6" t="s">
        <v>429</v>
      </c>
      <c r="E483" s="6" t="s">
        <v>812</v>
      </c>
      <c r="F483" s="6" t="s">
        <v>1321</v>
      </c>
      <c r="G483" s="6" t="s">
        <v>936</v>
      </c>
      <c r="H483" s="6" t="s">
        <v>1470</v>
      </c>
      <c r="I483" s="6" t="s">
        <v>314</v>
      </c>
      <c r="J483" s="6"/>
      <c r="K483" s="6"/>
      <c r="L483" s="6" t="s">
        <v>304</v>
      </c>
      <c r="M483" s="6" t="s">
        <v>984</v>
      </c>
      <c r="N483" s="6"/>
    </row>
    <row r="484" ht="15.75" customHeight="1">
      <c r="A484" s="6" t="s">
        <v>978</v>
      </c>
      <c r="B484" s="6" t="s">
        <v>1408</v>
      </c>
      <c r="C484" s="6" t="s">
        <v>616</v>
      </c>
      <c r="D484" s="6" t="s">
        <v>429</v>
      </c>
      <c r="E484" s="6" t="s">
        <v>712</v>
      </c>
      <c r="F484" s="6" t="s">
        <v>1321</v>
      </c>
      <c r="G484" s="6" t="s">
        <v>936</v>
      </c>
      <c r="H484" s="6" t="s">
        <v>1831</v>
      </c>
      <c r="I484" s="6" t="s">
        <v>1322</v>
      </c>
      <c r="J484" s="6"/>
      <c r="K484" s="6"/>
      <c r="L484" s="6" t="s">
        <v>304</v>
      </c>
      <c r="M484" s="6" t="s">
        <v>984</v>
      </c>
      <c r="N484" s="6"/>
    </row>
    <row r="485" ht="15.75" customHeight="1"/>
    <row r="486" ht="15.75" customHeight="1">
      <c r="A486" s="16" t="s">
        <v>975</v>
      </c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ht="15.75" customHeight="1">
      <c r="A487" s="17" t="s">
        <v>1162</v>
      </c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 ht="15.75" customHeight="1">
      <c r="A488" s="18" t="s">
        <v>4</v>
      </c>
      <c r="B488" s="18" t="s">
        <v>6</v>
      </c>
      <c r="C488" s="18" t="s">
        <v>7</v>
      </c>
      <c r="D488" s="18" t="s">
        <v>8</v>
      </c>
      <c r="E488" s="18" t="s">
        <v>9</v>
      </c>
      <c r="F488" s="18" t="s">
        <v>10</v>
      </c>
      <c r="G488" s="18" t="s">
        <v>11</v>
      </c>
      <c r="H488" s="18" t="s">
        <v>12</v>
      </c>
      <c r="I488" s="18" t="s">
        <v>13</v>
      </c>
      <c r="J488" s="18" t="s">
        <v>14</v>
      </c>
      <c r="K488" s="18" t="s">
        <v>15</v>
      </c>
      <c r="L488" s="18" t="s">
        <v>16</v>
      </c>
      <c r="M488" s="18" t="s">
        <v>17</v>
      </c>
      <c r="N488" s="18" t="s">
        <v>18</v>
      </c>
    </row>
    <row r="489" ht="15.75" customHeight="1">
      <c r="A489" s="6" t="s">
        <v>978</v>
      </c>
      <c r="B489" s="6" t="s">
        <v>1412</v>
      </c>
      <c r="C489" s="6" t="s">
        <v>435</v>
      </c>
      <c r="D489" s="6" t="s">
        <v>429</v>
      </c>
      <c r="E489" s="6" t="s">
        <v>430</v>
      </c>
      <c r="F489" s="6" t="s">
        <v>78</v>
      </c>
      <c r="G489" s="6" t="s">
        <v>936</v>
      </c>
      <c r="H489" s="6" t="s">
        <v>156</v>
      </c>
      <c r="I489" s="6">
        <v>0.0</v>
      </c>
      <c r="J489" s="6"/>
      <c r="K489" s="6"/>
      <c r="L489" s="6" t="s">
        <v>304</v>
      </c>
      <c r="M489" s="6" t="s">
        <v>984</v>
      </c>
      <c r="N489" s="6"/>
    </row>
    <row r="490" ht="15.75" customHeight="1">
      <c r="A490" s="6" t="s">
        <v>978</v>
      </c>
      <c r="B490" s="6" t="s">
        <v>1414</v>
      </c>
      <c r="C490" s="6" t="s">
        <v>639</v>
      </c>
      <c r="D490" s="6" t="s">
        <v>429</v>
      </c>
      <c r="E490" s="6" t="s">
        <v>438</v>
      </c>
      <c r="F490" s="6" t="s">
        <v>1416</v>
      </c>
      <c r="G490" s="6" t="s">
        <v>936</v>
      </c>
      <c r="H490" s="6" t="s">
        <v>1832</v>
      </c>
      <c r="I490" s="6"/>
      <c r="J490" s="6"/>
      <c r="K490" s="6"/>
      <c r="L490" s="6" t="s">
        <v>304</v>
      </c>
      <c r="M490" s="6" t="s">
        <v>59</v>
      </c>
      <c r="N490" s="6"/>
    </row>
    <row r="491" ht="15.75" customHeight="1">
      <c r="A491" s="6" t="s">
        <v>978</v>
      </c>
      <c r="B491" s="6" t="s">
        <v>537</v>
      </c>
      <c r="C491" s="6" t="s">
        <v>539</v>
      </c>
      <c r="D491" s="6" t="s">
        <v>429</v>
      </c>
      <c r="E491" s="6" t="s">
        <v>946</v>
      </c>
      <c r="F491" s="6" t="s">
        <v>67</v>
      </c>
      <c r="G491" s="6" t="s">
        <v>936</v>
      </c>
      <c r="H491" s="6" t="s">
        <v>66</v>
      </c>
      <c r="I491" s="6" t="s">
        <v>543</v>
      </c>
      <c r="J491" s="6"/>
      <c r="K491" s="6"/>
      <c r="L491" s="6" t="s">
        <v>304</v>
      </c>
      <c r="M491" s="20" t="s">
        <v>59</v>
      </c>
      <c r="N491" s="6"/>
    </row>
    <row r="492" ht="15.75" customHeight="1">
      <c r="A492" s="6" t="s">
        <v>978</v>
      </c>
      <c r="B492" s="6" t="s">
        <v>1419</v>
      </c>
      <c r="C492" s="6" t="s">
        <v>469</v>
      </c>
      <c r="D492" s="6" t="s">
        <v>429</v>
      </c>
      <c r="E492" s="6" t="s">
        <v>438</v>
      </c>
      <c r="F492" s="6" t="s">
        <v>1377</v>
      </c>
      <c r="G492" s="6" t="s">
        <v>936</v>
      </c>
      <c r="H492" s="6" t="s">
        <v>1833</v>
      </c>
      <c r="I492" s="6">
        <v>3.6074357668E10</v>
      </c>
      <c r="J492" s="6" t="s">
        <v>1422</v>
      </c>
      <c r="K492" s="6"/>
      <c r="L492" s="6" t="s">
        <v>304</v>
      </c>
      <c r="M492" s="6" t="s">
        <v>984</v>
      </c>
      <c r="N492" s="6"/>
    </row>
    <row r="493" ht="15.75" customHeight="1">
      <c r="A493" s="6" t="s">
        <v>978</v>
      </c>
      <c r="B493" s="6" t="s">
        <v>1423</v>
      </c>
      <c r="C493" s="6" t="s">
        <v>482</v>
      </c>
      <c r="D493" s="6" t="s">
        <v>429</v>
      </c>
      <c r="E493" s="6" t="s">
        <v>430</v>
      </c>
      <c r="F493" s="6" t="s">
        <v>1549</v>
      </c>
      <c r="G493" s="6" t="s">
        <v>936</v>
      </c>
      <c r="H493" s="6" t="s">
        <v>1054</v>
      </c>
      <c r="I493" s="6">
        <v>0.0</v>
      </c>
      <c r="J493" s="6"/>
      <c r="K493" s="6" t="s">
        <v>985</v>
      </c>
      <c r="L493" s="6" t="s">
        <v>304</v>
      </c>
      <c r="M493" s="20" t="s">
        <v>59</v>
      </c>
      <c r="N493" s="6"/>
    </row>
    <row r="494" ht="15.75" customHeight="1">
      <c r="A494" s="6" t="s">
        <v>978</v>
      </c>
      <c r="B494" s="6" t="s">
        <v>1607</v>
      </c>
      <c r="C494" s="6" t="s">
        <v>457</v>
      </c>
      <c r="D494" s="6" t="s">
        <v>429</v>
      </c>
      <c r="E494" s="6" t="s">
        <v>438</v>
      </c>
      <c r="F494" s="6" t="s">
        <v>1455</v>
      </c>
      <c r="G494" s="6" t="s">
        <v>936</v>
      </c>
      <c r="H494" s="6" t="s">
        <v>1834</v>
      </c>
      <c r="I494" s="6">
        <v>123.0</v>
      </c>
      <c r="J494" s="6" t="s">
        <v>1695</v>
      </c>
      <c r="K494" s="6"/>
      <c r="L494" s="6" t="s">
        <v>304</v>
      </c>
      <c r="M494" s="6" t="s">
        <v>59</v>
      </c>
      <c r="N494" s="6"/>
    </row>
    <row r="495" ht="15.75" customHeight="1">
      <c r="A495" s="6" t="s">
        <v>978</v>
      </c>
      <c r="B495" s="6" t="s">
        <v>1427</v>
      </c>
      <c r="C495" s="6" t="s">
        <v>469</v>
      </c>
      <c r="D495" s="6" t="s">
        <v>429</v>
      </c>
      <c r="E495" s="6" t="s">
        <v>438</v>
      </c>
      <c r="F495" s="6" t="s">
        <v>1377</v>
      </c>
      <c r="G495" s="6" t="s">
        <v>936</v>
      </c>
      <c r="H495" s="6" t="s">
        <v>1368</v>
      </c>
      <c r="I495" s="6" t="s">
        <v>1303</v>
      </c>
      <c r="J495" s="6" t="s">
        <v>1430</v>
      </c>
      <c r="K495" s="6" t="s">
        <v>985</v>
      </c>
      <c r="L495" s="6" t="s">
        <v>304</v>
      </c>
      <c r="M495" s="6" t="s">
        <v>984</v>
      </c>
      <c r="N495" s="6"/>
    </row>
    <row r="496" ht="15.75" customHeight="1">
      <c r="A496" s="6" t="s">
        <v>978</v>
      </c>
      <c r="B496" s="6" t="s">
        <v>1545</v>
      </c>
      <c r="C496" s="6" t="s">
        <v>469</v>
      </c>
      <c r="D496" s="6" t="s">
        <v>429</v>
      </c>
      <c r="E496" s="6" t="s">
        <v>430</v>
      </c>
      <c r="F496" s="6" t="s">
        <v>244</v>
      </c>
      <c r="G496" s="6" t="s">
        <v>936</v>
      </c>
      <c r="H496" s="6" t="s">
        <v>777</v>
      </c>
      <c r="I496" s="6" t="s">
        <v>1303</v>
      </c>
      <c r="J496" s="6"/>
      <c r="K496" s="6"/>
      <c r="L496" s="6" t="s">
        <v>304</v>
      </c>
      <c r="M496" s="20" t="s">
        <v>59</v>
      </c>
      <c r="N496" s="6"/>
    </row>
    <row r="497" ht="15.75" customHeight="1">
      <c r="A497" s="6" t="s">
        <v>978</v>
      </c>
      <c r="B497" s="6" t="s">
        <v>1431</v>
      </c>
      <c r="C497" s="6" t="s">
        <v>469</v>
      </c>
      <c r="D497" s="6" t="s">
        <v>429</v>
      </c>
      <c r="E497" s="6" t="s">
        <v>438</v>
      </c>
      <c r="F497" s="6" t="s">
        <v>1377</v>
      </c>
      <c r="G497" s="6" t="s">
        <v>936</v>
      </c>
      <c r="H497" s="6" t="s">
        <v>1835</v>
      </c>
      <c r="I497" s="6" t="s">
        <v>314</v>
      </c>
      <c r="J497" s="6" t="s">
        <v>1434</v>
      </c>
      <c r="K497" s="6"/>
      <c r="L497" s="6" t="s">
        <v>304</v>
      </c>
      <c r="M497" s="20" t="s">
        <v>59</v>
      </c>
      <c r="N497" s="6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9:N69"/>
    <mergeCell ref="A70:N70"/>
    <mergeCell ref="A93:N93"/>
    <mergeCell ref="A1:N1"/>
    <mergeCell ref="A3:N3"/>
    <mergeCell ref="A4:N4"/>
    <mergeCell ref="A29:N29"/>
    <mergeCell ref="A42:N42"/>
    <mergeCell ref="A43:N43"/>
    <mergeCell ref="A65:N65"/>
  </mergeCells>
  <conditionalFormatting sqref="A6:N27">
    <cfRule type="expression" dxfId="0" priority="1">
      <formula>OR(ISNUMBER(SEARCH("Finalizado",$D6)),$M6="Finalizado",$M6="Validado")</formula>
    </cfRule>
  </conditionalFormatting>
  <conditionalFormatting sqref="A6:N27">
    <cfRule type="expression" dxfId="1" priority="2">
      <formula>AND(NOT(ISNUMBER(SEARCH("Finalizado",$D6))),$M6="Pendente",NOT(ISNUMBER(SEARCH("Falta Justificada",$D6))))</formula>
    </cfRule>
  </conditionalFormatting>
  <conditionalFormatting sqref="K6:K27">
    <cfRule type="expression" dxfId="2" priority="3">
      <formula>OR(ISNUMBER(SEARCH("1ª SESSÃO",K6)),ISNUMBER(SEARCH("ALERTA FINAL",K6)),ISNUMBER(SEARCH("MEDSÊNIOR",K6)))</formula>
    </cfRule>
  </conditionalFormatting>
  <conditionalFormatting sqref="A31:N40">
    <cfRule type="expression" dxfId="0" priority="4">
      <formula>OR(ISNUMBER(SEARCH("Finalizado",$D31)),$M31="Finalizado",$M31="Validado")</formula>
    </cfRule>
  </conditionalFormatting>
  <conditionalFormatting sqref="A31:N40">
    <cfRule type="expression" dxfId="1" priority="5">
      <formula>AND(NOT(ISNUMBER(SEARCH("Finalizado",$D31))),$M31="Pendente",NOT(ISNUMBER(SEARCH("Falta Justificada",$D31))))</formula>
    </cfRule>
  </conditionalFormatting>
  <conditionalFormatting sqref="K31:K40">
    <cfRule type="expression" dxfId="2" priority="6">
      <formula>OR(ISNUMBER(SEARCH("1ª SESSÃO",K31)),ISNUMBER(SEARCH("ALERTA FINAL",K31)),ISNUMBER(SEARCH("MEDSÊNIOR",K31)))</formula>
    </cfRule>
  </conditionalFormatting>
  <conditionalFormatting sqref="A45:N63">
    <cfRule type="expression" dxfId="0" priority="7">
      <formula>OR(ISNUMBER(SEARCH("Finalizado",$D45)),$M45="Finalizado",$M45="Validado")</formula>
    </cfRule>
  </conditionalFormatting>
  <conditionalFormatting sqref="A45:N63">
    <cfRule type="expression" dxfId="1" priority="8">
      <formula>AND(NOT(ISNUMBER(SEARCH("Finalizado",$D45))),$M45="Pendente",NOT(ISNUMBER(SEARCH("Falta Justificada",$D45))))</formula>
    </cfRule>
  </conditionalFormatting>
  <conditionalFormatting sqref="K45:K63">
    <cfRule type="expression" dxfId="2" priority="9">
      <formula>OR(ISNUMBER(SEARCH("1ª SESSÃO",K45)),ISNUMBER(SEARCH("ALERTA FINAL",K45)),ISNUMBER(SEARCH("MEDSÊNIOR",K45)))</formula>
    </cfRule>
  </conditionalFormatting>
  <conditionalFormatting sqref="A67:N67">
    <cfRule type="expression" dxfId="0" priority="10">
      <formula>OR(ISNUMBER(SEARCH("Finalizado",$D67)),$M67="Finalizado",$M67="Validado")</formula>
    </cfRule>
  </conditionalFormatting>
  <conditionalFormatting sqref="A67:N67">
    <cfRule type="expression" dxfId="1" priority="11">
      <formula>AND(NOT(ISNUMBER(SEARCH("Finalizado",$D67))),$M67="Pendente",NOT(ISNUMBER(SEARCH("Falta Justificada",$D67))))</formula>
    </cfRule>
  </conditionalFormatting>
  <conditionalFormatting sqref="K67">
    <cfRule type="expression" dxfId="2" priority="12">
      <formula>OR(ISNUMBER(SEARCH("1ª SESSÃO",K67)),ISNUMBER(SEARCH("ALERTA FINAL",K67)),ISNUMBER(SEARCH("MEDSÊNIOR",K67)))</formula>
    </cfRule>
  </conditionalFormatting>
  <conditionalFormatting sqref="A72:N91">
    <cfRule type="expression" dxfId="0" priority="13">
      <formula>OR(ISNUMBER(SEARCH("Finalizado",$D72)),$M72="Finalizado",$M72="Validado")</formula>
    </cfRule>
  </conditionalFormatting>
  <conditionalFormatting sqref="A72:N91">
    <cfRule type="expression" dxfId="1" priority="14">
      <formula>AND(NOT(ISNUMBER(SEARCH("Finalizado",$D72))),$M72="Pendente",NOT(ISNUMBER(SEARCH("Falta Justificada",$D72))))</formula>
    </cfRule>
  </conditionalFormatting>
  <conditionalFormatting sqref="K72:K91">
    <cfRule type="expression" dxfId="2" priority="15">
      <formula>OR(ISNUMBER(SEARCH("1ª SESSÃO",K72)),ISNUMBER(SEARCH("ALERTA FINAL",K72)),ISNUMBER(SEARCH("MEDSÊNIOR",K72)))</formula>
    </cfRule>
  </conditionalFormatting>
  <conditionalFormatting sqref="A95:N101">
    <cfRule type="expression" dxfId="0" priority="16">
      <formula>OR(ISNUMBER(SEARCH("Finalizado",$D95)),$M95="Finalizado",$M95="Validado")</formula>
    </cfRule>
  </conditionalFormatting>
  <conditionalFormatting sqref="A95:N101">
    <cfRule type="expression" dxfId="1" priority="17">
      <formula>AND(NOT(ISNUMBER(SEARCH("Finalizado",$D95))),$M95="Pendente",NOT(ISNUMBER(SEARCH("Falta Justificada",$D95))))</formula>
    </cfRule>
  </conditionalFormatting>
  <conditionalFormatting sqref="K95:K101">
    <cfRule type="expression" dxfId="2" priority="18">
      <formula>OR(ISNUMBER(SEARCH("1ª SESSÃO",K95)),ISNUMBER(SEARCH("ALERTA FINAL",K95)),ISNUMBER(SEARCH("MEDSÊNIOR",K95)))</formula>
    </cfRule>
  </conditionalFormatting>
  <conditionalFormatting sqref="A106:N106">
    <cfRule type="expression" dxfId="3" priority="19">
      <formula>OR($M106="Finalizado",$M106="Validado",$D106="Finalizado")</formula>
    </cfRule>
  </conditionalFormatting>
  <conditionalFormatting sqref="A106:N106">
    <cfRule type="expression" dxfId="4" priority="20">
      <formula>AND($M106="Pendente",$D106&lt;&gt;"Finalizado")</formula>
    </cfRule>
  </conditionalFormatting>
  <conditionalFormatting sqref="A107:N107">
    <cfRule type="expression" dxfId="3" priority="21">
      <formula>OR($M107="Finalizado",$M107="Validado",$D107="Finalizado")</formula>
    </cfRule>
  </conditionalFormatting>
  <conditionalFormatting sqref="A107:N107">
    <cfRule type="expression" dxfId="4" priority="22">
      <formula>AND($M107="Pendente",$D107&lt;&gt;"Finalizado")</formula>
    </cfRule>
  </conditionalFormatting>
  <conditionalFormatting sqref="A108:N108">
    <cfRule type="expression" dxfId="3" priority="23">
      <formula>OR($M108="Finalizado",$M108="Validado",$D108="Finalizado")</formula>
    </cfRule>
  </conditionalFormatting>
  <conditionalFormatting sqref="A108:N108">
    <cfRule type="expression" dxfId="4" priority="24">
      <formula>AND($M108="Pendente",$D108&lt;&gt;"Finalizado")</formula>
    </cfRule>
  </conditionalFormatting>
  <conditionalFormatting sqref="A109:N109">
    <cfRule type="expression" dxfId="3" priority="25">
      <formula>OR($M109="Finalizado",$M109="Validado",$D109="Finalizado")</formula>
    </cfRule>
  </conditionalFormatting>
  <conditionalFormatting sqref="A109:N109">
    <cfRule type="expression" dxfId="4" priority="26">
      <formula>AND($M109="Pendente",$D109&lt;&gt;"Finalizado")</formula>
    </cfRule>
  </conditionalFormatting>
  <conditionalFormatting sqref="A110:N110">
    <cfRule type="expression" dxfId="3" priority="27">
      <formula>OR($M110="Finalizado",$M110="Validado",$D110="Finalizado")</formula>
    </cfRule>
  </conditionalFormatting>
  <conditionalFormatting sqref="A110:N110">
    <cfRule type="expression" dxfId="4" priority="28">
      <formula>AND($M110="Pendente",$D110&lt;&gt;"Finalizado")</formula>
    </cfRule>
  </conditionalFormatting>
  <conditionalFormatting sqref="A111:N111">
    <cfRule type="expression" dxfId="3" priority="29">
      <formula>OR($M111="Finalizado",$M111="Validado",$D111="Finalizado")</formula>
    </cfRule>
  </conditionalFormatting>
  <conditionalFormatting sqref="A111:N111">
    <cfRule type="expression" dxfId="4" priority="30">
      <formula>AND($M111="Pendente",$D111&lt;&gt;"Finalizado")</formula>
    </cfRule>
  </conditionalFormatting>
  <conditionalFormatting sqref="A112:N112">
    <cfRule type="expression" dxfId="3" priority="31">
      <formula>OR($M112="Finalizado",$M112="Validado",$D112="Finalizado")</formula>
    </cfRule>
  </conditionalFormatting>
  <conditionalFormatting sqref="A112:N112">
    <cfRule type="expression" dxfId="4" priority="32">
      <formula>AND($M112="Pendente",$D112&lt;&gt;"Finalizado")</formula>
    </cfRule>
  </conditionalFormatting>
  <conditionalFormatting sqref="A113:N113">
    <cfRule type="expression" dxfId="3" priority="33">
      <formula>OR($M113="Finalizado",$M113="Validado",$D113="Finalizado")</formula>
    </cfRule>
  </conditionalFormatting>
  <conditionalFormatting sqref="A113:N113">
    <cfRule type="expression" dxfId="4" priority="34">
      <formula>AND($M113="Pendente",$D113&lt;&gt;"Finalizado")</formula>
    </cfRule>
  </conditionalFormatting>
  <conditionalFormatting sqref="A114:N114">
    <cfRule type="expression" dxfId="3" priority="35">
      <formula>OR($M114="Finalizado",$M114="Validado",$D114="Finalizado")</formula>
    </cfRule>
  </conditionalFormatting>
  <conditionalFormatting sqref="A114:N114">
    <cfRule type="expression" dxfId="4" priority="36">
      <formula>AND($M114="Pendente",$D114&lt;&gt;"Finalizado")</formula>
    </cfRule>
  </conditionalFormatting>
  <conditionalFormatting sqref="A115:N115">
    <cfRule type="expression" dxfId="3" priority="37">
      <formula>OR($M115="Finalizado",$M115="Validado",$D115="Finalizado")</formula>
    </cfRule>
  </conditionalFormatting>
  <conditionalFormatting sqref="A115:N115">
    <cfRule type="expression" dxfId="4" priority="38">
      <formula>AND($M115="Pendente",$D115&lt;&gt;"Finalizado")</formula>
    </cfRule>
  </conditionalFormatting>
  <conditionalFormatting sqref="A116:N116">
    <cfRule type="expression" dxfId="3" priority="39">
      <formula>OR($M116="Finalizado",$M116="Validado",$D116="Finalizado")</formula>
    </cfRule>
  </conditionalFormatting>
  <conditionalFormatting sqref="A116:N116">
    <cfRule type="expression" dxfId="4" priority="40">
      <formula>AND($M116="Pendente",$D116&lt;&gt;"Finalizado")</formula>
    </cfRule>
  </conditionalFormatting>
  <conditionalFormatting sqref="A117:N117">
    <cfRule type="expression" dxfId="3" priority="41">
      <formula>OR($M117="Finalizado",$M117="Validado",$D117="Finalizado")</formula>
    </cfRule>
  </conditionalFormatting>
  <conditionalFormatting sqref="A117:N117">
    <cfRule type="expression" dxfId="4" priority="42">
      <formula>AND($M117="Pendente",$D117&lt;&gt;"Finalizado")</formula>
    </cfRule>
  </conditionalFormatting>
  <conditionalFormatting sqref="A118:N118">
    <cfRule type="expression" dxfId="3" priority="43">
      <formula>OR($M118="Finalizado",$M118="Validado",$D118="Finalizado")</formula>
    </cfRule>
  </conditionalFormatting>
  <conditionalFormatting sqref="A118:N118">
    <cfRule type="expression" dxfId="4" priority="44">
      <formula>AND($M118="Pendente",$D118&lt;&gt;"Finalizado")</formula>
    </cfRule>
  </conditionalFormatting>
  <conditionalFormatting sqref="A119:N119">
    <cfRule type="expression" dxfId="3" priority="45">
      <formula>OR($M119="Finalizado",$M119="Validado",$D119="Finalizado")</formula>
    </cfRule>
  </conditionalFormatting>
  <conditionalFormatting sqref="A119:N119">
    <cfRule type="expression" dxfId="4" priority="46">
      <formula>AND($M119="Pendente",$D119&lt;&gt;"Finalizado")</formula>
    </cfRule>
  </conditionalFormatting>
  <conditionalFormatting sqref="A120:N120">
    <cfRule type="expression" dxfId="3" priority="47">
      <formula>OR($M120="Finalizado",$M120="Validado",$D120="Finalizado")</formula>
    </cfRule>
  </conditionalFormatting>
  <conditionalFormatting sqref="A120:N120">
    <cfRule type="expression" dxfId="4" priority="48">
      <formula>AND($M120="Pendente",$D120&lt;&gt;"Finalizado")</formula>
    </cfRule>
  </conditionalFormatting>
  <conditionalFormatting sqref="A121:N121">
    <cfRule type="expression" dxfId="3" priority="49">
      <formula>OR($M121="Finalizado",$M121="Validado",$D121="Finalizado")</formula>
    </cfRule>
  </conditionalFormatting>
  <conditionalFormatting sqref="A121:N121">
    <cfRule type="expression" dxfId="4" priority="50">
      <formula>AND($M121="Pendente",$D121&lt;&gt;"Finalizado")</formula>
    </cfRule>
  </conditionalFormatting>
  <conditionalFormatting sqref="A122:N122">
    <cfRule type="expression" dxfId="3" priority="51">
      <formula>OR($M122="Finalizado",$M122="Validado",$D122="Finalizado")</formula>
    </cfRule>
  </conditionalFormatting>
  <conditionalFormatting sqref="A122:N122">
    <cfRule type="expression" dxfId="4" priority="52">
      <formula>AND($M122="Pendente",$D122&lt;&gt;"Finalizado")</formula>
    </cfRule>
  </conditionalFormatting>
  <conditionalFormatting sqref="A123:N123">
    <cfRule type="expression" dxfId="3" priority="53">
      <formula>OR($M123="Finalizado",$M123="Validado",$D123="Finalizado")</formula>
    </cfRule>
  </conditionalFormatting>
  <conditionalFormatting sqref="A123:N123">
    <cfRule type="expression" dxfId="4" priority="54">
      <formula>AND($M123="Pendente",$D123&lt;&gt;"Finalizado")</formula>
    </cfRule>
  </conditionalFormatting>
  <conditionalFormatting sqref="A124:N124">
    <cfRule type="expression" dxfId="3" priority="55">
      <formula>OR($M124="Finalizado",$M124="Validado",$D124="Finalizado")</formula>
    </cfRule>
  </conditionalFormatting>
  <conditionalFormatting sqref="A124:N124">
    <cfRule type="expression" dxfId="4" priority="56">
      <formula>AND($M124="Pendente",$D124&lt;&gt;"Finalizado")</formula>
    </cfRule>
  </conditionalFormatting>
  <conditionalFormatting sqref="A125:N125">
    <cfRule type="expression" dxfId="3" priority="57">
      <formula>OR($M125="Finalizado",$M125="Validado",$D125="Finalizado")</formula>
    </cfRule>
  </conditionalFormatting>
  <conditionalFormatting sqref="A125:N125">
    <cfRule type="expression" dxfId="4" priority="58">
      <formula>AND($M125="Pendente",$D125&lt;&gt;"Finalizado")</formula>
    </cfRule>
  </conditionalFormatting>
  <conditionalFormatting sqref="A126:N126">
    <cfRule type="expression" dxfId="3" priority="59">
      <formula>OR($M126="Finalizado",$M126="Validado",$D126="Finalizado")</formula>
    </cfRule>
  </conditionalFormatting>
  <conditionalFormatting sqref="A126:N126">
    <cfRule type="expression" dxfId="4" priority="60">
      <formula>AND($M126="Pendente",$D126&lt;&gt;"Finalizado")</formula>
    </cfRule>
  </conditionalFormatting>
  <conditionalFormatting sqref="A127:N127">
    <cfRule type="expression" dxfId="3" priority="61">
      <formula>OR($M127="Finalizado",$M127="Validado",$D127="Finalizado")</formula>
    </cfRule>
  </conditionalFormatting>
  <conditionalFormatting sqref="A127:N127">
    <cfRule type="expression" dxfId="4" priority="62">
      <formula>AND($M127="Pendente",$D127&lt;&gt;"Finalizado")</formula>
    </cfRule>
  </conditionalFormatting>
  <conditionalFormatting sqref="A128:N128">
    <cfRule type="expression" dxfId="3" priority="63">
      <formula>OR($M128="Finalizado",$M128="Validado",$D128="Finalizado")</formula>
    </cfRule>
  </conditionalFormatting>
  <conditionalFormatting sqref="A128:N128">
    <cfRule type="expression" dxfId="4" priority="64">
      <formula>AND($M128="Pendente",$D128&lt;&gt;"Finalizado")</formula>
    </cfRule>
  </conditionalFormatting>
  <conditionalFormatting sqref="A129:N129">
    <cfRule type="expression" dxfId="3" priority="65">
      <formula>OR($M129="Finalizado",$M129="Validado",$D129="Finalizado")</formula>
    </cfRule>
  </conditionalFormatting>
  <conditionalFormatting sqref="A129:N129">
    <cfRule type="expression" dxfId="4" priority="66">
      <formula>AND($M129="Pendente",$D129&lt;&gt;"Finalizado")</formula>
    </cfRule>
  </conditionalFormatting>
  <conditionalFormatting sqref="A130:N130">
    <cfRule type="expression" dxfId="3" priority="67">
      <formula>OR($M130="Finalizado",$M130="Validado",$D130="Finalizado")</formula>
    </cfRule>
  </conditionalFormatting>
  <conditionalFormatting sqref="A130:N130">
    <cfRule type="expression" dxfId="4" priority="68">
      <formula>AND($M130="Pendente",$D130&lt;&gt;"Finalizado")</formula>
    </cfRule>
  </conditionalFormatting>
  <conditionalFormatting sqref="A131:N131">
    <cfRule type="expression" dxfId="3" priority="69">
      <formula>OR($M131="Finalizado",$M131="Validado",$D131="Finalizado")</formula>
    </cfRule>
  </conditionalFormatting>
  <conditionalFormatting sqref="A131:N131">
    <cfRule type="expression" dxfId="4" priority="70">
      <formula>AND($M131="Pendente",$D131&lt;&gt;"Finalizado")</formula>
    </cfRule>
  </conditionalFormatting>
  <conditionalFormatting sqref="A132:N132">
    <cfRule type="expression" dxfId="3" priority="71">
      <formula>OR($M132="Finalizado",$M132="Validado",$D132="Finalizado")</formula>
    </cfRule>
  </conditionalFormatting>
  <conditionalFormatting sqref="A132:N132">
    <cfRule type="expression" dxfId="4" priority="72">
      <formula>AND($M132="Pendente",$D132&lt;&gt;"Finalizado")</formula>
    </cfRule>
  </conditionalFormatting>
  <conditionalFormatting sqref="A133:N133">
    <cfRule type="expression" dxfId="3" priority="73">
      <formula>OR($M133="Finalizado",$M133="Validado",$D133="Finalizado")</formula>
    </cfRule>
  </conditionalFormatting>
  <conditionalFormatting sqref="A133:N133">
    <cfRule type="expression" dxfId="4" priority="74">
      <formula>AND($M133="Pendente",$D133&lt;&gt;"Finalizado")</formula>
    </cfRule>
  </conditionalFormatting>
  <conditionalFormatting sqref="A134:N134">
    <cfRule type="expression" dxfId="3" priority="75">
      <formula>OR($M134="Finalizado",$M134="Validado",$D134="Finalizado")</formula>
    </cfRule>
  </conditionalFormatting>
  <conditionalFormatting sqref="A134:N134">
    <cfRule type="expression" dxfId="4" priority="76">
      <formula>AND($M134="Pendente",$D134&lt;&gt;"Finalizado")</formula>
    </cfRule>
  </conditionalFormatting>
  <conditionalFormatting sqref="A139:N139">
    <cfRule type="expression" dxfId="3" priority="77">
      <formula>OR($M139="Finalizado",$M139="Validado",$D139="Finalizado")</formula>
    </cfRule>
  </conditionalFormatting>
  <conditionalFormatting sqref="A139:N139">
    <cfRule type="expression" dxfId="4" priority="78">
      <formula>AND($M139="Pendente",$D139&lt;&gt;"Finalizado")</formula>
    </cfRule>
  </conditionalFormatting>
  <conditionalFormatting sqref="A140:N140">
    <cfRule type="expression" dxfId="3" priority="79">
      <formula>OR($M140="Finalizado",$M140="Validado",$D140="Finalizado")</formula>
    </cfRule>
  </conditionalFormatting>
  <conditionalFormatting sqref="A140:N140">
    <cfRule type="expression" dxfId="4" priority="80">
      <formula>AND($M140="Pendente",$D140&lt;&gt;"Finalizado")</formula>
    </cfRule>
  </conditionalFormatting>
  <conditionalFormatting sqref="A141:N141">
    <cfRule type="expression" dxfId="3" priority="81">
      <formula>OR($M141="Finalizado",$M141="Validado",$D141="Finalizado")</formula>
    </cfRule>
  </conditionalFormatting>
  <conditionalFormatting sqref="A141:N141">
    <cfRule type="expression" dxfId="4" priority="82">
      <formula>AND($M141="Pendente",$D141&lt;&gt;"Finalizado")</formula>
    </cfRule>
  </conditionalFormatting>
  <conditionalFormatting sqref="A142:N142">
    <cfRule type="expression" dxfId="3" priority="83">
      <formula>OR($M142="Finalizado",$M142="Validado",$D142="Finalizado")</formula>
    </cfRule>
  </conditionalFormatting>
  <conditionalFormatting sqref="A142:N142">
    <cfRule type="expression" dxfId="4" priority="84">
      <formula>AND($M142="Pendente",$D142&lt;&gt;"Finalizado")</formula>
    </cfRule>
  </conditionalFormatting>
  <conditionalFormatting sqref="A143:N143">
    <cfRule type="expression" dxfId="3" priority="85">
      <formula>OR($M143="Finalizado",$M143="Validado",$D143="Finalizado")</formula>
    </cfRule>
  </conditionalFormatting>
  <conditionalFormatting sqref="A143:N143">
    <cfRule type="expression" dxfId="4" priority="86">
      <formula>AND($M143="Pendente",$D143&lt;&gt;"Finalizado")</formula>
    </cfRule>
  </conditionalFormatting>
  <conditionalFormatting sqref="A144:N144">
    <cfRule type="expression" dxfId="3" priority="87">
      <formula>OR($M144="Finalizado",$M144="Validado",$D144="Finalizado")</formula>
    </cfRule>
  </conditionalFormatting>
  <conditionalFormatting sqref="A144:N144">
    <cfRule type="expression" dxfId="4" priority="88">
      <formula>AND($M144="Pendente",$D144&lt;&gt;"Finalizado")</formula>
    </cfRule>
  </conditionalFormatting>
  <conditionalFormatting sqref="A145:N145">
    <cfRule type="expression" dxfId="3" priority="89">
      <formula>OR($M145="Finalizado",$M145="Validado",$D145="Finalizado")</formula>
    </cfRule>
  </conditionalFormatting>
  <conditionalFormatting sqref="A145:N145">
    <cfRule type="expression" dxfId="4" priority="90">
      <formula>AND($M145="Pendente",$D145&lt;&gt;"Finalizado")</formula>
    </cfRule>
  </conditionalFormatting>
  <conditionalFormatting sqref="A146:N146">
    <cfRule type="expression" dxfId="3" priority="91">
      <formula>OR($M146="Finalizado",$M146="Validado",$D146="Finalizado")</formula>
    </cfRule>
  </conditionalFormatting>
  <conditionalFormatting sqref="A146:N146">
    <cfRule type="expression" dxfId="4" priority="92">
      <formula>AND($M146="Pendente",$D146&lt;&gt;"Finalizado")</formula>
    </cfRule>
  </conditionalFormatting>
  <conditionalFormatting sqref="A147:N147">
    <cfRule type="expression" dxfId="3" priority="93">
      <formula>OR($M147="Finalizado",$M147="Validado",$D147="Finalizado")</formula>
    </cfRule>
  </conditionalFormatting>
  <conditionalFormatting sqref="A147:N147">
    <cfRule type="expression" dxfId="4" priority="94">
      <formula>AND($M147="Pendente",$D147&lt;&gt;"Finalizado")</formula>
    </cfRule>
  </conditionalFormatting>
  <conditionalFormatting sqref="A148:N148">
    <cfRule type="expression" dxfId="3" priority="95">
      <formula>OR($M148="Finalizado",$M148="Validado",$D148="Finalizado")</formula>
    </cfRule>
  </conditionalFormatting>
  <conditionalFormatting sqref="A148:N148">
    <cfRule type="expression" dxfId="4" priority="96">
      <formula>AND($M148="Pendente",$D148&lt;&gt;"Finalizado")</formula>
    </cfRule>
  </conditionalFormatting>
  <conditionalFormatting sqref="A153:N153">
    <cfRule type="expression" dxfId="3" priority="97">
      <formula>OR($M153="Finalizado",$M153="Validado",$D153="Finalizado")</formula>
    </cfRule>
  </conditionalFormatting>
  <conditionalFormatting sqref="A153:N153">
    <cfRule type="expression" dxfId="4" priority="98">
      <formula>AND($M153="Pendente",$D153&lt;&gt;"Finalizado")</formula>
    </cfRule>
  </conditionalFormatting>
  <conditionalFormatting sqref="A154:N154">
    <cfRule type="expression" dxfId="3" priority="99">
      <formula>OR($M154="Finalizado",$M154="Validado",$D154="Finalizado")</formula>
    </cfRule>
  </conditionalFormatting>
  <conditionalFormatting sqref="A154:N154">
    <cfRule type="expression" dxfId="4" priority="100">
      <formula>AND($M154="Pendente",$D154&lt;&gt;"Finalizado")</formula>
    </cfRule>
  </conditionalFormatting>
  <conditionalFormatting sqref="A155:N155">
    <cfRule type="expression" dxfId="3" priority="101">
      <formula>OR($M155="Finalizado",$M155="Validado",$D155="Finalizado")</formula>
    </cfRule>
  </conditionalFormatting>
  <conditionalFormatting sqref="A155:N155">
    <cfRule type="expression" dxfId="4" priority="102">
      <formula>AND($M155="Pendente",$D155&lt;&gt;"Finalizado")</formula>
    </cfRule>
  </conditionalFormatting>
  <conditionalFormatting sqref="A156:N156">
    <cfRule type="expression" dxfId="3" priority="103">
      <formula>OR($M156="Finalizado",$M156="Validado",$D156="Finalizado")</formula>
    </cfRule>
  </conditionalFormatting>
  <conditionalFormatting sqref="A156:N156">
    <cfRule type="expression" dxfId="4" priority="104">
      <formula>AND($M156="Pendente",$D156&lt;&gt;"Finalizado")</formula>
    </cfRule>
  </conditionalFormatting>
  <conditionalFormatting sqref="A157:N157">
    <cfRule type="expression" dxfId="3" priority="105">
      <formula>OR($M157="Finalizado",$M157="Validado",$D157="Finalizado")</formula>
    </cfRule>
  </conditionalFormatting>
  <conditionalFormatting sqref="A157:N157">
    <cfRule type="expression" dxfId="4" priority="106">
      <formula>AND($M157="Pendente",$D157&lt;&gt;"Finalizado")</formula>
    </cfRule>
  </conditionalFormatting>
  <conditionalFormatting sqref="A158:N158">
    <cfRule type="expression" dxfId="3" priority="107">
      <formula>OR($M158="Finalizado",$M158="Validado",$D158="Finalizado")</formula>
    </cfRule>
  </conditionalFormatting>
  <conditionalFormatting sqref="A158:N158">
    <cfRule type="expression" dxfId="4" priority="108">
      <formula>AND($M158="Pendente",$D158&lt;&gt;"Finalizado")</formula>
    </cfRule>
  </conditionalFormatting>
  <conditionalFormatting sqref="A159:N159">
    <cfRule type="expression" dxfId="3" priority="109">
      <formula>OR($M159="Finalizado",$M159="Validado",$D159="Finalizado")</formula>
    </cfRule>
  </conditionalFormatting>
  <conditionalFormatting sqref="A159:N159">
    <cfRule type="expression" dxfId="4" priority="110">
      <formula>AND($M159="Pendente",$D159&lt;&gt;"Finalizado")</formula>
    </cfRule>
  </conditionalFormatting>
  <conditionalFormatting sqref="A160:N160">
    <cfRule type="expression" dxfId="3" priority="111">
      <formula>OR($M160="Finalizado",$M160="Validado",$D160="Finalizado")</formula>
    </cfRule>
  </conditionalFormatting>
  <conditionalFormatting sqref="A160:N160">
    <cfRule type="expression" dxfId="4" priority="112">
      <formula>AND($M160="Pendente",$D160&lt;&gt;"Finalizado")</formula>
    </cfRule>
  </conditionalFormatting>
  <conditionalFormatting sqref="A161:N161">
    <cfRule type="expression" dxfId="3" priority="113">
      <formula>OR($M161="Finalizado",$M161="Validado",$D161="Finalizado")</formula>
    </cfRule>
  </conditionalFormatting>
  <conditionalFormatting sqref="A161:N161">
    <cfRule type="expression" dxfId="4" priority="114">
      <formula>AND($M161="Pendente",$D161&lt;&gt;"Finalizado")</formula>
    </cfRule>
  </conditionalFormatting>
  <conditionalFormatting sqref="A162:N162">
    <cfRule type="expression" dxfId="3" priority="115">
      <formula>OR($M162="Finalizado",$M162="Validado",$D162="Finalizado")</formula>
    </cfRule>
  </conditionalFormatting>
  <conditionalFormatting sqref="A162:N162">
    <cfRule type="expression" dxfId="4" priority="116">
      <formula>AND($M162="Pendente",$D162&lt;&gt;"Finalizado")</formula>
    </cfRule>
  </conditionalFormatting>
  <conditionalFormatting sqref="A163:N163">
    <cfRule type="expression" dxfId="3" priority="117">
      <formula>OR($M163="Finalizado",$M163="Validado",$D163="Finalizado")</formula>
    </cfRule>
  </conditionalFormatting>
  <conditionalFormatting sqref="A163:N163">
    <cfRule type="expression" dxfId="4" priority="118">
      <formula>AND($M163="Pendente",$D163&lt;&gt;"Finalizado")</formula>
    </cfRule>
  </conditionalFormatting>
  <conditionalFormatting sqref="A164:N164">
    <cfRule type="expression" dxfId="3" priority="119">
      <formula>OR($M164="Finalizado",$M164="Validado",$D164="Finalizado")</formula>
    </cfRule>
  </conditionalFormatting>
  <conditionalFormatting sqref="A164:N164">
    <cfRule type="expression" dxfId="4" priority="120">
      <formula>AND($M164="Pendente",$D164&lt;&gt;"Finalizado")</formula>
    </cfRule>
  </conditionalFormatting>
  <conditionalFormatting sqref="A165:N165">
    <cfRule type="expression" dxfId="3" priority="121">
      <formula>OR($M165="Finalizado",$M165="Validado",$D165="Finalizado")</formula>
    </cfRule>
  </conditionalFormatting>
  <conditionalFormatting sqref="A165:N165">
    <cfRule type="expression" dxfId="4" priority="122">
      <formula>AND($M165="Pendente",$D165&lt;&gt;"Finalizado")</formula>
    </cfRule>
  </conditionalFormatting>
  <conditionalFormatting sqref="A166:N166">
    <cfRule type="expression" dxfId="3" priority="123">
      <formula>OR($M166="Finalizado",$M166="Validado",$D166="Finalizado")</formula>
    </cfRule>
  </conditionalFormatting>
  <conditionalFormatting sqref="A166:N166">
    <cfRule type="expression" dxfId="4" priority="124">
      <formula>AND($M166="Pendente",$D166&lt;&gt;"Finalizado")</formula>
    </cfRule>
  </conditionalFormatting>
  <conditionalFormatting sqref="A167:N167">
    <cfRule type="expression" dxfId="3" priority="125">
      <formula>OR($M167="Finalizado",$M167="Validado",$D167="Finalizado")</formula>
    </cfRule>
  </conditionalFormatting>
  <conditionalFormatting sqref="A167:N167">
    <cfRule type="expression" dxfId="4" priority="126">
      <formula>AND($M167="Pendente",$D167&lt;&gt;"Finalizado")</formula>
    </cfRule>
  </conditionalFormatting>
  <conditionalFormatting sqref="A168:N168">
    <cfRule type="expression" dxfId="3" priority="127">
      <formula>OR($M168="Finalizado",$M168="Validado",$D168="Finalizado")</formula>
    </cfRule>
  </conditionalFormatting>
  <conditionalFormatting sqref="A168:N168">
    <cfRule type="expression" dxfId="4" priority="128">
      <formula>AND($M168="Pendente",$D168&lt;&gt;"Finalizado")</formula>
    </cfRule>
  </conditionalFormatting>
  <conditionalFormatting sqref="A169:N169">
    <cfRule type="expression" dxfId="3" priority="129">
      <formula>OR($M169="Finalizado",$M169="Validado",$D169="Finalizado")</formula>
    </cfRule>
  </conditionalFormatting>
  <conditionalFormatting sqref="A169:N169">
    <cfRule type="expression" dxfId="4" priority="130">
      <formula>AND($M169="Pendente",$D169&lt;&gt;"Finalizado")</formula>
    </cfRule>
  </conditionalFormatting>
  <conditionalFormatting sqref="A170:N170">
    <cfRule type="expression" dxfId="3" priority="131">
      <formula>OR($M170="Finalizado",$M170="Validado",$D170="Finalizado")</formula>
    </cfRule>
  </conditionalFormatting>
  <conditionalFormatting sqref="A170:N170">
    <cfRule type="expression" dxfId="4" priority="132">
      <formula>AND($M170="Pendente",$D170&lt;&gt;"Finalizado")</formula>
    </cfRule>
  </conditionalFormatting>
  <conditionalFormatting sqref="A171:N171">
    <cfRule type="expression" dxfId="3" priority="133">
      <formula>OR($M171="Finalizado",$M171="Validado",$D171="Finalizado")</formula>
    </cfRule>
  </conditionalFormatting>
  <conditionalFormatting sqref="A171:N171">
    <cfRule type="expression" dxfId="4" priority="134">
      <formula>AND($M171="Pendente",$D171&lt;&gt;"Finalizado")</formula>
    </cfRule>
  </conditionalFormatting>
  <conditionalFormatting sqref="A176:N176">
    <cfRule type="expression" dxfId="3" priority="135">
      <formula>OR($M176="Finalizado",$M176="Validado",$D176="Finalizado")</formula>
    </cfRule>
  </conditionalFormatting>
  <conditionalFormatting sqref="A176:N176">
    <cfRule type="expression" dxfId="4" priority="136">
      <formula>AND($M176="Pendente",$D176&lt;&gt;"Finalizado")</formula>
    </cfRule>
  </conditionalFormatting>
  <conditionalFormatting sqref="A177:N177">
    <cfRule type="expression" dxfId="3" priority="137">
      <formula>OR($M177="Finalizado",$M177="Validado",$D177="Finalizado")</formula>
    </cfRule>
  </conditionalFormatting>
  <conditionalFormatting sqref="A177:N177">
    <cfRule type="expression" dxfId="4" priority="138">
      <formula>AND($M177="Pendente",$D177&lt;&gt;"Finalizado")</formula>
    </cfRule>
  </conditionalFormatting>
  <conditionalFormatting sqref="A178:N178">
    <cfRule type="expression" dxfId="3" priority="139">
      <formula>OR($M178="Finalizado",$M178="Validado",$D178="Finalizado")</formula>
    </cfRule>
  </conditionalFormatting>
  <conditionalFormatting sqref="A178:N178">
    <cfRule type="expression" dxfId="4" priority="140">
      <formula>AND($M178="Pendente",$D178&lt;&gt;"Finalizado")</formula>
    </cfRule>
  </conditionalFormatting>
  <conditionalFormatting sqref="A179:N179">
    <cfRule type="expression" dxfId="3" priority="141">
      <formula>OR($M179="Finalizado",$M179="Validado",$D179="Finalizado")</formula>
    </cfRule>
  </conditionalFormatting>
  <conditionalFormatting sqref="A179:N179">
    <cfRule type="expression" dxfId="4" priority="142">
      <formula>AND($M179="Pendente",$D179&lt;&gt;"Finalizado")</formula>
    </cfRule>
  </conditionalFormatting>
  <conditionalFormatting sqref="A180:N180">
    <cfRule type="expression" dxfId="3" priority="143">
      <formula>OR($M180="Finalizado",$M180="Validado",$D180="Finalizado")</formula>
    </cfRule>
  </conditionalFormatting>
  <conditionalFormatting sqref="A180:N180">
    <cfRule type="expression" dxfId="4" priority="144">
      <formula>AND($M180="Pendente",$D180&lt;&gt;"Finalizado")</formula>
    </cfRule>
  </conditionalFormatting>
  <conditionalFormatting sqref="A185:N185">
    <cfRule type="expression" dxfId="3" priority="145">
      <formula>OR($M185="Finalizado",$M185="Validado",LEFT($D185,10)="Finalizado")</formula>
    </cfRule>
  </conditionalFormatting>
  <conditionalFormatting sqref="A185:N185">
    <cfRule type="expression" dxfId="4" priority="146">
      <formula>AND($M185="Pendente",LEFT($D185,10)&lt;&gt;"Finalizado")</formula>
    </cfRule>
  </conditionalFormatting>
  <conditionalFormatting sqref="A186:N186">
    <cfRule type="expression" dxfId="3" priority="147">
      <formula>OR($M186="Finalizado",$M186="Validado",LEFT($D186,10)="Finalizado")</formula>
    </cfRule>
  </conditionalFormatting>
  <conditionalFormatting sqref="A186:N186">
    <cfRule type="expression" dxfId="4" priority="148">
      <formula>AND($M186="Pendente",LEFT($D186,10)&lt;&gt;"Finalizado")</formula>
    </cfRule>
  </conditionalFormatting>
  <conditionalFormatting sqref="A187:N187">
    <cfRule type="expression" dxfId="3" priority="149">
      <formula>OR($M187="Finalizado",$M187="Validado",LEFT($D187,10)="Finalizado")</formula>
    </cfRule>
  </conditionalFormatting>
  <conditionalFormatting sqref="A187:N187">
    <cfRule type="expression" dxfId="4" priority="150">
      <formula>AND($M187="Pendente",LEFT($D187,10)&lt;&gt;"Finalizado")</formula>
    </cfRule>
  </conditionalFormatting>
  <conditionalFormatting sqref="A188:N188">
    <cfRule type="expression" dxfId="3" priority="151">
      <formula>OR($M188="Finalizado",$M188="Validado",LEFT($D188,10)="Finalizado")</formula>
    </cfRule>
  </conditionalFormatting>
  <conditionalFormatting sqref="A188:N188">
    <cfRule type="expression" dxfId="4" priority="152">
      <formula>AND($M188="Pendente",LEFT($D188,10)&lt;&gt;"Finalizado")</formula>
    </cfRule>
  </conditionalFormatting>
  <conditionalFormatting sqref="A189:N189">
    <cfRule type="expression" dxfId="3" priority="153">
      <formula>OR($M189="Finalizado",$M189="Validado",LEFT($D189,10)="Finalizado")</formula>
    </cfRule>
  </conditionalFormatting>
  <conditionalFormatting sqref="A189:N189">
    <cfRule type="expression" dxfId="4" priority="154">
      <formula>AND($M189="Pendente",LEFT($D189,10)&lt;&gt;"Finalizado")</formula>
    </cfRule>
  </conditionalFormatting>
  <conditionalFormatting sqref="A190:N190">
    <cfRule type="expression" dxfId="3" priority="155">
      <formula>OR($M190="Finalizado",$M190="Validado",LEFT($D190,10)="Finalizado")</formula>
    </cfRule>
  </conditionalFormatting>
  <conditionalFormatting sqref="A190:N190">
    <cfRule type="expression" dxfId="4" priority="156">
      <formula>AND($M190="Pendente",LEFT($D190,10)&lt;&gt;"Finalizado")</formula>
    </cfRule>
  </conditionalFormatting>
  <conditionalFormatting sqref="A191:N191">
    <cfRule type="expression" dxfId="3" priority="157">
      <formula>OR($M191="Finalizado",$M191="Validado",LEFT($D191,10)="Finalizado")</formula>
    </cfRule>
  </conditionalFormatting>
  <conditionalFormatting sqref="A191:N191">
    <cfRule type="expression" dxfId="4" priority="158">
      <formula>AND($M191="Pendente",LEFT($D191,10)&lt;&gt;"Finalizado")</formula>
    </cfRule>
  </conditionalFormatting>
  <conditionalFormatting sqref="A192:N192">
    <cfRule type="expression" dxfId="3" priority="159">
      <formula>OR($M192="Finalizado",$M192="Validado",LEFT($D192,10)="Finalizado")</formula>
    </cfRule>
  </conditionalFormatting>
  <conditionalFormatting sqref="A192:N192">
    <cfRule type="expression" dxfId="4" priority="160">
      <formula>AND($M192="Pendente",LEFT($D192,10)&lt;&gt;"Finalizado")</formula>
    </cfRule>
  </conditionalFormatting>
  <conditionalFormatting sqref="A193:N193">
    <cfRule type="expression" dxfId="3" priority="161">
      <formula>OR($M193="Finalizado",$M193="Validado",LEFT($D193,10)="Finalizado")</formula>
    </cfRule>
  </conditionalFormatting>
  <conditionalFormatting sqref="A193:N193">
    <cfRule type="expression" dxfId="4" priority="162">
      <formula>AND($M193="Pendente",LEFT($D193,10)&lt;&gt;"Finalizado")</formula>
    </cfRule>
  </conditionalFormatting>
  <conditionalFormatting sqref="A194:N194">
    <cfRule type="expression" dxfId="3" priority="163">
      <formula>OR($M194="Finalizado",$M194="Validado",LEFT($D194,10)="Finalizado")</formula>
    </cfRule>
  </conditionalFormatting>
  <conditionalFormatting sqref="A194:N194">
    <cfRule type="expression" dxfId="4" priority="164">
      <formula>AND($M194="Pendente",LEFT($D194,10)&lt;&gt;"Finalizado")</formula>
    </cfRule>
  </conditionalFormatting>
  <conditionalFormatting sqref="A195:N195">
    <cfRule type="expression" dxfId="3" priority="165">
      <formula>OR($M195="Finalizado",$M195="Validado",LEFT($D195,10)="Finalizado")</formula>
    </cfRule>
  </conditionalFormatting>
  <conditionalFormatting sqref="A195:N195">
    <cfRule type="expression" dxfId="4" priority="166">
      <formula>AND($M195="Pendente",LEFT($D195,10)&lt;&gt;"Finalizado")</formula>
    </cfRule>
  </conditionalFormatting>
  <conditionalFormatting sqref="A196:N196">
    <cfRule type="expression" dxfId="3" priority="167">
      <formula>OR($M196="Finalizado",$M196="Validado",LEFT($D196,10)="Finalizado")</formula>
    </cfRule>
  </conditionalFormatting>
  <conditionalFormatting sqref="A196:N196">
    <cfRule type="expression" dxfId="4" priority="168">
      <formula>AND($M196="Pendente",LEFT($D196,10)&lt;&gt;"Finalizado")</formula>
    </cfRule>
  </conditionalFormatting>
  <conditionalFormatting sqref="A197:N197">
    <cfRule type="expression" dxfId="3" priority="169">
      <formula>OR($M197="Finalizado",$M197="Validado",LEFT($D197,10)="Finalizado")</formula>
    </cfRule>
  </conditionalFormatting>
  <conditionalFormatting sqref="A197:N197">
    <cfRule type="expression" dxfId="4" priority="170">
      <formula>AND($M197="Pendente",LEFT($D197,10)&lt;&gt;"Finalizado")</formula>
    </cfRule>
  </conditionalFormatting>
  <conditionalFormatting sqref="A198:N198">
    <cfRule type="expression" dxfId="3" priority="171">
      <formula>OR($M198="Finalizado",$M198="Validado",LEFT($D198,10)="Finalizado")</formula>
    </cfRule>
  </conditionalFormatting>
  <conditionalFormatting sqref="A198:N198">
    <cfRule type="expression" dxfId="4" priority="172">
      <formula>AND($M198="Pendente",LEFT($D198,10)&lt;&gt;"Finalizado")</formula>
    </cfRule>
  </conditionalFormatting>
  <conditionalFormatting sqref="A199:N199">
    <cfRule type="expression" dxfId="3" priority="173">
      <formula>OR($M199="Finalizado",$M199="Validado",LEFT($D199,10)="Finalizado")</formula>
    </cfRule>
  </conditionalFormatting>
  <conditionalFormatting sqref="A199:N199">
    <cfRule type="expression" dxfId="4" priority="174">
      <formula>AND($M199="Pendente",LEFT($D199,10)&lt;&gt;"Finalizado")</formula>
    </cfRule>
  </conditionalFormatting>
  <conditionalFormatting sqref="A200:N200">
    <cfRule type="expression" dxfId="3" priority="175">
      <formula>OR($M200="Finalizado",$M200="Validado",LEFT($D200,10)="Finalizado")</formula>
    </cfRule>
  </conditionalFormatting>
  <conditionalFormatting sqref="A200:N200">
    <cfRule type="expression" dxfId="4" priority="176">
      <formula>AND($M200="Pendente",LEFT($D200,10)&lt;&gt;"Finalizado")</formula>
    </cfRule>
  </conditionalFormatting>
  <conditionalFormatting sqref="A201:N201">
    <cfRule type="expression" dxfId="3" priority="177">
      <formula>OR($M201="Finalizado",$M201="Validado",LEFT($D201,10)="Finalizado")</formula>
    </cfRule>
  </conditionalFormatting>
  <conditionalFormatting sqref="A201:N201">
    <cfRule type="expression" dxfId="4" priority="178">
      <formula>AND($M201="Pendente",LEFT($D201,10)&lt;&gt;"Finalizado")</formula>
    </cfRule>
  </conditionalFormatting>
  <conditionalFormatting sqref="A202:N202">
    <cfRule type="expression" dxfId="3" priority="179">
      <formula>OR($M202="Finalizado",$M202="Validado",LEFT($D202,10)="Finalizado")</formula>
    </cfRule>
  </conditionalFormatting>
  <conditionalFormatting sqref="A202:N202">
    <cfRule type="expression" dxfId="4" priority="180">
      <formula>AND($M202="Pendente",LEFT($D202,10)&lt;&gt;"Finalizado")</formula>
    </cfRule>
  </conditionalFormatting>
  <conditionalFormatting sqref="A203:N203">
    <cfRule type="expression" dxfId="3" priority="181">
      <formula>OR($M203="Finalizado",$M203="Validado",LEFT($D203,10)="Finalizado")</formula>
    </cfRule>
  </conditionalFormatting>
  <conditionalFormatting sqref="A203:N203">
    <cfRule type="expression" dxfId="4" priority="182">
      <formula>AND($M203="Pendente",LEFT($D203,10)&lt;&gt;"Finalizado")</formula>
    </cfRule>
  </conditionalFormatting>
  <conditionalFormatting sqref="A204:N204">
    <cfRule type="expression" dxfId="3" priority="183">
      <formula>OR($M204="Finalizado",$M204="Validado",LEFT($D204,10)="Finalizado")</formula>
    </cfRule>
  </conditionalFormatting>
  <conditionalFormatting sqref="A204:N204">
    <cfRule type="expression" dxfId="4" priority="184">
      <formula>AND($M204="Pendente",LEFT($D204,10)&lt;&gt;"Finalizado")</formula>
    </cfRule>
  </conditionalFormatting>
  <conditionalFormatting sqref="A205:N205">
    <cfRule type="expression" dxfId="3" priority="185">
      <formula>OR($M205="Finalizado",$M205="Validado",LEFT($D205,10)="Finalizado")</formula>
    </cfRule>
  </conditionalFormatting>
  <conditionalFormatting sqref="A205:N205">
    <cfRule type="expression" dxfId="4" priority="186">
      <formula>AND($M205="Pendente",LEFT($D205,10)&lt;&gt;"Finalizado")</formula>
    </cfRule>
  </conditionalFormatting>
  <conditionalFormatting sqref="A206:N206">
    <cfRule type="expression" dxfId="3" priority="187">
      <formula>OR($M206="Finalizado",$M206="Validado",LEFT($D206,10)="Finalizado")</formula>
    </cfRule>
  </conditionalFormatting>
  <conditionalFormatting sqref="A206:N206">
    <cfRule type="expression" dxfId="4" priority="188">
      <formula>AND($M206="Pendente",LEFT($D206,10)&lt;&gt;"Finalizado")</formula>
    </cfRule>
  </conditionalFormatting>
  <conditionalFormatting sqref="A207:N207">
    <cfRule type="expression" dxfId="3" priority="189">
      <formula>OR($M207="Finalizado",$M207="Validado",LEFT($D207,10)="Finalizado")</formula>
    </cfRule>
  </conditionalFormatting>
  <conditionalFormatting sqref="A207:N207">
    <cfRule type="expression" dxfId="4" priority="190">
      <formula>AND($M207="Pendente",LEFT($D207,10)&lt;&gt;"Finalizado")</formula>
    </cfRule>
  </conditionalFormatting>
  <conditionalFormatting sqref="A208:N208">
    <cfRule type="expression" dxfId="3" priority="191">
      <formula>OR($M208="Finalizado",$M208="Validado",LEFT($D208,10)="Finalizado")</formula>
    </cfRule>
  </conditionalFormatting>
  <conditionalFormatting sqref="A208:N208">
    <cfRule type="expression" dxfId="4" priority="192">
      <formula>AND($M208="Pendente",LEFT($D208,10)&lt;&gt;"Finalizado")</formula>
    </cfRule>
  </conditionalFormatting>
  <conditionalFormatting sqref="A209:N209">
    <cfRule type="expression" dxfId="3" priority="193">
      <formula>OR($M209="Finalizado",$M209="Validado",LEFT($D209,10)="Finalizado")</formula>
    </cfRule>
  </conditionalFormatting>
  <conditionalFormatting sqref="A209:N209">
    <cfRule type="expression" dxfId="4" priority="194">
      <formula>AND($M209="Pendente",LEFT($D209,10)&lt;&gt;"Finalizado")</formula>
    </cfRule>
  </conditionalFormatting>
  <conditionalFormatting sqref="A210:N210">
    <cfRule type="expression" dxfId="3" priority="195">
      <formula>OR($M210="Finalizado",$M210="Validado",LEFT($D210,10)="Finalizado")</formula>
    </cfRule>
  </conditionalFormatting>
  <conditionalFormatting sqref="A210:N210">
    <cfRule type="expression" dxfId="4" priority="196">
      <formula>AND($M210="Pendente",LEFT($D210,10)&lt;&gt;"Finalizado")</formula>
    </cfRule>
  </conditionalFormatting>
  <conditionalFormatting sqref="A211:N211">
    <cfRule type="expression" dxfId="3" priority="197">
      <formula>OR($M211="Finalizado",$M211="Validado",LEFT($D211,10)="Finalizado")</formula>
    </cfRule>
  </conditionalFormatting>
  <conditionalFormatting sqref="A211:N211">
    <cfRule type="expression" dxfId="4" priority="198">
      <formula>AND($M211="Pendente",LEFT($D211,10)&lt;&gt;"Finalizado")</formula>
    </cfRule>
  </conditionalFormatting>
  <conditionalFormatting sqref="A212:N212">
    <cfRule type="expression" dxfId="3" priority="199">
      <formula>OR($M212="Finalizado",$M212="Validado",LEFT($D212,10)="Finalizado")</formula>
    </cfRule>
  </conditionalFormatting>
  <conditionalFormatting sqref="A212:N212">
    <cfRule type="expression" dxfId="4" priority="200">
      <formula>AND($M212="Pendente",LEFT($D212,10)&lt;&gt;"Finalizado")</formula>
    </cfRule>
  </conditionalFormatting>
  <conditionalFormatting sqref="A213:N213">
    <cfRule type="expression" dxfId="3" priority="201">
      <formula>OR($M213="Finalizado",$M213="Validado",LEFT($D213,10)="Finalizado")</formula>
    </cfRule>
  </conditionalFormatting>
  <conditionalFormatting sqref="A213:N213">
    <cfRule type="expression" dxfId="4" priority="202">
      <formula>AND($M213="Pendente",LEFT($D213,10)&lt;&gt;"Finalizado")</formula>
    </cfRule>
  </conditionalFormatting>
  <conditionalFormatting sqref="A218:N218">
    <cfRule type="expression" dxfId="3" priority="203">
      <formula>OR($M218="Finalizado",$M218="Validado",LEFT($D218,10)="Finalizado")</formula>
    </cfRule>
  </conditionalFormatting>
  <conditionalFormatting sqref="A218:N218">
    <cfRule type="expression" dxfId="4" priority="204">
      <formula>AND($M218="Pendente",LEFT($D218,10)&lt;&gt;"Finalizado")</formula>
    </cfRule>
  </conditionalFormatting>
  <conditionalFormatting sqref="A219:N219">
    <cfRule type="expression" dxfId="3" priority="205">
      <formula>OR($M219="Finalizado",$M219="Validado",LEFT($D219,10)="Finalizado")</formula>
    </cfRule>
  </conditionalFormatting>
  <conditionalFormatting sqref="A219:N219">
    <cfRule type="expression" dxfId="4" priority="206">
      <formula>AND($M219="Pendente",LEFT($D219,10)&lt;&gt;"Finalizado")</formula>
    </cfRule>
  </conditionalFormatting>
  <conditionalFormatting sqref="A220:N220">
    <cfRule type="expression" dxfId="3" priority="207">
      <formula>OR($M220="Finalizado",$M220="Validado",LEFT($D220,10)="Finalizado")</formula>
    </cfRule>
  </conditionalFormatting>
  <conditionalFormatting sqref="A220:N220">
    <cfRule type="expression" dxfId="4" priority="208">
      <formula>AND($M220="Pendente",LEFT($D220,10)&lt;&gt;"Finalizado")</formula>
    </cfRule>
  </conditionalFormatting>
  <conditionalFormatting sqref="A221:N221">
    <cfRule type="expression" dxfId="3" priority="209">
      <formula>OR($M221="Finalizado",$M221="Validado",LEFT($D221,10)="Finalizado")</formula>
    </cfRule>
  </conditionalFormatting>
  <conditionalFormatting sqref="A221:N221">
    <cfRule type="expression" dxfId="4" priority="210">
      <formula>AND($M221="Pendente",LEFT($D221,10)&lt;&gt;"Finalizado")</formula>
    </cfRule>
  </conditionalFormatting>
  <conditionalFormatting sqref="A222:N222">
    <cfRule type="expression" dxfId="3" priority="211">
      <formula>OR($M222="Finalizado",$M222="Validado",LEFT($D222,10)="Finalizado")</formula>
    </cfRule>
  </conditionalFormatting>
  <conditionalFormatting sqref="A222:N222">
    <cfRule type="expression" dxfId="4" priority="212">
      <formula>AND($M222="Pendente",LEFT($D222,10)&lt;&gt;"Finalizado")</formula>
    </cfRule>
  </conditionalFormatting>
  <conditionalFormatting sqref="A223:N223">
    <cfRule type="expression" dxfId="3" priority="213">
      <formula>OR($M223="Finalizado",$M223="Validado",LEFT($D223,10)="Finalizado")</formula>
    </cfRule>
  </conditionalFormatting>
  <conditionalFormatting sqref="A223:N223">
    <cfRule type="expression" dxfId="4" priority="214">
      <formula>AND($M223="Pendente",LEFT($D223,10)&lt;&gt;"Finalizado")</formula>
    </cfRule>
  </conditionalFormatting>
  <conditionalFormatting sqref="A224:N224">
    <cfRule type="expression" dxfId="3" priority="215">
      <formula>OR($M224="Finalizado",$M224="Validado",LEFT($D224,10)="Finalizado")</formula>
    </cfRule>
  </conditionalFormatting>
  <conditionalFormatting sqref="A224:N224">
    <cfRule type="expression" dxfId="4" priority="216">
      <formula>AND($M224="Pendente",LEFT($D224,10)&lt;&gt;"Finalizado")</formula>
    </cfRule>
  </conditionalFormatting>
  <conditionalFormatting sqref="A225:N225">
    <cfRule type="expression" dxfId="3" priority="217">
      <formula>OR($M225="Finalizado",$M225="Validado",LEFT($D225,10)="Finalizado")</formula>
    </cfRule>
  </conditionalFormatting>
  <conditionalFormatting sqref="A225:N225">
    <cfRule type="expression" dxfId="4" priority="218">
      <formula>AND($M225="Pendente",LEFT($D225,10)&lt;&gt;"Finalizado")</formula>
    </cfRule>
  </conditionalFormatting>
  <conditionalFormatting sqref="A226:N226">
    <cfRule type="expression" dxfId="3" priority="219">
      <formula>OR($M226="Finalizado",$M226="Validado",LEFT($D226,10)="Finalizado")</formula>
    </cfRule>
  </conditionalFormatting>
  <conditionalFormatting sqref="A226:N226">
    <cfRule type="expression" dxfId="4" priority="220">
      <formula>AND($M226="Pendente",LEFT($D226,10)&lt;&gt;"Finalizado")</formula>
    </cfRule>
  </conditionalFormatting>
  <conditionalFormatting sqref="A227:N227">
    <cfRule type="expression" dxfId="3" priority="221">
      <formula>OR($M227="Finalizado",$M227="Validado",LEFT($D227,10)="Finalizado")</formula>
    </cfRule>
  </conditionalFormatting>
  <conditionalFormatting sqref="A227:N227">
    <cfRule type="expression" dxfId="4" priority="222">
      <formula>AND($M227="Pendente",LEFT($D227,10)&lt;&gt;"Finalizado")</formula>
    </cfRule>
  </conditionalFormatting>
  <conditionalFormatting sqref="A228:N228">
    <cfRule type="expression" dxfId="3" priority="223">
      <formula>OR($M228="Finalizado",$M228="Validado",LEFT($D228,10)="Finalizado")</formula>
    </cfRule>
  </conditionalFormatting>
  <conditionalFormatting sqref="A228:N228">
    <cfRule type="expression" dxfId="4" priority="224">
      <formula>AND($M228="Pendente",LEFT($D228,10)&lt;&gt;"Finalizado")</formula>
    </cfRule>
  </conditionalFormatting>
  <conditionalFormatting sqref="A229:N229">
    <cfRule type="expression" dxfId="3" priority="225">
      <formula>OR($M229="Finalizado",$M229="Validado",LEFT($D229,10)="Finalizado")</formula>
    </cfRule>
  </conditionalFormatting>
  <conditionalFormatting sqref="A229:N229">
    <cfRule type="expression" dxfId="4" priority="226">
      <formula>AND($M229="Pendente",LEFT($D229,10)&lt;&gt;"Finalizado")</formula>
    </cfRule>
  </conditionalFormatting>
  <conditionalFormatting sqref="A234:N234">
    <cfRule type="expression" dxfId="3" priority="227">
      <formula>OR($M234="Validado",$M234="Finalizado",LEFT($D234,10)="Finalizado")</formula>
    </cfRule>
  </conditionalFormatting>
  <conditionalFormatting sqref="A234:N234">
    <cfRule type="expression" dxfId="4" priority="228">
      <formula>AND($M234="Pendente",LEFT($D234,10)&lt;&gt;"Finalizado")</formula>
    </cfRule>
  </conditionalFormatting>
  <conditionalFormatting sqref="A235:N235">
    <cfRule type="expression" dxfId="3" priority="229">
      <formula>OR($M235="Validado",$M235="Finalizado",LEFT($D235,10)="Finalizado")</formula>
    </cfRule>
  </conditionalFormatting>
  <conditionalFormatting sqref="A235:N235">
    <cfRule type="expression" dxfId="4" priority="230">
      <formula>AND($M235="Pendente",LEFT($D235,10)&lt;&gt;"Finalizado")</formula>
    </cfRule>
  </conditionalFormatting>
  <conditionalFormatting sqref="A236:N236">
    <cfRule type="expression" dxfId="3" priority="231">
      <formula>OR($M236="Validado",$M236="Finalizado",LEFT($D236,10)="Finalizado")</formula>
    </cfRule>
  </conditionalFormatting>
  <conditionalFormatting sqref="A236:N236">
    <cfRule type="expression" dxfId="4" priority="232">
      <formula>AND($M236="Pendente",LEFT($D236,10)&lt;&gt;"Finalizado")</formula>
    </cfRule>
  </conditionalFormatting>
  <conditionalFormatting sqref="A237:N237">
    <cfRule type="expression" dxfId="3" priority="233">
      <formula>OR($M237="Validado",$M237="Finalizado",LEFT($D237,10)="Finalizado")</formula>
    </cfRule>
  </conditionalFormatting>
  <conditionalFormatting sqref="A237:N237">
    <cfRule type="expression" dxfId="4" priority="234">
      <formula>AND($M237="Pendente",LEFT($D237,10)&lt;&gt;"Finalizado")</formula>
    </cfRule>
  </conditionalFormatting>
  <conditionalFormatting sqref="A238:N238">
    <cfRule type="expression" dxfId="3" priority="235">
      <formula>OR($M238="Validado",$M238="Finalizado",LEFT($D238,10)="Finalizado")</formula>
    </cfRule>
  </conditionalFormatting>
  <conditionalFormatting sqref="A238:N238">
    <cfRule type="expression" dxfId="4" priority="236">
      <formula>AND($M238="Pendente",LEFT($D238,10)&lt;&gt;"Finalizado")</formula>
    </cfRule>
  </conditionalFormatting>
  <conditionalFormatting sqref="A239:N239">
    <cfRule type="expression" dxfId="3" priority="237">
      <formula>OR($M239="Validado",$M239="Finalizado",LEFT($D239,10)="Finalizado")</formula>
    </cfRule>
  </conditionalFormatting>
  <conditionalFormatting sqref="A239:N239">
    <cfRule type="expression" dxfId="4" priority="238">
      <formula>AND($M239="Pendente",LEFT($D239,10)&lt;&gt;"Finalizado")</formula>
    </cfRule>
  </conditionalFormatting>
  <conditionalFormatting sqref="A240:N240">
    <cfRule type="expression" dxfId="3" priority="239">
      <formula>OR($M240="Validado",$M240="Finalizado",LEFT($D240,10)="Finalizado")</formula>
    </cfRule>
  </conditionalFormatting>
  <conditionalFormatting sqref="A240:N240">
    <cfRule type="expression" dxfId="4" priority="240">
      <formula>AND($M240="Pendente",LEFT($D240,10)&lt;&gt;"Finalizado")</formula>
    </cfRule>
  </conditionalFormatting>
  <conditionalFormatting sqref="A241:N241">
    <cfRule type="expression" dxfId="3" priority="241">
      <formula>OR($M241="Validado",$M241="Finalizado",LEFT($D241,10)="Finalizado")</formula>
    </cfRule>
  </conditionalFormatting>
  <conditionalFormatting sqref="A241:N241">
    <cfRule type="expression" dxfId="4" priority="242">
      <formula>AND($M241="Pendente",LEFT($D241,10)&lt;&gt;"Finalizado")</formula>
    </cfRule>
  </conditionalFormatting>
  <conditionalFormatting sqref="A242:N242">
    <cfRule type="expression" dxfId="3" priority="243">
      <formula>OR($M242="Validado",$M242="Finalizado",LEFT($D242,10)="Finalizado")</formula>
    </cfRule>
  </conditionalFormatting>
  <conditionalFormatting sqref="A242:N242">
    <cfRule type="expression" dxfId="4" priority="244">
      <formula>AND($M242="Pendente",LEFT($D242,10)&lt;&gt;"Finalizado")</formula>
    </cfRule>
  </conditionalFormatting>
  <conditionalFormatting sqref="A243:N243">
    <cfRule type="expression" dxfId="3" priority="245">
      <formula>OR($M243="Validado",$M243="Finalizado",LEFT($D243,10)="Finalizado")</formula>
    </cfRule>
  </conditionalFormatting>
  <conditionalFormatting sqref="A243:N243">
    <cfRule type="expression" dxfId="4" priority="246">
      <formula>AND($M243="Pendente",LEFT($D243,10)&lt;&gt;"Finalizado")</formula>
    </cfRule>
  </conditionalFormatting>
  <conditionalFormatting sqref="A244:N244">
    <cfRule type="expression" dxfId="3" priority="247">
      <formula>OR($M244="Validado",$M244="Finalizado",LEFT($D244,10)="Finalizado")</formula>
    </cfRule>
  </conditionalFormatting>
  <conditionalFormatting sqref="A244:N244">
    <cfRule type="expression" dxfId="4" priority="248">
      <formula>AND($M244="Pendente",LEFT($D244,10)&lt;&gt;"Finalizado")</formula>
    </cfRule>
  </conditionalFormatting>
  <conditionalFormatting sqref="A245:N245">
    <cfRule type="expression" dxfId="3" priority="249">
      <formula>OR($M245="Validado",$M245="Finalizado",LEFT($D245,10)="Finalizado")</formula>
    </cfRule>
  </conditionalFormatting>
  <conditionalFormatting sqref="A245:N245">
    <cfRule type="expression" dxfId="4" priority="250">
      <formula>AND($M245="Pendente",LEFT($D245,10)&lt;&gt;"Finalizado")</formula>
    </cfRule>
  </conditionalFormatting>
  <conditionalFormatting sqref="A246:N246">
    <cfRule type="expression" dxfId="3" priority="251">
      <formula>OR($M246="Validado",$M246="Finalizado",LEFT($D246,10)="Finalizado")</formula>
    </cfRule>
  </conditionalFormatting>
  <conditionalFormatting sqref="A246:N246">
    <cfRule type="expression" dxfId="4" priority="252">
      <formula>AND($M246="Pendente",LEFT($D246,10)&lt;&gt;"Finalizado")</formula>
    </cfRule>
  </conditionalFormatting>
  <conditionalFormatting sqref="A247:N247">
    <cfRule type="expression" dxfId="3" priority="253">
      <formula>OR($M247="Validado",$M247="Finalizado",LEFT($D247,10)="Finalizado")</formula>
    </cfRule>
  </conditionalFormatting>
  <conditionalFormatting sqref="A247:N247">
    <cfRule type="expression" dxfId="4" priority="254">
      <formula>AND($M247="Pendente",LEFT($D247,10)&lt;&gt;"Finalizado")</formula>
    </cfRule>
  </conditionalFormatting>
  <conditionalFormatting sqref="A248:N248">
    <cfRule type="expression" dxfId="3" priority="255">
      <formula>OR($M248="Validado",$M248="Finalizado",LEFT($D248,10)="Finalizado")</formula>
    </cfRule>
  </conditionalFormatting>
  <conditionalFormatting sqref="A248:N248">
    <cfRule type="expression" dxfId="4" priority="256">
      <formula>AND($M248="Pendente",LEFT($D248,10)&lt;&gt;"Finalizado")</formula>
    </cfRule>
  </conditionalFormatting>
  <conditionalFormatting sqref="A249:N249">
    <cfRule type="expression" dxfId="3" priority="257">
      <formula>OR($M249="Validado",$M249="Finalizado",LEFT($D249,10)="Finalizado")</formula>
    </cfRule>
  </conditionalFormatting>
  <conditionalFormatting sqref="A249:N249">
    <cfRule type="expression" dxfId="4" priority="258">
      <formula>AND($M249="Pendente",LEFT($D249,10)&lt;&gt;"Finalizado")</formula>
    </cfRule>
  </conditionalFormatting>
  <conditionalFormatting sqref="A250:N250">
    <cfRule type="expression" dxfId="3" priority="259">
      <formula>OR($M250="Validado",$M250="Finalizado",LEFT($D250,10)="Finalizado")</formula>
    </cfRule>
  </conditionalFormatting>
  <conditionalFormatting sqref="A250:N250">
    <cfRule type="expression" dxfId="4" priority="260">
      <formula>AND($M250="Pendente",LEFT($D250,10)&lt;&gt;"Finalizado")</formula>
    </cfRule>
  </conditionalFormatting>
  <conditionalFormatting sqref="A251:N251">
    <cfRule type="expression" dxfId="3" priority="261">
      <formula>OR($M251="Validado",$M251="Finalizado",LEFT($D251,10)="Finalizado")</formula>
    </cfRule>
  </conditionalFormatting>
  <conditionalFormatting sqref="A251:N251">
    <cfRule type="expression" dxfId="4" priority="262">
      <formula>AND($M251="Pendente",LEFT($D251,10)&lt;&gt;"Finalizado")</formula>
    </cfRule>
  </conditionalFormatting>
  <conditionalFormatting sqref="A252:N252">
    <cfRule type="expression" dxfId="3" priority="263">
      <formula>OR($M252="Validado",$M252="Finalizado",LEFT($D252,10)="Finalizado")</formula>
    </cfRule>
  </conditionalFormatting>
  <conditionalFormatting sqref="A252:N252">
    <cfRule type="expression" dxfId="4" priority="264">
      <formula>AND($M252="Pendente",LEFT($D252,10)&lt;&gt;"Finalizado")</formula>
    </cfRule>
  </conditionalFormatting>
  <conditionalFormatting sqref="A253:N253">
    <cfRule type="expression" dxfId="3" priority="265">
      <formula>OR($M253="Validado",$M253="Finalizado",LEFT($D253,10)="Finalizado")</formula>
    </cfRule>
  </conditionalFormatting>
  <conditionalFormatting sqref="A253:N253">
    <cfRule type="expression" dxfId="4" priority="266">
      <formula>AND($M253="Pendente",LEFT($D253,10)&lt;&gt;"Finalizado")</formula>
    </cfRule>
  </conditionalFormatting>
  <conditionalFormatting sqref="A254:N254">
    <cfRule type="expression" dxfId="3" priority="267">
      <formula>OR($M254="Validado",$M254="Finalizado",LEFT($D254,10)="Finalizado")</formula>
    </cfRule>
  </conditionalFormatting>
  <conditionalFormatting sqref="A254:N254">
    <cfRule type="expression" dxfId="4" priority="268">
      <formula>AND($M254="Pendente",LEFT($D254,10)&lt;&gt;"Finalizado")</formula>
    </cfRule>
  </conditionalFormatting>
  <conditionalFormatting sqref="A259:N259">
    <cfRule type="expression" dxfId="3" priority="269">
      <formula>OR($M259="Validado",$M259="Finalizado",LEFT($D259,10)="Finalizado")</formula>
    </cfRule>
  </conditionalFormatting>
  <conditionalFormatting sqref="A259:N259">
    <cfRule type="expression" dxfId="4" priority="270">
      <formula>AND($M259="Pendente",LEFT($D259,10)&lt;&gt;"Finalizado")</formula>
    </cfRule>
  </conditionalFormatting>
  <conditionalFormatting sqref="A264:N264">
    <cfRule type="expression" dxfId="3" priority="271">
      <formula>OR($M264="Validado",$M264="Finalizado",LEFT($D264,10)="Finalizado")</formula>
    </cfRule>
  </conditionalFormatting>
  <conditionalFormatting sqref="A264:N264">
    <cfRule type="expression" dxfId="4" priority="272">
      <formula>AND($M264="Pendente",LEFT($D264,10)&lt;&gt;"Finalizado")</formula>
    </cfRule>
  </conditionalFormatting>
  <conditionalFormatting sqref="A265:N265">
    <cfRule type="expression" dxfId="3" priority="273">
      <formula>OR($M265="Validado",$M265="Finalizado",LEFT($D265,10)="Finalizado")</formula>
    </cfRule>
  </conditionalFormatting>
  <conditionalFormatting sqref="A265:N265">
    <cfRule type="expression" dxfId="4" priority="274">
      <formula>AND($M265="Pendente",LEFT($D265,10)&lt;&gt;"Finalizado")</formula>
    </cfRule>
  </conditionalFormatting>
  <conditionalFormatting sqref="A266:N266">
    <cfRule type="expression" dxfId="3" priority="275">
      <formula>OR($M266="Validado",$M266="Finalizado",LEFT($D266,10)="Finalizado")</formula>
    </cfRule>
  </conditionalFormatting>
  <conditionalFormatting sqref="A266:N266">
    <cfRule type="expression" dxfId="4" priority="276">
      <formula>AND($M266="Pendente",LEFT($D266,10)&lt;&gt;"Finalizado")</formula>
    </cfRule>
  </conditionalFormatting>
  <conditionalFormatting sqref="A267:N267">
    <cfRule type="expression" dxfId="3" priority="277">
      <formula>OR($M267="Validado",$M267="Finalizado",LEFT($D267,10)="Finalizado")</formula>
    </cfRule>
  </conditionalFormatting>
  <conditionalFormatting sqref="A267:N267">
    <cfRule type="expression" dxfId="4" priority="278">
      <formula>AND($M267="Pendente",LEFT($D267,10)&lt;&gt;"Finalizado")</formula>
    </cfRule>
  </conditionalFormatting>
  <conditionalFormatting sqref="A268:N268">
    <cfRule type="expression" dxfId="3" priority="279">
      <formula>OR($M268="Validado",$M268="Finalizado",LEFT($D268,10)="Finalizado")</formula>
    </cfRule>
  </conditionalFormatting>
  <conditionalFormatting sqref="A268:N268">
    <cfRule type="expression" dxfId="4" priority="280">
      <formula>AND($M268="Pendente",LEFT($D268,10)&lt;&gt;"Finalizado")</formula>
    </cfRule>
  </conditionalFormatting>
  <conditionalFormatting sqref="A269:N269">
    <cfRule type="expression" dxfId="3" priority="281">
      <formula>OR($M269="Validado",$M269="Finalizado",LEFT($D269,10)="Finalizado")</formula>
    </cfRule>
  </conditionalFormatting>
  <conditionalFormatting sqref="A269:N269">
    <cfRule type="expression" dxfId="4" priority="282">
      <formula>AND($M269="Pendente",LEFT($D269,10)&lt;&gt;"Finalizado")</formula>
    </cfRule>
  </conditionalFormatting>
  <conditionalFormatting sqref="A270:N270">
    <cfRule type="expression" dxfId="3" priority="283">
      <formula>OR($M270="Validado",$M270="Finalizado",LEFT($D270,10)="Finalizado")</formula>
    </cfRule>
  </conditionalFormatting>
  <conditionalFormatting sqref="A270:N270">
    <cfRule type="expression" dxfId="4" priority="284">
      <formula>AND($M270="Pendente",LEFT($D270,10)&lt;&gt;"Finalizado")</formula>
    </cfRule>
  </conditionalFormatting>
  <conditionalFormatting sqref="A271:N271">
    <cfRule type="expression" dxfId="3" priority="285">
      <formula>OR($M271="Validado",$M271="Finalizado",LEFT($D271,10)="Finalizado")</formula>
    </cfRule>
  </conditionalFormatting>
  <conditionalFormatting sqref="A271:N271">
    <cfRule type="expression" dxfId="4" priority="286">
      <formula>AND($M271="Pendente",LEFT($D271,10)&lt;&gt;"Finalizado")</formula>
    </cfRule>
  </conditionalFormatting>
  <conditionalFormatting sqref="A272:N272">
    <cfRule type="expression" dxfId="3" priority="287">
      <formula>OR($M272="Validado",$M272="Finalizado",LEFT($D272,10)="Finalizado")</formula>
    </cfRule>
  </conditionalFormatting>
  <conditionalFormatting sqref="A272:N272">
    <cfRule type="expression" dxfId="4" priority="288">
      <formula>AND($M272="Pendente",LEFT($D272,10)&lt;&gt;"Finalizado")</formula>
    </cfRule>
  </conditionalFormatting>
  <conditionalFormatting sqref="A273:N273">
    <cfRule type="expression" dxfId="3" priority="289">
      <formula>OR($M273="Validado",$M273="Finalizado",LEFT($D273,10)="Finalizado")</formula>
    </cfRule>
  </conditionalFormatting>
  <conditionalFormatting sqref="A273:N273">
    <cfRule type="expression" dxfId="4" priority="290">
      <formula>AND($M273="Pendente",LEFT($D273,10)&lt;&gt;"Finalizado")</formula>
    </cfRule>
  </conditionalFormatting>
  <conditionalFormatting sqref="A274:N274">
    <cfRule type="expression" dxfId="3" priority="291">
      <formula>OR($M274="Validado",$M274="Finalizado",LEFT($D274,10)="Finalizado")</formula>
    </cfRule>
  </conditionalFormatting>
  <conditionalFormatting sqref="A274:N274">
    <cfRule type="expression" dxfId="4" priority="292">
      <formula>AND($M274="Pendente",LEFT($D274,10)&lt;&gt;"Finalizado")</formula>
    </cfRule>
  </conditionalFormatting>
  <conditionalFormatting sqref="A275:N275">
    <cfRule type="expression" dxfId="3" priority="293">
      <formula>OR($M275="Validado",$M275="Finalizado",LEFT($D275,10)="Finalizado")</formula>
    </cfRule>
  </conditionalFormatting>
  <conditionalFormatting sqref="A275:N275">
    <cfRule type="expression" dxfId="4" priority="294">
      <formula>AND($M275="Pendente",LEFT($D275,10)&lt;&gt;"Finalizado")</formula>
    </cfRule>
  </conditionalFormatting>
  <conditionalFormatting sqref="A276:N276">
    <cfRule type="expression" dxfId="3" priority="295">
      <formula>OR($M276="Validado",$M276="Finalizado",LEFT($D276,10)="Finalizado")</formula>
    </cfRule>
  </conditionalFormatting>
  <conditionalFormatting sqref="A276:N276">
    <cfRule type="expression" dxfId="4" priority="296">
      <formula>AND($M276="Pendente",LEFT($D276,10)&lt;&gt;"Finalizado")</formula>
    </cfRule>
  </conditionalFormatting>
  <conditionalFormatting sqref="A277:N277">
    <cfRule type="expression" dxfId="3" priority="297">
      <formula>OR($M277="Validado",$M277="Finalizado",LEFT($D277,10)="Finalizado")</formula>
    </cfRule>
  </conditionalFormatting>
  <conditionalFormatting sqref="A277:N277">
    <cfRule type="expression" dxfId="4" priority="298">
      <formula>AND($M277="Pendente",LEFT($D277,10)&lt;&gt;"Finalizado")</formula>
    </cfRule>
  </conditionalFormatting>
  <conditionalFormatting sqref="A278:N278">
    <cfRule type="expression" dxfId="3" priority="299">
      <formula>OR($M278="Validado",$M278="Finalizado",LEFT($D278,10)="Finalizado")</formula>
    </cfRule>
  </conditionalFormatting>
  <conditionalFormatting sqref="A278:N278">
    <cfRule type="expression" dxfId="4" priority="300">
      <formula>AND($M278="Pendente",LEFT($D278,10)&lt;&gt;"Finalizado")</formula>
    </cfRule>
  </conditionalFormatting>
  <conditionalFormatting sqref="A279:N279">
    <cfRule type="expression" dxfId="3" priority="301">
      <formula>OR($M279="Validado",$M279="Finalizado",LEFT($D279,10)="Finalizado")</formula>
    </cfRule>
  </conditionalFormatting>
  <conditionalFormatting sqref="A279:N279">
    <cfRule type="expression" dxfId="4" priority="302">
      <formula>AND($M279="Pendente",LEFT($D279,10)&lt;&gt;"Finalizado")</formula>
    </cfRule>
  </conditionalFormatting>
  <conditionalFormatting sqref="A280:N280">
    <cfRule type="expression" dxfId="3" priority="303">
      <formula>OR($M280="Validado",$M280="Finalizado",LEFT($D280,10)="Finalizado")</formula>
    </cfRule>
  </conditionalFormatting>
  <conditionalFormatting sqref="A280:N280">
    <cfRule type="expression" dxfId="4" priority="304">
      <formula>AND($M280="Pendente",LEFT($D280,10)&lt;&gt;"Finalizado")</formula>
    </cfRule>
  </conditionalFormatting>
  <conditionalFormatting sqref="A281:N281">
    <cfRule type="expression" dxfId="3" priority="305">
      <formula>OR($M281="Validado",$M281="Finalizado",LEFT($D281,10)="Finalizado")</formula>
    </cfRule>
  </conditionalFormatting>
  <conditionalFormatting sqref="A281:N281">
    <cfRule type="expression" dxfId="4" priority="306">
      <formula>AND($M281="Pendente",LEFT($D281,10)&lt;&gt;"Finalizado")</formula>
    </cfRule>
  </conditionalFormatting>
  <conditionalFormatting sqref="A282:N282">
    <cfRule type="expression" dxfId="3" priority="307">
      <formula>OR($M282="Validado",$M282="Finalizado",LEFT($D282,10)="Finalizado")</formula>
    </cfRule>
  </conditionalFormatting>
  <conditionalFormatting sqref="A282:N282">
    <cfRule type="expression" dxfId="4" priority="308">
      <formula>AND($M282="Pendente",LEFT($D282,10)&lt;&gt;"Finalizado")</formula>
    </cfRule>
  </conditionalFormatting>
  <conditionalFormatting sqref="A283:N283">
    <cfRule type="expression" dxfId="3" priority="309">
      <formula>OR($M283="Validado",$M283="Finalizado",LEFT($D283,10)="Finalizado")</formula>
    </cfRule>
  </conditionalFormatting>
  <conditionalFormatting sqref="A283:N283">
    <cfRule type="expression" dxfId="4" priority="310">
      <formula>AND($M283="Pendente",LEFT($D283,10)&lt;&gt;"Finalizado")</formula>
    </cfRule>
  </conditionalFormatting>
  <conditionalFormatting sqref="A284:N284">
    <cfRule type="expression" dxfId="3" priority="311">
      <formula>OR($M284="Validado",$M284="Finalizado",LEFT($D284,10)="Finalizado")</formula>
    </cfRule>
  </conditionalFormatting>
  <conditionalFormatting sqref="A284:N284">
    <cfRule type="expression" dxfId="4" priority="312">
      <formula>AND($M284="Pendente",LEFT($D284,10)&lt;&gt;"Finalizado")</formula>
    </cfRule>
  </conditionalFormatting>
  <conditionalFormatting sqref="A285:N285">
    <cfRule type="expression" dxfId="3" priority="313">
      <formula>OR($M285="Validado",$M285="Finalizado",LEFT($D285,10)="Finalizado")</formula>
    </cfRule>
  </conditionalFormatting>
  <conditionalFormatting sqref="A285:N285">
    <cfRule type="expression" dxfId="4" priority="314">
      <formula>AND($M285="Pendente",LEFT($D285,10)&lt;&gt;"Finalizado")</formula>
    </cfRule>
  </conditionalFormatting>
  <conditionalFormatting sqref="A286:N286">
    <cfRule type="expression" dxfId="3" priority="315">
      <formula>OR($M286="Validado",$M286="Finalizado",LEFT($D286,10)="Finalizado")</formula>
    </cfRule>
  </conditionalFormatting>
  <conditionalFormatting sqref="A286:N286">
    <cfRule type="expression" dxfId="4" priority="316">
      <formula>AND($M286="Pendente",LEFT($D286,10)&lt;&gt;"Finalizado")</formula>
    </cfRule>
  </conditionalFormatting>
  <conditionalFormatting sqref="A287:N287">
    <cfRule type="expression" dxfId="3" priority="317">
      <formula>OR($M287="Validado",$M287="Finalizado",LEFT($D287,10)="Finalizado")</formula>
    </cfRule>
  </conditionalFormatting>
  <conditionalFormatting sqref="A287:N287">
    <cfRule type="expression" dxfId="4" priority="318">
      <formula>AND($M287="Pendente",LEFT($D287,10)&lt;&gt;"Finalizado")</formula>
    </cfRule>
  </conditionalFormatting>
  <conditionalFormatting sqref="A288:N288">
    <cfRule type="expression" dxfId="3" priority="319">
      <formula>OR($M288="Validado",$M288="Finalizado",LEFT($D288,10)="Finalizado")</formula>
    </cfRule>
  </conditionalFormatting>
  <conditionalFormatting sqref="A288:N288">
    <cfRule type="expression" dxfId="4" priority="320">
      <formula>AND($M288="Pendente",LEFT($D288,10)&lt;&gt;"Finalizado")</formula>
    </cfRule>
  </conditionalFormatting>
  <conditionalFormatting sqref="A293:N293">
    <cfRule type="expression" dxfId="3" priority="321">
      <formula>OR($M293="Validado",$M293="Finalizado",LEFT($D293,10)="Finalizado")</formula>
    </cfRule>
  </conditionalFormatting>
  <conditionalFormatting sqref="A293:N293">
    <cfRule type="expression" dxfId="4" priority="322">
      <formula>AND($M293="Pendente",LEFT($D293,10)&lt;&gt;"Finalizado")</formula>
    </cfRule>
  </conditionalFormatting>
  <conditionalFormatting sqref="A294:N294">
    <cfRule type="expression" dxfId="3" priority="323">
      <formula>OR($M294="Validado",$M294="Finalizado",LEFT($D294,10)="Finalizado")</formula>
    </cfRule>
  </conditionalFormatting>
  <conditionalFormatting sqref="A294:N294">
    <cfRule type="expression" dxfId="4" priority="324">
      <formula>AND($M294="Pendente",LEFT($D294,10)&lt;&gt;"Finalizado")</formula>
    </cfRule>
  </conditionalFormatting>
  <conditionalFormatting sqref="A295:N295">
    <cfRule type="expression" dxfId="3" priority="325">
      <formula>OR($M295="Validado",$M295="Finalizado",LEFT($D295,10)="Finalizado")</formula>
    </cfRule>
  </conditionalFormatting>
  <conditionalFormatting sqref="A295:N295">
    <cfRule type="expression" dxfId="4" priority="326">
      <formula>AND($M295="Pendente",LEFT($D295,10)&lt;&gt;"Finalizado")</formula>
    </cfRule>
  </conditionalFormatting>
  <conditionalFormatting sqref="A296:N296">
    <cfRule type="expression" dxfId="3" priority="327">
      <formula>OR($M296="Validado",$M296="Finalizado",LEFT($D296,10)="Finalizado")</formula>
    </cfRule>
  </conditionalFormatting>
  <conditionalFormatting sqref="A296:N296">
    <cfRule type="expression" dxfId="4" priority="328">
      <formula>AND($M296="Pendente",LEFT($D296,10)&lt;&gt;"Finalizado")</formula>
    </cfRule>
  </conditionalFormatting>
  <conditionalFormatting sqref="A297:N297">
    <cfRule type="expression" dxfId="3" priority="329">
      <formula>OR($M297="Validado",$M297="Finalizado",LEFT($D297,10)="Finalizado")</formula>
    </cfRule>
  </conditionalFormatting>
  <conditionalFormatting sqref="A297:N297">
    <cfRule type="expression" dxfId="4" priority="330">
      <formula>AND($M297="Pendente",LEFT($D297,10)&lt;&gt;"Finalizado")</formula>
    </cfRule>
  </conditionalFormatting>
  <conditionalFormatting sqref="A298:N298">
    <cfRule type="expression" dxfId="3" priority="331">
      <formula>OR($M298="Validado",$M298="Finalizado",LEFT($D298,10)="Finalizado")</formula>
    </cfRule>
  </conditionalFormatting>
  <conditionalFormatting sqref="A298:N298">
    <cfRule type="expression" dxfId="4" priority="332">
      <formula>AND($M298="Pendente",LEFT($D298,10)&lt;&gt;"Finalizado")</formula>
    </cfRule>
  </conditionalFormatting>
  <conditionalFormatting sqref="A299:N299">
    <cfRule type="expression" dxfId="3" priority="333">
      <formula>OR($M299="Validado",$M299="Finalizado",LEFT($D299,10)="Finalizado")</formula>
    </cfRule>
  </conditionalFormatting>
  <conditionalFormatting sqref="A299:N299">
    <cfRule type="expression" dxfId="4" priority="334">
      <formula>AND($M299="Pendente",LEFT($D299,10)&lt;&gt;"Finalizado")</formula>
    </cfRule>
  </conditionalFormatting>
  <conditionalFormatting sqref="A300:N300">
    <cfRule type="expression" dxfId="3" priority="335">
      <formula>OR($M300="Validado",$M300="Finalizado",LEFT($D300,10)="Finalizado")</formula>
    </cfRule>
  </conditionalFormatting>
  <conditionalFormatting sqref="A300:N300">
    <cfRule type="expression" dxfId="4" priority="336">
      <formula>AND($M300="Pendente",LEFT($D300,10)&lt;&gt;"Finalizado")</formula>
    </cfRule>
  </conditionalFormatting>
  <conditionalFormatting sqref="A301:N301">
    <cfRule type="expression" dxfId="3" priority="337">
      <formula>OR($M301="Validado",$M301="Finalizado",LEFT($D301,10)="Finalizado")</formula>
    </cfRule>
  </conditionalFormatting>
  <conditionalFormatting sqref="A301:N301">
    <cfRule type="expression" dxfId="4" priority="338">
      <formula>AND($M301="Pendente",LEFT($D301,10)&lt;&gt;"Finalizado")</formula>
    </cfRule>
  </conditionalFormatting>
  <conditionalFormatting sqref="A302:N302">
    <cfRule type="expression" dxfId="3" priority="339">
      <formula>OR($M302="Validado",$M302="Finalizado",LEFT($D302,10)="Finalizado")</formula>
    </cfRule>
  </conditionalFormatting>
  <conditionalFormatting sqref="A302:N302">
    <cfRule type="expression" dxfId="4" priority="340">
      <formula>AND($M302="Pendente",LEFT($D302,10)&lt;&gt;"Finalizado")</formula>
    </cfRule>
  </conditionalFormatting>
  <conditionalFormatting sqref="A307:N307">
    <cfRule type="expression" dxfId="3" priority="341">
      <formula>OR($M307="Validado",$M307="Finalizado",LEFT($D307,10)="Finalizado")</formula>
    </cfRule>
  </conditionalFormatting>
  <conditionalFormatting sqref="A307:N307">
    <cfRule type="expression" dxfId="4" priority="342">
      <formula>AND($M307="Pendente",LEFT($D307,10)&lt;&gt;"Finalizado")</formula>
    </cfRule>
  </conditionalFormatting>
  <conditionalFormatting sqref="A308:N308">
    <cfRule type="expression" dxfId="3" priority="343">
      <formula>OR($M308="Validado",$M308="Finalizado",LEFT($D308,10)="Finalizado")</formula>
    </cfRule>
  </conditionalFormatting>
  <conditionalFormatting sqref="A308:N308">
    <cfRule type="expression" dxfId="4" priority="344">
      <formula>AND($M308="Pendente",LEFT($D308,10)&lt;&gt;"Finalizado")</formula>
    </cfRule>
  </conditionalFormatting>
  <conditionalFormatting sqref="A309:N309">
    <cfRule type="expression" dxfId="3" priority="345">
      <formula>OR($M309="Validado",$M309="Finalizado",LEFT($D309,10)="Finalizado")</formula>
    </cfRule>
  </conditionalFormatting>
  <conditionalFormatting sqref="A309:N309">
    <cfRule type="expression" dxfId="4" priority="346">
      <formula>AND($M309="Pendente",LEFT($D309,10)&lt;&gt;"Finalizado")</formula>
    </cfRule>
  </conditionalFormatting>
  <conditionalFormatting sqref="A310:N310">
    <cfRule type="expression" dxfId="3" priority="347">
      <formula>OR($M310="Validado",$M310="Finalizado",LEFT($D310,10)="Finalizado")</formula>
    </cfRule>
  </conditionalFormatting>
  <conditionalFormatting sqref="A310:N310">
    <cfRule type="expression" dxfId="4" priority="348">
      <formula>AND($M310="Pendente",LEFT($D310,10)&lt;&gt;"Finalizado")</formula>
    </cfRule>
  </conditionalFormatting>
  <conditionalFormatting sqref="A311:N311">
    <cfRule type="expression" dxfId="3" priority="349">
      <formula>OR($M311="Validado",$M311="Finalizado",LEFT($D311,10)="Finalizado")</formula>
    </cfRule>
  </conditionalFormatting>
  <conditionalFormatting sqref="A311:N311">
    <cfRule type="expression" dxfId="4" priority="350">
      <formula>AND($M311="Pendente",LEFT($D311,10)&lt;&gt;"Finalizado")</formula>
    </cfRule>
  </conditionalFormatting>
  <conditionalFormatting sqref="A312:N312">
    <cfRule type="expression" dxfId="3" priority="351">
      <formula>OR($M312="Validado",$M312="Finalizado",LEFT($D312,10)="Finalizado")</formula>
    </cfRule>
  </conditionalFormatting>
  <conditionalFormatting sqref="A312:N312">
    <cfRule type="expression" dxfId="4" priority="352">
      <formula>AND($M312="Pendente",LEFT($D312,10)&lt;&gt;"Finalizado")</formula>
    </cfRule>
  </conditionalFormatting>
  <conditionalFormatting sqref="A313:N313">
    <cfRule type="expression" dxfId="3" priority="353">
      <formula>OR($M313="Validado",$M313="Finalizado",LEFT($D313,10)="Finalizado")</formula>
    </cfRule>
  </conditionalFormatting>
  <conditionalFormatting sqref="A313:N313">
    <cfRule type="expression" dxfId="4" priority="354">
      <formula>AND($M313="Pendente",LEFT($D313,10)&lt;&gt;"Finalizado")</formula>
    </cfRule>
  </conditionalFormatting>
  <conditionalFormatting sqref="A314:N314">
    <cfRule type="expression" dxfId="3" priority="355">
      <formula>OR($M314="Validado",$M314="Finalizado",LEFT($D314,10)="Finalizado")</formula>
    </cfRule>
  </conditionalFormatting>
  <conditionalFormatting sqref="A314:N314">
    <cfRule type="expression" dxfId="4" priority="356">
      <formula>AND($M314="Pendente",LEFT($D314,10)&lt;&gt;"Finalizado")</formula>
    </cfRule>
  </conditionalFormatting>
  <conditionalFormatting sqref="A315:N315">
    <cfRule type="expression" dxfId="3" priority="357">
      <formula>OR($M315="Validado",$M315="Finalizado",LEFT($D315,10)="Finalizado")</formula>
    </cfRule>
  </conditionalFormatting>
  <conditionalFormatting sqref="A315:N315">
    <cfRule type="expression" dxfId="4" priority="358">
      <formula>AND($M315="Pendente",LEFT($D315,10)&lt;&gt;"Finalizado")</formula>
    </cfRule>
  </conditionalFormatting>
  <conditionalFormatting sqref="A316:N316">
    <cfRule type="expression" dxfId="3" priority="359">
      <formula>OR($M316="Validado",$M316="Finalizado",LEFT($D316,10)="Finalizado")</formula>
    </cfRule>
  </conditionalFormatting>
  <conditionalFormatting sqref="A316:N316">
    <cfRule type="expression" dxfId="4" priority="360">
      <formula>AND($M316="Pendente",LEFT($D316,10)&lt;&gt;"Finalizado")</formula>
    </cfRule>
  </conditionalFormatting>
  <conditionalFormatting sqref="A317:N317">
    <cfRule type="expression" dxfId="3" priority="361">
      <formula>OR($M317="Validado",$M317="Finalizado",LEFT($D317,10)="Finalizado")</formula>
    </cfRule>
  </conditionalFormatting>
  <conditionalFormatting sqref="A317:N317">
    <cfRule type="expression" dxfId="4" priority="362">
      <formula>AND($M317="Pendente",LEFT($D317,10)&lt;&gt;"Finalizado")</formula>
    </cfRule>
  </conditionalFormatting>
  <conditionalFormatting sqref="A318:N318">
    <cfRule type="expression" dxfId="3" priority="363">
      <formula>OR($M318="Validado",$M318="Finalizado",LEFT($D318,10)="Finalizado")</formula>
    </cfRule>
  </conditionalFormatting>
  <conditionalFormatting sqref="A318:N318">
    <cfRule type="expression" dxfId="4" priority="364">
      <formula>AND($M318="Pendente",LEFT($D318,10)&lt;&gt;"Finalizado")</formula>
    </cfRule>
  </conditionalFormatting>
  <conditionalFormatting sqref="A319:N319">
    <cfRule type="expression" dxfId="3" priority="365">
      <formula>OR($M319="Validado",$M319="Finalizado",LEFT($D319,10)="Finalizado")</formula>
    </cfRule>
  </conditionalFormatting>
  <conditionalFormatting sqref="A319:N319">
    <cfRule type="expression" dxfId="4" priority="366">
      <formula>AND($M319="Pendente",LEFT($D319,10)&lt;&gt;"Finalizado")</formula>
    </cfRule>
  </conditionalFormatting>
  <conditionalFormatting sqref="A320:N320">
    <cfRule type="expression" dxfId="3" priority="367">
      <formula>OR($M320="Validado",$M320="Finalizado",LEFT($D320,10)="Finalizado")</formula>
    </cfRule>
  </conditionalFormatting>
  <conditionalFormatting sqref="A320:N320">
    <cfRule type="expression" dxfId="4" priority="368">
      <formula>AND($M320="Pendente",LEFT($D320,10)&lt;&gt;"Finalizado")</formula>
    </cfRule>
  </conditionalFormatting>
  <conditionalFormatting sqref="A321:N321">
    <cfRule type="expression" dxfId="3" priority="369">
      <formula>OR($M321="Validado",$M321="Finalizado",LEFT($D321,10)="Finalizado")</formula>
    </cfRule>
  </conditionalFormatting>
  <conditionalFormatting sqref="A321:N321">
    <cfRule type="expression" dxfId="4" priority="370">
      <formula>AND($M321="Pendente",LEFT($D321,10)&lt;&gt;"Finalizado")</formula>
    </cfRule>
  </conditionalFormatting>
  <conditionalFormatting sqref="A322:N322">
    <cfRule type="expression" dxfId="3" priority="371">
      <formula>OR($M322="Validado",$M322="Finalizado",LEFT($D322,10)="Finalizado")</formula>
    </cfRule>
  </conditionalFormatting>
  <conditionalFormatting sqref="A322:N322">
    <cfRule type="expression" dxfId="4" priority="372">
      <formula>AND($M322="Pendente",LEFT($D322,10)&lt;&gt;"Finalizado")</formula>
    </cfRule>
  </conditionalFormatting>
  <conditionalFormatting sqref="A323:N323">
    <cfRule type="expression" dxfId="3" priority="373">
      <formula>OR($M323="Validado",$M323="Finalizado",LEFT($D323,10)="Finalizado")</formula>
    </cfRule>
  </conditionalFormatting>
  <conditionalFormatting sqref="A323:N323">
    <cfRule type="expression" dxfId="4" priority="374">
      <formula>AND($M323="Pendente",LEFT($D323,10)&lt;&gt;"Finalizado")</formula>
    </cfRule>
  </conditionalFormatting>
  <conditionalFormatting sqref="A324:N324">
    <cfRule type="expression" dxfId="3" priority="375">
      <formula>OR($M324="Validado",$M324="Finalizado",LEFT($D324,10)="Finalizado")</formula>
    </cfRule>
  </conditionalFormatting>
  <conditionalFormatting sqref="A324:N324">
    <cfRule type="expression" dxfId="4" priority="376">
      <formula>AND($M324="Pendente",LEFT($D324,10)&lt;&gt;"Finalizado")</formula>
    </cfRule>
  </conditionalFormatting>
  <conditionalFormatting sqref="A325:N325">
    <cfRule type="expression" dxfId="3" priority="377">
      <formula>OR($M325="Validado",$M325="Finalizado",LEFT($D325,10)="Finalizado")</formula>
    </cfRule>
  </conditionalFormatting>
  <conditionalFormatting sqref="A325:N325">
    <cfRule type="expression" dxfId="4" priority="378">
      <formula>AND($M325="Pendente",LEFT($D325,10)&lt;&gt;"Finalizado")</formula>
    </cfRule>
  </conditionalFormatting>
  <conditionalFormatting sqref="A330:N330">
    <cfRule type="expression" dxfId="3" priority="379">
      <formula>OR($M330="Validado",$M330="Finalizado",LEFT($D330,10)="Finalizado")</formula>
    </cfRule>
  </conditionalFormatting>
  <conditionalFormatting sqref="A330:N330">
    <cfRule type="expression" dxfId="4" priority="380">
      <formula>AND($M330="Pendente",LEFT($D330,10)&lt;&gt;"Finalizado")</formula>
    </cfRule>
  </conditionalFormatting>
  <conditionalFormatting sqref="A331:N331">
    <cfRule type="expression" dxfId="3" priority="381">
      <formula>OR($M331="Validado",$M331="Finalizado",LEFT($D331,10)="Finalizado")</formula>
    </cfRule>
  </conditionalFormatting>
  <conditionalFormatting sqref="A331:N331">
    <cfRule type="expression" dxfId="4" priority="382">
      <formula>AND($M331="Pendente",LEFT($D331,10)&lt;&gt;"Finalizado")</formula>
    </cfRule>
  </conditionalFormatting>
  <conditionalFormatting sqref="A332:N332">
    <cfRule type="expression" dxfId="3" priority="383">
      <formula>OR($M332="Validado",$M332="Finalizado",LEFT($D332,10)="Finalizado")</formula>
    </cfRule>
  </conditionalFormatting>
  <conditionalFormatting sqref="A332:N332">
    <cfRule type="expression" dxfId="4" priority="384">
      <formula>AND($M332="Pendente",LEFT($D332,10)&lt;&gt;"Finalizado")</formula>
    </cfRule>
  </conditionalFormatting>
  <conditionalFormatting sqref="A333:N333">
    <cfRule type="expression" dxfId="3" priority="385">
      <formula>OR($M333="Validado",$M333="Finalizado",LEFT($D333,10)="Finalizado")</formula>
    </cfRule>
  </conditionalFormatting>
  <conditionalFormatting sqref="A333:N333">
    <cfRule type="expression" dxfId="4" priority="386">
      <formula>AND($M333="Pendente",LEFT($D333,10)&lt;&gt;"Finalizado")</formula>
    </cfRule>
  </conditionalFormatting>
  <conditionalFormatting sqref="A334:N334">
    <cfRule type="expression" dxfId="3" priority="387">
      <formula>OR($M334="Validado",$M334="Finalizado",LEFT($D334,10)="Finalizado")</formula>
    </cfRule>
  </conditionalFormatting>
  <conditionalFormatting sqref="A334:N334">
    <cfRule type="expression" dxfId="4" priority="388">
      <formula>AND($M334="Pendente",LEFT($D334,10)&lt;&gt;"Finalizado")</formula>
    </cfRule>
  </conditionalFormatting>
  <conditionalFormatting sqref="A335:N335">
    <cfRule type="expression" dxfId="3" priority="389">
      <formula>OR($M335="Validado",$M335="Finalizado",LEFT($D335,10)="Finalizado")</formula>
    </cfRule>
  </conditionalFormatting>
  <conditionalFormatting sqref="A335:N335">
    <cfRule type="expression" dxfId="4" priority="390">
      <formula>AND($M335="Pendente",LEFT($D335,10)&lt;&gt;"Finalizado")</formula>
    </cfRule>
  </conditionalFormatting>
  <conditionalFormatting sqref="A336:N336">
    <cfRule type="expression" dxfId="3" priority="391">
      <formula>OR($M336="Validado",$M336="Finalizado",LEFT($D336,10)="Finalizado")</formula>
    </cfRule>
  </conditionalFormatting>
  <conditionalFormatting sqref="A336:N336">
    <cfRule type="expression" dxfId="4" priority="392">
      <formula>AND($M336="Pendente",LEFT($D336,10)&lt;&gt;"Finalizado")</formula>
    </cfRule>
  </conditionalFormatting>
  <conditionalFormatting sqref="A337:N337">
    <cfRule type="expression" dxfId="3" priority="393">
      <formula>OR($M337="Validado",$M337="Finalizado",LEFT($D337,10)="Finalizado")</formula>
    </cfRule>
  </conditionalFormatting>
  <conditionalFormatting sqref="A337:N337">
    <cfRule type="expression" dxfId="4" priority="394">
      <formula>AND($M337="Pendente",LEFT($D337,10)&lt;&gt;"Finalizado")</formula>
    </cfRule>
  </conditionalFormatting>
  <conditionalFormatting sqref="A338:N338">
    <cfRule type="expression" dxfId="3" priority="395">
      <formula>OR($M338="Validado",$M338="Finalizado",LEFT($D338,10)="Finalizado")</formula>
    </cfRule>
  </conditionalFormatting>
  <conditionalFormatting sqref="A338:N338">
    <cfRule type="expression" dxfId="4" priority="396">
      <formula>AND($M338="Pendente",LEFT($D338,10)&lt;&gt;"Finalizado")</formula>
    </cfRule>
  </conditionalFormatting>
  <conditionalFormatting sqref="A343:N343">
    <cfRule type="expression" dxfId="3" priority="397">
      <formula>OR($M343="Validado",$M343="Finalizado",LEFT($D343,10)="Finalizado")</formula>
    </cfRule>
  </conditionalFormatting>
  <conditionalFormatting sqref="A343:N343">
    <cfRule type="expression" dxfId="4" priority="398">
      <formula>AND($M343="Pendente",LEFT($D343,10)&lt;&gt;"Finalizado")</formula>
    </cfRule>
  </conditionalFormatting>
  <conditionalFormatting sqref="A344:N344">
    <cfRule type="expression" dxfId="3" priority="399">
      <formula>OR($M344="Validado",$M344="Finalizado",LEFT($D344,10)="Finalizado")</formula>
    </cfRule>
  </conditionalFormatting>
  <conditionalFormatting sqref="A344:N344">
    <cfRule type="expression" dxfId="4" priority="400">
      <formula>AND($M344="Pendente",LEFT($D344,10)&lt;&gt;"Finalizado")</formula>
    </cfRule>
  </conditionalFormatting>
  <conditionalFormatting sqref="A345:N345">
    <cfRule type="expression" dxfId="3" priority="401">
      <formula>OR($M345="Validado",$M345="Finalizado",LEFT($D345,10)="Finalizado")</formula>
    </cfRule>
  </conditionalFormatting>
  <conditionalFormatting sqref="A345:N345">
    <cfRule type="expression" dxfId="4" priority="402">
      <formula>AND($M345="Pendente",LEFT($D345,10)&lt;&gt;"Finalizado")</formula>
    </cfRule>
  </conditionalFormatting>
  <conditionalFormatting sqref="A346:N346">
    <cfRule type="expression" dxfId="3" priority="403">
      <formula>OR($M346="Validado",$M346="Finalizado",LEFT($D346,10)="Finalizado")</formula>
    </cfRule>
  </conditionalFormatting>
  <conditionalFormatting sqref="A346:N346">
    <cfRule type="expression" dxfId="4" priority="404">
      <formula>AND($M346="Pendente",LEFT($D346,10)&lt;&gt;"Finalizado")</formula>
    </cfRule>
  </conditionalFormatting>
  <conditionalFormatting sqref="A347:N347">
    <cfRule type="expression" dxfId="3" priority="405">
      <formula>OR($M347="Validado",$M347="Finalizado",LEFT($D347,10)="Finalizado")</formula>
    </cfRule>
  </conditionalFormatting>
  <conditionalFormatting sqref="A347:N347">
    <cfRule type="expression" dxfId="4" priority="406">
      <formula>AND($M347="Pendente",LEFT($D347,10)&lt;&gt;"Finalizado")</formula>
    </cfRule>
  </conditionalFormatting>
  <conditionalFormatting sqref="A348:N348">
    <cfRule type="expression" dxfId="3" priority="407">
      <formula>OR($M348="Validado",$M348="Finalizado",LEFT($D348,10)="Finalizado")</formula>
    </cfRule>
  </conditionalFormatting>
  <conditionalFormatting sqref="A348:N348">
    <cfRule type="expression" dxfId="4" priority="408">
      <formula>AND($M348="Pendente",LEFT($D348,10)&lt;&gt;"Finalizado")</formula>
    </cfRule>
  </conditionalFormatting>
  <conditionalFormatting sqref="A349:N349">
    <cfRule type="expression" dxfId="3" priority="409">
      <formula>OR($M349="Validado",$M349="Finalizado",LEFT($D349,10)="Finalizado")</formula>
    </cfRule>
  </conditionalFormatting>
  <conditionalFormatting sqref="A349:N349">
    <cfRule type="expression" dxfId="4" priority="410">
      <formula>AND($M349="Pendente",LEFT($D349,10)&lt;&gt;"Finalizado")</formula>
    </cfRule>
  </conditionalFormatting>
  <conditionalFormatting sqref="A350:N350">
    <cfRule type="expression" dxfId="3" priority="411">
      <formula>OR($M350="Validado",$M350="Finalizado",LEFT($D350,10)="Finalizado")</formula>
    </cfRule>
  </conditionalFormatting>
  <conditionalFormatting sqref="A350:N350">
    <cfRule type="expression" dxfId="4" priority="412">
      <formula>AND($M350="Pendente",LEFT($D350,10)&lt;&gt;"Finalizado")</formula>
    </cfRule>
  </conditionalFormatting>
  <conditionalFormatting sqref="A351:N351">
    <cfRule type="expression" dxfId="3" priority="413">
      <formula>OR($M351="Validado",$M351="Finalizado",LEFT($D351,10)="Finalizado")</formula>
    </cfRule>
  </conditionalFormatting>
  <conditionalFormatting sqref="A351:N351">
    <cfRule type="expression" dxfId="4" priority="414">
      <formula>AND($M351="Pendente",LEFT($D351,10)&lt;&gt;"Finalizado")</formula>
    </cfRule>
  </conditionalFormatting>
  <conditionalFormatting sqref="A352:N352">
    <cfRule type="expression" dxfId="3" priority="415">
      <formula>OR($M352="Validado",$M352="Finalizado",LEFT($D352,10)="Finalizado")</formula>
    </cfRule>
  </conditionalFormatting>
  <conditionalFormatting sqref="A352:N352">
    <cfRule type="expression" dxfId="4" priority="416">
      <formula>AND($M352="Pendente",LEFT($D352,10)&lt;&gt;"Finalizado")</formula>
    </cfRule>
  </conditionalFormatting>
  <conditionalFormatting sqref="A353:N353">
    <cfRule type="expression" dxfId="3" priority="417">
      <formula>OR($M353="Validado",$M353="Finalizado",LEFT($D353,10)="Finalizado")</formula>
    </cfRule>
  </conditionalFormatting>
  <conditionalFormatting sqref="A353:N353">
    <cfRule type="expression" dxfId="4" priority="418">
      <formula>AND($M353="Pendente",LEFT($D353,10)&lt;&gt;"Finalizado")</formula>
    </cfRule>
  </conditionalFormatting>
  <conditionalFormatting sqref="A354:N354">
    <cfRule type="expression" dxfId="3" priority="419">
      <formula>OR($M354="Validado",$M354="Finalizado",LEFT($D354,10)="Finalizado")</formula>
    </cfRule>
  </conditionalFormatting>
  <conditionalFormatting sqref="A354:N354">
    <cfRule type="expression" dxfId="4" priority="420">
      <formula>AND($M354="Pendente",LEFT($D354,10)&lt;&gt;"Finalizado")</formula>
    </cfRule>
  </conditionalFormatting>
  <conditionalFormatting sqref="A355:N355">
    <cfRule type="expression" dxfId="3" priority="421">
      <formula>OR($M355="Validado",$M355="Finalizado",LEFT($D355,10)="Finalizado")</formula>
    </cfRule>
  </conditionalFormatting>
  <conditionalFormatting sqref="A355:N355">
    <cfRule type="expression" dxfId="4" priority="422">
      <formula>AND($M355="Pendente",LEFT($D355,10)&lt;&gt;"Finalizado")</formula>
    </cfRule>
  </conditionalFormatting>
  <conditionalFormatting sqref="A356:N356">
    <cfRule type="expression" dxfId="3" priority="423">
      <formula>OR($M356="Validado",$M356="Finalizado",LEFT($D356,10)="Finalizado")</formula>
    </cfRule>
  </conditionalFormatting>
  <conditionalFormatting sqref="A356:N356">
    <cfRule type="expression" dxfId="4" priority="424">
      <formula>AND($M356="Pendente",LEFT($D356,10)&lt;&gt;"Finalizado")</formula>
    </cfRule>
  </conditionalFormatting>
  <conditionalFormatting sqref="A357:N357">
    <cfRule type="expression" dxfId="3" priority="425">
      <formula>OR($M357="Validado",$M357="Finalizado",LEFT($D357,10)="Finalizado")</formula>
    </cfRule>
  </conditionalFormatting>
  <conditionalFormatting sqref="A357:N357">
    <cfRule type="expression" dxfId="4" priority="426">
      <formula>AND($M357="Pendente",LEFT($D357,10)&lt;&gt;"Finalizado")</formula>
    </cfRule>
  </conditionalFormatting>
  <conditionalFormatting sqref="A358:N358">
    <cfRule type="expression" dxfId="3" priority="427">
      <formula>OR($M358="Validado",$M358="Finalizado",LEFT($D358,10)="Finalizado")</formula>
    </cfRule>
  </conditionalFormatting>
  <conditionalFormatting sqref="A358:N358">
    <cfRule type="expression" dxfId="4" priority="428">
      <formula>AND($M358="Pendente",LEFT($D358,10)&lt;&gt;"Finalizado")</formula>
    </cfRule>
  </conditionalFormatting>
  <conditionalFormatting sqref="A359:N359">
    <cfRule type="expression" dxfId="3" priority="429">
      <formula>OR($M359="Validado",$M359="Finalizado",LEFT($D359,10)="Finalizado")</formula>
    </cfRule>
  </conditionalFormatting>
  <conditionalFormatting sqref="A359:N359">
    <cfRule type="expression" dxfId="4" priority="430">
      <formula>AND($M359="Pendente",LEFT($D359,10)&lt;&gt;"Finalizado")</formula>
    </cfRule>
  </conditionalFormatting>
  <conditionalFormatting sqref="A360:N360">
    <cfRule type="expression" dxfId="3" priority="431">
      <formula>OR($M360="Validado",$M360="Finalizado",LEFT($D360,10)="Finalizado")</formula>
    </cfRule>
  </conditionalFormatting>
  <conditionalFormatting sqref="A360:N360">
    <cfRule type="expression" dxfId="4" priority="432">
      <formula>AND($M360="Pendente",LEFT($D360,10)&lt;&gt;"Finalizado")</formula>
    </cfRule>
  </conditionalFormatting>
  <conditionalFormatting sqref="A361:N361">
    <cfRule type="expression" dxfId="3" priority="433">
      <formula>OR($M361="Validado",$M361="Finalizado",LEFT($D361,10)="Finalizado")</formula>
    </cfRule>
  </conditionalFormatting>
  <conditionalFormatting sqref="A361:N361">
    <cfRule type="expression" dxfId="4" priority="434">
      <formula>AND($M361="Pendente",LEFT($D361,10)&lt;&gt;"Finalizado")</formula>
    </cfRule>
  </conditionalFormatting>
  <conditionalFormatting sqref="A362:N362">
    <cfRule type="expression" dxfId="3" priority="435">
      <formula>OR($M362="Validado",$M362="Finalizado",LEFT($D362,10)="Finalizado")</formula>
    </cfRule>
  </conditionalFormatting>
  <conditionalFormatting sqref="A362:N362">
    <cfRule type="expression" dxfId="4" priority="436">
      <formula>AND($M362="Pendente",LEFT($D362,10)&lt;&gt;"Finalizado")</formula>
    </cfRule>
  </conditionalFormatting>
  <conditionalFormatting sqref="A363:N363">
    <cfRule type="expression" dxfId="3" priority="437">
      <formula>OR($M363="Validado",$M363="Finalizado",LEFT($D363,10)="Finalizado")</formula>
    </cfRule>
  </conditionalFormatting>
  <conditionalFormatting sqref="A363:N363">
    <cfRule type="expression" dxfId="4" priority="438">
      <formula>AND($M363="Pendente",LEFT($D363,10)&lt;&gt;"Finalizado")</formula>
    </cfRule>
  </conditionalFormatting>
  <conditionalFormatting sqref="A364:N364">
    <cfRule type="expression" dxfId="3" priority="439">
      <formula>OR($M364="Validado",$M364="Finalizado",LEFT($D364,10)="Finalizado")</formula>
    </cfRule>
  </conditionalFormatting>
  <conditionalFormatting sqref="A364:N364">
    <cfRule type="expression" dxfId="4" priority="440">
      <formula>AND($M364="Pendente",LEFT($D364,10)&lt;&gt;"Finalizado")</formula>
    </cfRule>
  </conditionalFormatting>
  <conditionalFormatting sqref="A365:N365">
    <cfRule type="expression" dxfId="3" priority="441">
      <formula>OR($M365="Validado",$M365="Finalizado",LEFT($D365,10)="Finalizado")</formula>
    </cfRule>
  </conditionalFormatting>
  <conditionalFormatting sqref="A365:N365">
    <cfRule type="expression" dxfId="4" priority="442">
      <formula>AND($M365="Pendente",LEFT($D365,10)&lt;&gt;"Finalizado")</formula>
    </cfRule>
  </conditionalFormatting>
  <conditionalFormatting sqref="A366:N366">
    <cfRule type="expression" dxfId="3" priority="443">
      <formula>OR($M366="Validado",$M366="Finalizado",LEFT($D366,10)="Finalizado")</formula>
    </cfRule>
  </conditionalFormatting>
  <conditionalFormatting sqref="A366:N366">
    <cfRule type="expression" dxfId="4" priority="444">
      <formula>AND($M366="Pendente",LEFT($D366,10)&lt;&gt;"Finalizado")</formula>
    </cfRule>
  </conditionalFormatting>
  <conditionalFormatting sqref="A367:N367">
    <cfRule type="expression" dxfId="3" priority="445">
      <formula>OR($M367="Validado",$M367="Finalizado",LEFT($D367,10)="Finalizado")</formula>
    </cfRule>
  </conditionalFormatting>
  <conditionalFormatting sqref="A367:N367">
    <cfRule type="expression" dxfId="4" priority="446">
      <formula>AND($M367="Pendente",LEFT($D367,10)&lt;&gt;"Finalizado")</formula>
    </cfRule>
  </conditionalFormatting>
  <conditionalFormatting sqref="A368:N368">
    <cfRule type="expression" dxfId="3" priority="447">
      <formula>OR($M368="Validado",$M368="Finalizado",LEFT($D368,10)="Finalizado")</formula>
    </cfRule>
  </conditionalFormatting>
  <conditionalFormatting sqref="A368:N368">
    <cfRule type="expression" dxfId="4" priority="448">
      <formula>AND($M368="Pendente",LEFT($D368,10)&lt;&gt;"Finalizado")</formula>
    </cfRule>
  </conditionalFormatting>
  <conditionalFormatting sqref="A373:N373">
    <cfRule type="expression" dxfId="3" priority="449">
      <formula>OR($M373="Validado",$M373="Finalizado",LEFT($D373,10)="Finalizado")</formula>
    </cfRule>
  </conditionalFormatting>
  <conditionalFormatting sqref="A373:N373">
    <cfRule type="expression" dxfId="4" priority="450">
      <formula>AND($M373="Pendente",LEFT($D373,10)&lt;&gt;"Finalizado")</formula>
    </cfRule>
  </conditionalFormatting>
  <conditionalFormatting sqref="A374:N374">
    <cfRule type="expression" dxfId="3" priority="451">
      <formula>OR($M374="Validado",$M374="Finalizado",LEFT($D374,10)="Finalizado")</formula>
    </cfRule>
  </conditionalFormatting>
  <conditionalFormatting sqref="A374:N374">
    <cfRule type="expression" dxfId="4" priority="452">
      <formula>AND($M374="Pendente",LEFT($D374,10)&lt;&gt;"Finalizado")</formula>
    </cfRule>
  </conditionalFormatting>
  <conditionalFormatting sqref="A375:N375">
    <cfRule type="expression" dxfId="3" priority="453">
      <formula>OR($M375="Validado",$M375="Finalizado",LEFT($D375,10)="Finalizado")</formula>
    </cfRule>
  </conditionalFormatting>
  <conditionalFormatting sqref="A375:N375">
    <cfRule type="expression" dxfId="4" priority="454">
      <formula>AND($M375="Pendente",LEFT($D375,10)&lt;&gt;"Finalizado")</formula>
    </cfRule>
  </conditionalFormatting>
  <conditionalFormatting sqref="A376:N376">
    <cfRule type="expression" dxfId="3" priority="455">
      <formula>OR($M376="Validado",$M376="Finalizado",LEFT($D376,10)="Finalizado")</formula>
    </cfRule>
  </conditionalFormatting>
  <conditionalFormatting sqref="A376:N376">
    <cfRule type="expression" dxfId="4" priority="456">
      <formula>AND($M376="Pendente",LEFT($D376,10)&lt;&gt;"Finalizado")</formula>
    </cfRule>
  </conditionalFormatting>
  <conditionalFormatting sqref="A377:N377">
    <cfRule type="expression" dxfId="3" priority="457">
      <formula>OR($M377="Validado",$M377="Finalizado",LEFT($D377,10)="Finalizado")</formula>
    </cfRule>
  </conditionalFormatting>
  <conditionalFormatting sqref="A377:N377">
    <cfRule type="expression" dxfId="4" priority="458">
      <formula>AND($M377="Pendente",LEFT($D377,10)&lt;&gt;"Finalizado")</formula>
    </cfRule>
  </conditionalFormatting>
  <conditionalFormatting sqref="A378:N378">
    <cfRule type="expression" dxfId="3" priority="459">
      <formula>OR($M378="Validado",$M378="Finalizado",LEFT($D378,10)="Finalizado")</formula>
    </cfRule>
  </conditionalFormatting>
  <conditionalFormatting sqref="A378:N378">
    <cfRule type="expression" dxfId="4" priority="460">
      <formula>AND($M378="Pendente",LEFT($D378,10)&lt;&gt;"Finalizado")</formula>
    </cfRule>
  </conditionalFormatting>
  <conditionalFormatting sqref="A379:N379">
    <cfRule type="expression" dxfId="3" priority="461">
      <formula>OR($M379="Validado",$M379="Finalizado",LEFT($D379,10)="Finalizado")</formula>
    </cfRule>
  </conditionalFormatting>
  <conditionalFormatting sqref="A379:N379">
    <cfRule type="expression" dxfId="4" priority="462">
      <formula>AND($M379="Pendente",LEFT($D379,10)&lt;&gt;"Finalizado")</formula>
    </cfRule>
  </conditionalFormatting>
  <conditionalFormatting sqref="A380:N380">
    <cfRule type="expression" dxfId="3" priority="463">
      <formula>OR($M380="Validado",$M380="Finalizado",LEFT($D380,10)="Finalizado")</formula>
    </cfRule>
  </conditionalFormatting>
  <conditionalFormatting sqref="A380:N380">
    <cfRule type="expression" dxfId="4" priority="464">
      <formula>AND($M380="Pendente",LEFT($D380,10)&lt;&gt;"Finalizado")</formula>
    </cfRule>
  </conditionalFormatting>
  <conditionalFormatting sqref="A381:N381">
    <cfRule type="expression" dxfId="3" priority="465">
      <formula>OR($M381="Validado",$M381="Finalizado",LEFT($D381,10)="Finalizado")</formula>
    </cfRule>
  </conditionalFormatting>
  <conditionalFormatting sqref="A381:N381">
    <cfRule type="expression" dxfId="4" priority="466">
      <formula>AND($M381="Pendente",LEFT($D381,10)&lt;&gt;"Finalizado")</formula>
    </cfRule>
  </conditionalFormatting>
  <conditionalFormatting sqref="A382:N382">
    <cfRule type="expression" dxfId="3" priority="467">
      <formula>OR($M382="Validado",$M382="Finalizado",LEFT($D382,10)="Finalizado")</formula>
    </cfRule>
  </conditionalFormatting>
  <conditionalFormatting sqref="A382:N382">
    <cfRule type="expression" dxfId="4" priority="468">
      <formula>AND($M382="Pendente",LEFT($D382,10)&lt;&gt;"Finalizado")</formula>
    </cfRule>
  </conditionalFormatting>
  <conditionalFormatting sqref="A383:N383">
    <cfRule type="expression" dxfId="3" priority="469">
      <formula>OR($M383="Validado",$M383="Finalizado",LEFT($D383,10)="Finalizado")</formula>
    </cfRule>
  </conditionalFormatting>
  <conditionalFormatting sqref="A383:N383">
    <cfRule type="expression" dxfId="4" priority="470">
      <formula>AND($M383="Pendente",LEFT($D383,10)&lt;&gt;"Finalizado")</formula>
    </cfRule>
  </conditionalFormatting>
  <conditionalFormatting sqref="A384:N384">
    <cfRule type="expression" dxfId="3" priority="471">
      <formula>OR($M384="Validado",$M384="Finalizado",LEFT($D384,10)="Finalizado")</formula>
    </cfRule>
  </conditionalFormatting>
  <conditionalFormatting sqref="A384:N384">
    <cfRule type="expression" dxfId="4" priority="472">
      <formula>AND($M384="Pendente",LEFT($D384,10)&lt;&gt;"Finalizado")</formula>
    </cfRule>
  </conditionalFormatting>
  <conditionalFormatting sqref="A389:N389">
    <cfRule type="expression" dxfId="3" priority="473">
      <formula>OR($M389="Validado",$M389="Finalizado",LEFT($D389,10)="Finalizado")</formula>
    </cfRule>
  </conditionalFormatting>
  <conditionalFormatting sqref="A389:N389">
    <cfRule type="expression" dxfId="4" priority="474">
      <formula>AND($M389="Pendente",LEFT($D389,10)&lt;&gt;"Finalizado")</formula>
    </cfRule>
  </conditionalFormatting>
  <conditionalFormatting sqref="A394:N394">
    <cfRule type="expression" dxfId="3" priority="475">
      <formula>OR($M394="Validado",$M394="Finalizado",LEFT($D394,10)="Finalizado")</formula>
    </cfRule>
  </conditionalFormatting>
  <conditionalFormatting sqref="A394:N394">
    <cfRule type="expression" dxfId="4" priority="476">
      <formula>AND($M394="Pendente",LEFT($D394,10)&lt;&gt;"Finalizado")</formula>
    </cfRule>
  </conditionalFormatting>
  <conditionalFormatting sqref="A395:N395">
    <cfRule type="expression" dxfId="3" priority="477">
      <formula>OR($M395="Validado",$M395="Finalizado",LEFT($D395,10)="Finalizado")</formula>
    </cfRule>
  </conditionalFormatting>
  <conditionalFormatting sqref="A395:N395">
    <cfRule type="expression" dxfId="4" priority="478">
      <formula>AND($M395="Pendente",LEFT($D395,10)&lt;&gt;"Finalizado")</formula>
    </cfRule>
  </conditionalFormatting>
  <conditionalFormatting sqref="A396:N396">
    <cfRule type="expression" dxfId="3" priority="479">
      <formula>OR($M396="Validado",$M396="Finalizado",LEFT($D396,10)="Finalizado")</formula>
    </cfRule>
  </conditionalFormatting>
  <conditionalFormatting sqref="A396:N396">
    <cfRule type="expression" dxfId="4" priority="480">
      <formula>AND($M396="Pendente",LEFT($D396,10)&lt;&gt;"Finalizado")</formula>
    </cfRule>
  </conditionalFormatting>
  <conditionalFormatting sqref="A397:N397">
    <cfRule type="expression" dxfId="3" priority="481">
      <formula>OR($M397="Validado",$M397="Finalizado",LEFT($D397,10)="Finalizado")</formula>
    </cfRule>
  </conditionalFormatting>
  <conditionalFormatting sqref="A397:N397">
    <cfRule type="expression" dxfId="4" priority="482">
      <formula>AND($M397="Pendente",LEFT($D397,10)&lt;&gt;"Finalizado")</formula>
    </cfRule>
  </conditionalFormatting>
  <conditionalFormatting sqref="A398:N398">
    <cfRule type="expression" dxfId="3" priority="483">
      <formula>OR($M398="Validado",$M398="Finalizado",LEFT($D398,10)="Finalizado")</formula>
    </cfRule>
  </conditionalFormatting>
  <conditionalFormatting sqref="A398:N398">
    <cfRule type="expression" dxfId="4" priority="484">
      <formula>AND($M398="Pendente",LEFT($D398,10)&lt;&gt;"Finalizado")</formula>
    </cfRule>
  </conditionalFormatting>
  <conditionalFormatting sqref="A399:N399">
    <cfRule type="expression" dxfId="3" priority="485">
      <formula>OR($M399="Validado",$M399="Finalizado",LEFT($D399,10)="Finalizado")</formula>
    </cfRule>
  </conditionalFormatting>
  <conditionalFormatting sqref="A399:N399">
    <cfRule type="expression" dxfId="4" priority="486">
      <formula>AND($M399="Pendente",LEFT($D399,10)&lt;&gt;"Finalizado")</formula>
    </cfRule>
  </conditionalFormatting>
  <conditionalFormatting sqref="A400:N400">
    <cfRule type="expression" dxfId="3" priority="487">
      <formula>OR($M400="Validado",$M400="Finalizado",LEFT($D400,10)="Finalizado")</formula>
    </cfRule>
  </conditionalFormatting>
  <conditionalFormatting sqref="A400:N400">
    <cfRule type="expression" dxfId="4" priority="488">
      <formula>AND($M400="Pendente",LEFT($D400,10)&lt;&gt;"Finalizado")</formula>
    </cfRule>
  </conditionalFormatting>
  <conditionalFormatting sqref="A401:N401">
    <cfRule type="expression" dxfId="3" priority="489">
      <formula>OR($M401="Validado",$M401="Finalizado",LEFT($D401,10)="Finalizado")</formula>
    </cfRule>
  </conditionalFormatting>
  <conditionalFormatting sqref="A401:N401">
    <cfRule type="expression" dxfId="4" priority="490">
      <formula>AND($M401="Pendente",LEFT($D401,10)&lt;&gt;"Finalizado")</formula>
    </cfRule>
  </conditionalFormatting>
  <conditionalFormatting sqref="A402:N402">
    <cfRule type="expression" dxfId="3" priority="491">
      <formula>OR($M402="Validado",$M402="Finalizado",LEFT($D402,10)="Finalizado")</formula>
    </cfRule>
  </conditionalFormatting>
  <conditionalFormatting sqref="A402:N402">
    <cfRule type="expression" dxfId="4" priority="492">
      <formula>AND($M402="Pendente",LEFT($D402,10)&lt;&gt;"Finalizado")</formula>
    </cfRule>
  </conditionalFormatting>
  <conditionalFormatting sqref="A403:N403">
    <cfRule type="expression" dxfId="3" priority="493">
      <formula>OR($M403="Validado",$M403="Finalizado",LEFT($D403,10)="Finalizado")</formula>
    </cfRule>
  </conditionalFormatting>
  <conditionalFormatting sqref="A403:N403">
    <cfRule type="expression" dxfId="4" priority="494">
      <formula>AND($M403="Pendente",LEFT($D403,10)&lt;&gt;"Finalizado")</formula>
    </cfRule>
  </conditionalFormatting>
  <conditionalFormatting sqref="A404:N404">
    <cfRule type="expression" dxfId="3" priority="495">
      <formula>OR($M404="Validado",$M404="Finalizado",LEFT($D404,10)="Finalizado")</formula>
    </cfRule>
  </conditionalFormatting>
  <conditionalFormatting sqref="A404:N404">
    <cfRule type="expression" dxfId="4" priority="496">
      <formula>AND($M404="Pendente",LEFT($D404,10)&lt;&gt;"Finalizado")</formula>
    </cfRule>
  </conditionalFormatting>
  <conditionalFormatting sqref="A405:N405">
    <cfRule type="expression" dxfId="3" priority="497">
      <formula>OR($M405="Validado",$M405="Finalizado",LEFT($D405,10)="Finalizado")</formula>
    </cfRule>
  </conditionalFormatting>
  <conditionalFormatting sqref="A405:N405">
    <cfRule type="expression" dxfId="4" priority="498">
      <formula>AND($M405="Pendente",LEFT($D405,10)&lt;&gt;"Finalizado")</formula>
    </cfRule>
  </conditionalFormatting>
  <conditionalFormatting sqref="A406:N406">
    <cfRule type="expression" dxfId="3" priority="499">
      <formula>OR($M406="Validado",$M406="Finalizado",LEFT($D406,10)="Finalizado")</formula>
    </cfRule>
  </conditionalFormatting>
  <conditionalFormatting sqref="A406:N406">
    <cfRule type="expression" dxfId="4" priority="500">
      <formula>AND($M406="Pendente",LEFT($D406,10)&lt;&gt;"Finalizado")</formula>
    </cfRule>
  </conditionalFormatting>
  <conditionalFormatting sqref="A407:N407">
    <cfRule type="expression" dxfId="3" priority="501">
      <formula>OR($M407="Validado",$M407="Finalizado",LEFT($D407,10)="Finalizado")</formula>
    </cfRule>
  </conditionalFormatting>
  <conditionalFormatting sqref="A407:N407">
    <cfRule type="expression" dxfId="4" priority="502">
      <formula>AND($M407="Pendente",LEFT($D407,10)&lt;&gt;"Finalizado")</formula>
    </cfRule>
  </conditionalFormatting>
  <conditionalFormatting sqref="A408:N408">
    <cfRule type="expression" dxfId="3" priority="503">
      <formula>OR($M408="Validado",$M408="Finalizado",LEFT($D408,10)="Finalizado")</formula>
    </cfRule>
  </conditionalFormatting>
  <conditionalFormatting sqref="A408:N408">
    <cfRule type="expression" dxfId="4" priority="504">
      <formula>AND($M408="Pendente",LEFT($D408,10)&lt;&gt;"Finalizado")</formula>
    </cfRule>
  </conditionalFormatting>
  <conditionalFormatting sqref="A409:N409">
    <cfRule type="expression" dxfId="3" priority="505">
      <formula>OR($M409="Validado",$M409="Finalizado",LEFT($D409,10)="Finalizado")</formula>
    </cfRule>
  </conditionalFormatting>
  <conditionalFormatting sqref="A409:N409">
    <cfRule type="expression" dxfId="4" priority="506">
      <formula>AND($M409="Pendente",LEFT($D409,10)&lt;&gt;"Finalizado")</formula>
    </cfRule>
  </conditionalFormatting>
  <conditionalFormatting sqref="A410:N410">
    <cfRule type="expression" dxfId="3" priority="507">
      <formula>OR($M410="Validado",$M410="Finalizado",LEFT($D410,10)="Finalizado")</formula>
    </cfRule>
  </conditionalFormatting>
  <conditionalFormatting sqref="A410:N410">
    <cfRule type="expression" dxfId="4" priority="508">
      <formula>AND($M410="Pendente",LEFT($D410,10)&lt;&gt;"Finalizado")</formula>
    </cfRule>
  </conditionalFormatting>
  <conditionalFormatting sqref="A411:N411">
    <cfRule type="expression" dxfId="3" priority="509">
      <formula>OR($M411="Validado",$M411="Finalizado",LEFT($D411,10)="Finalizado")</formula>
    </cfRule>
  </conditionalFormatting>
  <conditionalFormatting sqref="A411:N411">
    <cfRule type="expression" dxfId="4" priority="510">
      <formula>AND($M411="Pendente",LEFT($D411,10)&lt;&gt;"Finalizado")</formula>
    </cfRule>
  </conditionalFormatting>
  <conditionalFormatting sqref="A412:N412">
    <cfRule type="expression" dxfId="3" priority="511">
      <formula>OR($M412="Validado",$M412="Finalizado",LEFT($D412,10)="Finalizado")</formula>
    </cfRule>
  </conditionalFormatting>
  <conditionalFormatting sqref="A412:N412">
    <cfRule type="expression" dxfId="4" priority="512">
      <formula>AND($M412="Pendente",LEFT($D412,10)&lt;&gt;"Finalizado")</formula>
    </cfRule>
  </conditionalFormatting>
  <conditionalFormatting sqref="A413:N413">
    <cfRule type="expression" dxfId="3" priority="513">
      <formula>OR($M413="Validado",$M413="Finalizado",LEFT($D413,10)="Finalizado")</formula>
    </cfRule>
  </conditionalFormatting>
  <conditionalFormatting sqref="A413:N413">
    <cfRule type="expression" dxfId="4" priority="514">
      <formula>AND($M413="Pendente",LEFT($D413,10)&lt;&gt;"Finalizado")</formula>
    </cfRule>
  </conditionalFormatting>
  <conditionalFormatting sqref="A414:N414">
    <cfRule type="expression" dxfId="3" priority="515">
      <formula>OR($M414="Validado",$M414="Finalizado",LEFT($D414,10)="Finalizado")</formula>
    </cfRule>
  </conditionalFormatting>
  <conditionalFormatting sqref="A414:N414">
    <cfRule type="expression" dxfId="4" priority="516">
      <formula>AND($M414="Pendente",LEFT($D414,10)&lt;&gt;"Finalizado")</formula>
    </cfRule>
  </conditionalFormatting>
  <conditionalFormatting sqref="A415:N415">
    <cfRule type="expression" dxfId="3" priority="517">
      <formula>OR($M415="Validado",$M415="Finalizado",LEFT($D415,10)="Finalizado")</formula>
    </cfRule>
  </conditionalFormatting>
  <conditionalFormatting sqref="A415:N415">
    <cfRule type="expression" dxfId="4" priority="518">
      <formula>AND($M415="Pendente",LEFT($D415,10)&lt;&gt;"Finalizado")</formula>
    </cfRule>
  </conditionalFormatting>
  <conditionalFormatting sqref="A420:N440">
    <cfRule type="expression" dxfId="5" priority="519">
      <formula>OR($M420="Validado",$M420="Finalizado")</formula>
    </cfRule>
  </conditionalFormatting>
  <conditionalFormatting sqref="A420:N440">
    <cfRule type="expression" dxfId="6" priority="520">
      <formula>AND($M420="Pendente",NOT(ISNUMBER(SEARCH("Falta Justificada",$D420))),NOT(ISNUMBER(SEARCH("Cancelado",$D420))),NOT(ISNUMBER(SEARCH("Desmarcado",$D420))))</formula>
    </cfRule>
  </conditionalFormatting>
  <conditionalFormatting sqref="A445:N451">
    <cfRule type="expression" dxfId="5" priority="521">
      <formula>OR($M445="Validado",$M445="Finalizado")</formula>
    </cfRule>
  </conditionalFormatting>
  <conditionalFormatting sqref="A445:N451">
    <cfRule type="expression" dxfId="6" priority="522">
      <formula>AND($M445="Pendente",NOT(ISNUMBER(SEARCH("Falta Justificada",$D445))),NOT(ISNUMBER(SEARCH("Cancelado",$D445))),NOT(ISNUMBER(SEARCH("Desmarcado",$D445))))</formula>
    </cfRule>
  </conditionalFormatting>
  <conditionalFormatting sqref="A456:N484">
    <cfRule type="expression" dxfId="5" priority="523">
      <formula>OR($M456="Validado",$M456="Finalizado")</formula>
    </cfRule>
  </conditionalFormatting>
  <conditionalFormatting sqref="A456:N484">
    <cfRule type="expression" dxfId="6" priority="524">
      <formula>AND($M456="Pendente",NOT(ISNUMBER(SEARCH("Falta Justificada",$D456))),NOT(ISNUMBER(SEARCH("Cancelado",$D456))),NOT(ISNUMBER(SEARCH("Desmarcado",$D456))))</formula>
    </cfRule>
  </conditionalFormatting>
  <conditionalFormatting sqref="A489:N497">
    <cfRule type="expression" dxfId="5" priority="525">
      <formula>OR($M489="Validado",$M489="Finalizado")</formula>
    </cfRule>
  </conditionalFormatting>
  <conditionalFormatting sqref="A489:N497">
    <cfRule type="expression" dxfId="6" priority="526">
      <formula>AND($M489="Pendente",NOT(ISNUMBER(SEARCH("Falta Justificada",$D489))),NOT(ISNUMBER(SEARCH("Cancelado",$D489))),NOT(ISNUMBER(SEARCH("Desmarcado",$D489))))</formula>
    </cfRule>
  </conditionalFormatting>
  <dataValidations>
    <dataValidation type="list" allowBlank="1" sqref="M6:M27 M31:M40 M45:M63 M67 M72:M91 M95:M101 M106:M134 M139:M148 M153:M171 M176:M180 M185:M213 M218:M229 M234:M254 M259 M264:M288 M293:M302 M307:M325 M330:M338 M343:M368 M373:M384 M389 M394:M415 M420:M440 M445:M451 M456:M484 M489:M497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8.63"/>
  </cols>
  <sheetData>
    <row r="1">
      <c r="A1" s="16" t="s">
        <v>855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>
      <c r="A2" s="17" t="s">
        <v>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>
      <c r="A3" s="18" t="s">
        <v>4</v>
      </c>
      <c r="B3" s="18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8" t="s">
        <v>16</v>
      </c>
      <c r="M3" s="18" t="s">
        <v>17</v>
      </c>
      <c r="N3" s="18" t="s">
        <v>18</v>
      </c>
    </row>
    <row r="4">
      <c r="A4" s="6" t="s">
        <v>863</v>
      </c>
      <c r="B4" s="6" t="s">
        <v>1494</v>
      </c>
      <c r="C4" s="6" t="s">
        <v>914</v>
      </c>
      <c r="D4" s="6" t="s">
        <v>429</v>
      </c>
      <c r="E4" s="6" t="s">
        <v>812</v>
      </c>
      <c r="F4" s="6" t="s">
        <v>78</v>
      </c>
      <c r="G4" s="6" t="s">
        <v>431</v>
      </c>
      <c r="H4" s="6" t="s">
        <v>66</v>
      </c>
      <c r="I4" s="6" t="s">
        <v>1495</v>
      </c>
      <c r="J4" s="6"/>
      <c r="K4" s="6"/>
      <c r="L4" s="6" t="s">
        <v>304</v>
      </c>
      <c r="M4" s="6" t="s">
        <v>984</v>
      </c>
      <c r="N4" s="6"/>
    </row>
    <row r="6">
      <c r="A6" s="16" t="s">
        <v>900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>
      <c r="A8" s="18" t="s">
        <v>4</v>
      </c>
      <c r="B8" s="18" t="s">
        <v>6</v>
      </c>
      <c r="C8" s="18" t="s">
        <v>7</v>
      </c>
      <c r="D8" s="18" t="s">
        <v>8</v>
      </c>
      <c r="E8" s="18" t="s">
        <v>9</v>
      </c>
      <c r="F8" s="18" t="s">
        <v>10</v>
      </c>
      <c r="G8" s="18" t="s">
        <v>11</v>
      </c>
      <c r="H8" s="18" t="s">
        <v>12</v>
      </c>
      <c r="I8" s="18" t="s">
        <v>13</v>
      </c>
      <c r="J8" s="18" t="s">
        <v>14</v>
      </c>
      <c r="K8" s="18" t="s">
        <v>15</v>
      </c>
      <c r="L8" s="18" t="s">
        <v>16</v>
      </c>
      <c r="M8" s="18" t="s">
        <v>17</v>
      </c>
      <c r="N8" s="18" t="s">
        <v>18</v>
      </c>
    </row>
    <row r="9">
      <c r="A9" s="6" t="s">
        <v>903</v>
      </c>
      <c r="B9" s="6" t="s">
        <v>1494</v>
      </c>
      <c r="C9" s="6" t="s">
        <v>21</v>
      </c>
      <c r="D9" s="6" t="s">
        <v>526</v>
      </c>
      <c r="E9" s="6" t="s">
        <v>1065</v>
      </c>
      <c r="F9" s="6" t="s">
        <v>78</v>
      </c>
      <c r="G9" s="6" t="s">
        <v>1500</v>
      </c>
      <c r="H9" s="6" t="s">
        <v>66</v>
      </c>
      <c r="I9" s="6" t="s">
        <v>1495</v>
      </c>
      <c r="J9" s="6"/>
      <c r="K9" s="6"/>
      <c r="L9" s="6" t="s">
        <v>304</v>
      </c>
      <c r="M9" s="6" t="s">
        <v>984</v>
      </c>
      <c r="N9" s="6"/>
    </row>
    <row r="11">
      <c r="A11" s="16" t="s">
        <v>975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>
      <c r="A12" s="17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>
      <c r="A13" s="18" t="s">
        <v>4</v>
      </c>
      <c r="B13" s="18" t="s">
        <v>6</v>
      </c>
      <c r="C13" s="18" t="s">
        <v>7</v>
      </c>
      <c r="D13" s="18" t="s">
        <v>8</v>
      </c>
      <c r="E13" s="18" t="s">
        <v>9</v>
      </c>
      <c r="F13" s="18" t="s">
        <v>10</v>
      </c>
      <c r="G13" s="18" t="s">
        <v>11</v>
      </c>
      <c r="H13" s="18" t="s">
        <v>12</v>
      </c>
      <c r="I13" s="18" t="s">
        <v>13</v>
      </c>
      <c r="J13" s="18" t="s">
        <v>14</v>
      </c>
      <c r="K13" s="18" t="s">
        <v>15</v>
      </c>
      <c r="L13" s="18" t="s">
        <v>16</v>
      </c>
      <c r="M13" s="18" t="s">
        <v>17</v>
      </c>
      <c r="N13" s="18" t="s">
        <v>18</v>
      </c>
    </row>
    <row r="14">
      <c r="A14" s="6" t="s">
        <v>978</v>
      </c>
      <c r="B14" s="6" t="s">
        <v>1494</v>
      </c>
      <c r="C14" s="6" t="s">
        <v>501</v>
      </c>
      <c r="D14" s="6" t="s">
        <v>429</v>
      </c>
      <c r="E14" s="6" t="s">
        <v>712</v>
      </c>
      <c r="F14" s="6" t="s">
        <v>78</v>
      </c>
      <c r="G14" s="6" t="s">
        <v>936</v>
      </c>
      <c r="H14" s="6" t="s">
        <v>156</v>
      </c>
      <c r="I14" s="6">
        <v>2.538921401003E12</v>
      </c>
      <c r="J14" s="6"/>
      <c r="K14" s="6"/>
      <c r="L14" s="6" t="s">
        <v>304</v>
      </c>
      <c r="M14" s="20" t="s">
        <v>59</v>
      </c>
      <c r="N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4:N4">
    <cfRule type="expression" dxfId="3" priority="1">
      <formula>OR($M4="Validado",$M4="Finalizado",LEFT($D4,10)="Finalizado")</formula>
    </cfRule>
  </conditionalFormatting>
  <conditionalFormatting sqref="A4:N4">
    <cfRule type="expression" dxfId="4" priority="2">
      <formula>AND($M4="Pendente",LEFT($D4,10)&lt;&gt;"Finalizado")</formula>
    </cfRule>
  </conditionalFormatting>
  <conditionalFormatting sqref="A9:N9">
    <cfRule type="expression" dxfId="3" priority="3">
      <formula>OR($M9="Validado",$M9="Finalizado",LEFT($D9,10)="Finalizado")</formula>
    </cfRule>
  </conditionalFormatting>
  <conditionalFormatting sqref="A9:N9">
    <cfRule type="expression" dxfId="4" priority="4">
      <formula>AND($M9="Pendente",LEFT($D9,10)&lt;&gt;"Finalizado")</formula>
    </cfRule>
  </conditionalFormatting>
  <conditionalFormatting sqref="A14:N14">
    <cfRule type="expression" dxfId="5" priority="5">
      <formula>OR($M14="Validado",$M14="Finalizado")</formula>
    </cfRule>
  </conditionalFormatting>
  <conditionalFormatting sqref="A14:N14">
    <cfRule type="expression" dxfId="6" priority="6">
      <formula>AND($M14="Pendente",NOT(ISNUMBER(SEARCH("Falta Justificada",$D14))),NOT(ISNUMBER(SEARCH("Cancelado",$D14))),NOT(ISNUMBER(SEARCH("Desmarcado",$D14))))</formula>
    </cfRule>
  </conditionalFormatting>
  <dataValidations>
    <dataValidation type="list" allowBlank="1" sqref="M4 M9 M14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6.75"/>
    <col customWidth="1" min="3" max="3" width="11.0"/>
    <col customWidth="1" min="4" max="4" width="10.0"/>
    <col customWidth="1" min="5" max="5" width="20.13"/>
    <col customWidth="1" min="6" max="6" width="4.63"/>
    <col customWidth="1" min="7" max="7" width="14.63"/>
    <col customWidth="1" min="8" max="8" width="10.0"/>
    <col customWidth="1" min="9" max="9" width="10.5"/>
    <col customWidth="1" min="10" max="10" width="6.75"/>
    <col customWidth="1" min="11" max="12" width="22.0"/>
    <col customWidth="1" min="13" max="13" width="18.0"/>
    <col customWidth="1" min="14" max="14" width="32.0"/>
  </cols>
  <sheetData>
    <row r="1">
      <c r="A1" s="1" t="s">
        <v>1581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19</v>
      </c>
      <c r="B6" s="5" t="s">
        <v>1593</v>
      </c>
      <c r="C6" s="5" t="s">
        <v>235</v>
      </c>
      <c r="D6" s="5" t="s">
        <v>1594</v>
      </c>
      <c r="E6" s="5" t="s">
        <v>677</v>
      </c>
      <c r="F6" s="5"/>
      <c r="G6" s="5"/>
      <c r="H6" s="5"/>
      <c r="I6" s="5" t="s">
        <v>314</v>
      </c>
      <c r="J6" s="5"/>
      <c r="K6" s="5" t="s">
        <v>28</v>
      </c>
      <c r="L6" s="5" t="s">
        <v>29</v>
      </c>
      <c r="M6" s="5" t="s">
        <v>30</v>
      </c>
      <c r="N6" s="5"/>
    </row>
    <row r="8">
      <c r="A8" s="3" t="s">
        <v>1251</v>
      </c>
    </row>
    <row r="9">
      <c r="A9" s="4" t="s">
        <v>4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  <c r="N9" s="4" t="s">
        <v>18</v>
      </c>
    </row>
    <row r="10">
      <c r="A10" s="5" t="s">
        <v>19</v>
      </c>
      <c r="B10" s="5" t="s">
        <v>1152</v>
      </c>
      <c r="C10" s="5" t="s">
        <v>142</v>
      </c>
      <c r="D10" s="5" t="s">
        <v>1594</v>
      </c>
      <c r="E10" s="5" t="s">
        <v>37</v>
      </c>
      <c r="F10" s="5"/>
      <c r="G10" s="5"/>
      <c r="H10" s="5"/>
      <c r="I10" s="5">
        <v>2.562165700003E12</v>
      </c>
      <c r="J10" s="5"/>
      <c r="K10" s="5" t="s">
        <v>28</v>
      </c>
      <c r="L10" s="5" t="s">
        <v>29</v>
      </c>
      <c r="M10" s="5" t="s">
        <v>30</v>
      </c>
      <c r="N10" s="5"/>
    </row>
    <row r="11">
      <c r="A11" s="5" t="s">
        <v>19</v>
      </c>
      <c r="B11" s="5" t="s">
        <v>1598</v>
      </c>
      <c r="C11" s="5" t="s">
        <v>262</v>
      </c>
      <c r="D11" s="5" t="s">
        <v>1594</v>
      </c>
      <c r="E11" s="5" t="s">
        <v>37</v>
      </c>
      <c r="F11" s="5"/>
      <c r="G11" s="5"/>
      <c r="H11" s="5"/>
      <c r="I11" s="5"/>
      <c r="J11" s="5"/>
      <c r="K11" s="5" t="s">
        <v>28</v>
      </c>
      <c r="L11" s="5" t="s">
        <v>29</v>
      </c>
      <c r="M11" s="5" t="s">
        <v>30</v>
      </c>
      <c r="N11" s="5"/>
    </row>
    <row r="13">
      <c r="A13" s="2" t="s">
        <v>286</v>
      </c>
    </row>
    <row r="14">
      <c r="A14" s="3" t="s">
        <v>3</v>
      </c>
    </row>
    <row r="15">
      <c r="A15" s="4" t="s">
        <v>4</v>
      </c>
      <c r="B15" s="4" t="s">
        <v>6</v>
      </c>
      <c r="C15" s="4" t="s">
        <v>7</v>
      </c>
      <c r="D15" s="4" t="s">
        <v>8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4" t="s">
        <v>14</v>
      </c>
      <c r="K15" s="4" t="s">
        <v>15</v>
      </c>
      <c r="L15" s="4" t="s">
        <v>16</v>
      </c>
      <c r="M15" s="4" t="s">
        <v>17</v>
      </c>
      <c r="N15" s="4" t="s">
        <v>18</v>
      </c>
    </row>
    <row r="16">
      <c r="A16" s="5" t="s">
        <v>297</v>
      </c>
      <c r="B16" s="5" t="s">
        <v>1605</v>
      </c>
      <c r="C16" s="5" t="s">
        <v>43</v>
      </c>
      <c r="D16" s="5" t="s">
        <v>1606</v>
      </c>
      <c r="E16" s="5" t="s">
        <v>677</v>
      </c>
      <c r="F16" s="5"/>
      <c r="G16" s="5"/>
      <c r="H16" s="5"/>
      <c r="I16" s="5" t="s">
        <v>314</v>
      </c>
      <c r="J16" s="5"/>
      <c r="K16" s="5"/>
      <c r="L16" s="5" t="s">
        <v>304</v>
      </c>
      <c r="M16" s="5" t="s">
        <v>984</v>
      </c>
      <c r="N16" s="5"/>
    </row>
    <row r="18">
      <c r="A18" s="6" t="s">
        <v>605</v>
      </c>
    </row>
    <row r="19">
      <c r="A19" s="6" t="s">
        <v>1251</v>
      </c>
    </row>
    <row r="20">
      <c r="A20" s="6" t="s">
        <v>4</v>
      </c>
      <c r="B20" s="6" t="s">
        <v>6</v>
      </c>
      <c r="C20" s="6" t="s">
        <v>7</v>
      </c>
      <c r="D20" s="6" t="s">
        <v>8</v>
      </c>
      <c r="E20" s="6" t="s">
        <v>9</v>
      </c>
      <c r="F20" s="6" t="s">
        <v>10</v>
      </c>
      <c r="G20" s="6" t="s">
        <v>11</v>
      </c>
      <c r="H20" s="6" t="s">
        <v>12</v>
      </c>
      <c r="I20" s="6" t="s">
        <v>13</v>
      </c>
      <c r="J20" s="6" t="s">
        <v>14</v>
      </c>
      <c r="K20" s="6" t="s">
        <v>15</v>
      </c>
      <c r="L20" s="6" t="s">
        <v>16</v>
      </c>
      <c r="M20" s="6" t="s">
        <v>17</v>
      </c>
      <c r="N20" s="6" t="s">
        <v>18</v>
      </c>
    </row>
    <row r="21" ht="15.75" customHeight="1">
      <c r="A21" s="6" t="s">
        <v>613</v>
      </c>
      <c r="B21" s="6" t="s">
        <v>1152</v>
      </c>
      <c r="C21" s="6" t="s">
        <v>435</v>
      </c>
      <c r="D21" s="6" t="s">
        <v>1606</v>
      </c>
      <c r="E21" s="6" t="s">
        <v>459</v>
      </c>
      <c r="F21" s="6"/>
      <c r="G21" s="6"/>
      <c r="H21" s="6"/>
      <c r="I21" s="6" t="s">
        <v>1173</v>
      </c>
      <c r="J21" s="6"/>
      <c r="K21" s="6"/>
      <c r="L21" s="6" t="s">
        <v>304</v>
      </c>
      <c r="M21" s="6" t="s">
        <v>373</v>
      </c>
      <c r="N21" s="6"/>
    </row>
    <row r="22" ht="15.75" customHeight="1">
      <c r="A22" s="6" t="s">
        <v>613</v>
      </c>
      <c r="B22" s="6" t="s">
        <v>1598</v>
      </c>
      <c r="C22" s="6" t="s">
        <v>539</v>
      </c>
      <c r="D22" s="6" t="s">
        <v>1594</v>
      </c>
      <c r="E22" s="6" t="s">
        <v>459</v>
      </c>
      <c r="F22" s="6"/>
      <c r="G22" s="6"/>
      <c r="H22" s="6"/>
      <c r="I22" s="6"/>
      <c r="J22" s="6"/>
      <c r="K22" s="6"/>
      <c r="L22" s="6" t="s">
        <v>29</v>
      </c>
      <c r="M22" s="6" t="s">
        <v>30</v>
      </c>
      <c r="N22" s="6"/>
    </row>
    <row r="23" ht="15.75" customHeight="1"/>
    <row r="24" ht="15.75" customHeight="1">
      <c r="A24" s="16" t="s">
        <v>900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ht="15.75" customHeight="1">
      <c r="A25" s="17" t="s">
        <v>1292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ht="15.75" customHeight="1">
      <c r="A26" s="18" t="s">
        <v>4</v>
      </c>
      <c r="B26" s="18" t="s">
        <v>6</v>
      </c>
      <c r="C26" s="18" t="s">
        <v>7</v>
      </c>
      <c r="D26" s="18" t="s">
        <v>8</v>
      </c>
      <c r="E26" s="18" t="s">
        <v>9</v>
      </c>
      <c r="F26" s="18" t="s">
        <v>10</v>
      </c>
      <c r="G26" s="18" t="s">
        <v>11</v>
      </c>
      <c r="H26" s="18" t="s">
        <v>12</v>
      </c>
      <c r="I26" s="18" t="s">
        <v>13</v>
      </c>
      <c r="J26" s="18" t="s">
        <v>14</v>
      </c>
      <c r="K26" s="18" t="s">
        <v>15</v>
      </c>
      <c r="L26" s="18" t="s">
        <v>16</v>
      </c>
      <c r="M26" s="18" t="s">
        <v>17</v>
      </c>
      <c r="N26" s="18" t="s">
        <v>18</v>
      </c>
    </row>
    <row r="27" ht="15.75" customHeight="1">
      <c r="A27" s="6" t="s">
        <v>903</v>
      </c>
      <c r="B27" s="6" t="s">
        <v>123</v>
      </c>
      <c r="C27" s="6" t="s">
        <v>50</v>
      </c>
      <c r="D27" s="6" t="s">
        <v>1606</v>
      </c>
      <c r="E27" s="6" t="s">
        <v>73</v>
      </c>
      <c r="F27" s="6"/>
      <c r="G27" s="6"/>
      <c r="H27" s="6"/>
      <c r="I27" s="6" t="s">
        <v>131</v>
      </c>
      <c r="J27" s="6"/>
      <c r="K27" s="6"/>
      <c r="L27" s="6" t="s">
        <v>304</v>
      </c>
      <c r="M27" s="6" t="s">
        <v>984</v>
      </c>
      <c r="N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N1"/>
    <mergeCell ref="A3:N3"/>
    <mergeCell ref="A4:N4"/>
    <mergeCell ref="A8:N8"/>
    <mergeCell ref="A13:N13"/>
    <mergeCell ref="A14:N14"/>
  </mergeCells>
  <conditionalFormatting sqref="A6:N6">
    <cfRule type="expression" dxfId="0" priority="1">
      <formula>OR(ISNUMBER(SEARCH("Finalizado",$D6)),$M6="Finalizado",$M6="Validado")</formula>
    </cfRule>
  </conditionalFormatting>
  <conditionalFormatting sqref="A6:N6">
    <cfRule type="expression" dxfId="1" priority="2">
      <formula>AND(NOT(ISNUMBER(SEARCH("Finalizado",$D6))),$M6="Pendente",NOT(ISNUMBER(SEARCH("Falta Justificada",$D6))))</formula>
    </cfRule>
  </conditionalFormatting>
  <conditionalFormatting sqref="K6">
    <cfRule type="expression" dxfId="2" priority="3">
      <formula>OR(ISNUMBER(SEARCH("1ª SESSÃO",K6)),ISNUMBER(SEARCH("ALERTA FINAL",K6)),ISNUMBER(SEARCH("MEDSÊNIOR",K6)))</formula>
    </cfRule>
  </conditionalFormatting>
  <conditionalFormatting sqref="A10:N11">
    <cfRule type="expression" dxfId="0" priority="4">
      <formula>OR(ISNUMBER(SEARCH("Finalizado",$D10)),$M10="Finalizado",$M10="Validado")</formula>
    </cfRule>
  </conditionalFormatting>
  <conditionalFormatting sqref="A10:N11">
    <cfRule type="expression" dxfId="1" priority="5">
      <formula>AND(NOT(ISNUMBER(SEARCH("Finalizado",$D10))),$M10="Pendente",NOT(ISNUMBER(SEARCH("Falta Justificada",$D10))))</formula>
    </cfRule>
  </conditionalFormatting>
  <conditionalFormatting sqref="K10:K11">
    <cfRule type="expression" dxfId="2" priority="6">
      <formula>OR(ISNUMBER(SEARCH("1ª SESSÃO",K10)),ISNUMBER(SEARCH("ALERTA FINAL",K10)),ISNUMBER(SEARCH("MEDSÊNIOR",K10)))</formula>
    </cfRule>
  </conditionalFormatting>
  <conditionalFormatting sqref="A16:N16">
    <cfRule type="expression" dxfId="0" priority="7">
      <formula>OR(ISNUMBER(SEARCH("Finalizado",$D16)),$M16="Finalizado",$M16="Validado")</formula>
    </cfRule>
  </conditionalFormatting>
  <conditionalFormatting sqref="A16:N16">
    <cfRule type="expression" dxfId="1" priority="8">
      <formula>AND(NOT(ISNUMBER(SEARCH("Finalizado",$D16))),$M16="Pendente",NOT(ISNUMBER(SEARCH("Falta Justificada",$D16))))</formula>
    </cfRule>
  </conditionalFormatting>
  <conditionalFormatting sqref="K16">
    <cfRule type="expression" dxfId="2" priority="9">
      <formula>OR(ISNUMBER(SEARCH("1ª SESSÃO",K16)),ISNUMBER(SEARCH("ALERTA FINAL",K16)),ISNUMBER(SEARCH("MEDSÊNIOR",K16)))</formula>
    </cfRule>
  </conditionalFormatting>
  <conditionalFormatting sqref="A21:N21">
    <cfRule type="expression" dxfId="3" priority="10">
      <formula>OR($M21="Finalizado",$M21="Validado",LEFT($D21,10)="Finalizado")</formula>
    </cfRule>
  </conditionalFormatting>
  <conditionalFormatting sqref="A21:N21">
    <cfRule type="expression" dxfId="4" priority="11">
      <formula>AND($M21="Pendente",LEFT($D21,10)&lt;&gt;"Finalizado")</formula>
    </cfRule>
  </conditionalFormatting>
  <conditionalFormatting sqref="A22:N22">
    <cfRule type="expression" dxfId="3" priority="12">
      <formula>OR($M22="Finalizado",$M22="Validado",LEFT($D22,10)="Finalizado")</formula>
    </cfRule>
  </conditionalFormatting>
  <conditionalFormatting sqref="A22:N22">
    <cfRule type="expression" dxfId="4" priority="13">
      <formula>AND($M22="Pendente",LEFT($D22,10)&lt;&gt;"Finalizado")</formula>
    </cfRule>
  </conditionalFormatting>
  <conditionalFormatting sqref="A27:N27">
    <cfRule type="expression" dxfId="3" priority="14">
      <formula>OR($M27="Validado",$M27="Finalizado",LEFT($D27,10)="Finalizado")</formula>
    </cfRule>
  </conditionalFormatting>
  <conditionalFormatting sqref="A27:N27">
    <cfRule type="expression" dxfId="4" priority="15">
      <formula>AND($M27="Pendente",LEFT($D27,10)&lt;&gt;"Finalizado")</formula>
    </cfRule>
  </conditionalFormatting>
  <dataValidations>
    <dataValidation type="list" allowBlank="1" sqref="M6 M10:M11 M16 M21:M22 M27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0.0"/>
    <col customWidth="1" min="3" max="3" width="11.0"/>
    <col customWidth="1" min="4" max="4" width="22.0"/>
    <col customWidth="1" min="5" max="5" width="28.0"/>
    <col customWidth="1" min="6" max="6" width="30.0"/>
    <col customWidth="1" min="7" max="7" width="38.0"/>
    <col customWidth="1" min="8" max="8" width="10.0"/>
    <col customWidth="1" min="9" max="9" width="20.0"/>
    <col customWidth="1" min="10" max="10" width="22.0"/>
    <col customWidth="1" min="11" max="11" width="50.0"/>
    <col customWidth="1" min="12" max="12" width="22.0"/>
    <col customWidth="1" min="13" max="13" width="18.0"/>
    <col customWidth="1" min="14" max="14" width="32.0"/>
  </cols>
  <sheetData>
    <row r="1">
      <c r="A1" s="1" t="s">
        <v>1597</v>
      </c>
    </row>
    <row r="3">
      <c r="A3" s="2" t="s">
        <v>170</v>
      </c>
    </row>
    <row r="4">
      <c r="A4" s="3" t="s">
        <v>3</v>
      </c>
    </row>
    <row r="5">
      <c r="A5" s="4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>
      <c r="A6" s="5" t="s">
        <v>183</v>
      </c>
      <c r="B6" s="5" t="s">
        <v>1610</v>
      </c>
      <c r="C6" s="5" t="s">
        <v>262</v>
      </c>
      <c r="D6" s="5" t="s">
        <v>187</v>
      </c>
      <c r="E6" s="5" t="s">
        <v>242</v>
      </c>
      <c r="F6" s="5" t="s">
        <v>1265</v>
      </c>
      <c r="G6" s="5" t="s">
        <v>1612</v>
      </c>
      <c r="H6" s="5" t="s">
        <v>55</v>
      </c>
      <c r="I6" s="5" t="s">
        <v>1613</v>
      </c>
      <c r="J6" s="5"/>
      <c r="K6" s="5" t="s">
        <v>28</v>
      </c>
      <c r="L6" s="5" t="s">
        <v>29</v>
      </c>
      <c r="M6" s="5" t="s">
        <v>30</v>
      </c>
      <c r="N6" s="5"/>
    </row>
    <row r="8">
      <c r="A8" s="16" t="s">
        <v>855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>
      <c r="A10" s="18" t="s">
        <v>4</v>
      </c>
      <c r="B10" s="18" t="s">
        <v>6</v>
      </c>
      <c r="C10" s="18" t="s">
        <v>7</v>
      </c>
      <c r="D10" s="18" t="s">
        <v>8</v>
      </c>
      <c r="E10" s="18" t="s">
        <v>9</v>
      </c>
      <c r="F10" s="18" t="s">
        <v>10</v>
      </c>
      <c r="G10" s="18" t="s">
        <v>11</v>
      </c>
      <c r="H10" s="18" t="s">
        <v>12</v>
      </c>
      <c r="I10" s="18" t="s">
        <v>13</v>
      </c>
      <c r="J10" s="18" t="s">
        <v>14</v>
      </c>
      <c r="K10" s="18" t="s">
        <v>15</v>
      </c>
      <c r="L10" s="18" t="s">
        <v>16</v>
      </c>
      <c r="M10" s="18" t="s">
        <v>17</v>
      </c>
      <c r="N10" s="18" t="s">
        <v>18</v>
      </c>
    </row>
    <row r="11">
      <c r="A11" s="6" t="s">
        <v>863</v>
      </c>
      <c r="B11" s="6" t="s">
        <v>1610</v>
      </c>
      <c r="C11" s="6" t="s">
        <v>825</v>
      </c>
      <c r="D11" s="6" t="s">
        <v>429</v>
      </c>
      <c r="E11" s="6" t="s">
        <v>1113</v>
      </c>
      <c r="F11" s="6" t="s">
        <v>1265</v>
      </c>
      <c r="G11" s="6" t="s">
        <v>1622</v>
      </c>
      <c r="H11" s="6" t="s">
        <v>66</v>
      </c>
      <c r="I11" s="6" t="s">
        <v>1613</v>
      </c>
      <c r="J11" s="6"/>
      <c r="K11" s="6"/>
      <c r="L11" s="6" t="s">
        <v>304</v>
      </c>
      <c r="M11" s="6" t="s">
        <v>30</v>
      </c>
      <c r="N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3:N3"/>
    <mergeCell ref="A4:N4"/>
  </mergeCells>
  <conditionalFormatting sqref="A6:N6">
    <cfRule type="expression" dxfId="0" priority="1">
      <formula>OR(ISNUMBER(SEARCH("Finalizado",$D6)),$M6="Finalizado",$M6="Validado")</formula>
    </cfRule>
  </conditionalFormatting>
  <conditionalFormatting sqref="A6:N6">
    <cfRule type="expression" dxfId="1" priority="2">
      <formula>AND(NOT(ISNUMBER(SEARCH("Finalizado",$D6))),$M6="Pendente",NOT(ISNUMBER(SEARCH("Falta Justificada",$D6))))</formula>
    </cfRule>
  </conditionalFormatting>
  <conditionalFormatting sqref="K6">
    <cfRule type="expression" dxfId="2" priority="3">
      <formula>OR(ISNUMBER(SEARCH("1ª SESSÃO",K6)),ISNUMBER(SEARCH("ALERTA FINAL",K6)),ISNUMBER(SEARCH("MEDSÊNIOR",K6)))</formula>
    </cfRule>
  </conditionalFormatting>
  <conditionalFormatting sqref="A11:N11">
    <cfRule type="expression" dxfId="3" priority="4">
      <formula>OR($M11="Validado",$M11="Finalizado",LEFT($D11,10)="Finalizado")</formula>
    </cfRule>
  </conditionalFormatting>
  <conditionalFormatting sqref="A11:N11">
    <cfRule type="expression" dxfId="4" priority="5">
      <formula>AND($M11="Pendente",LEFT($D11,10)&lt;&gt;"Finalizado")</formula>
    </cfRule>
  </conditionalFormatting>
  <dataValidations>
    <dataValidation type="list" allowBlank="1" sqref="M6 M11">
      <formula1>"Pendente,Finalizado,Validado,Cancelado,Não se aplica"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10.0"/>
    <col customWidth="1" min="3" max="6" width="8.63"/>
  </cols>
  <sheetData>
    <row r="1">
      <c r="A1" s="24" t="s">
        <v>1717</v>
      </c>
    </row>
    <row r="3">
      <c r="A3" s="5" t="s">
        <v>1718</v>
      </c>
      <c r="B3" s="5" t="s">
        <v>1719</v>
      </c>
    </row>
    <row r="4">
      <c r="A4" s="5" t="s">
        <v>1720</v>
      </c>
      <c r="B4" s="5" t="s">
        <v>1721</v>
      </c>
    </row>
    <row r="5">
      <c r="A5" s="5" t="s">
        <v>1722</v>
      </c>
      <c r="B5" s="5" t="s">
        <v>1723</v>
      </c>
    </row>
    <row r="6">
      <c r="A6" s="5" t="s">
        <v>678</v>
      </c>
      <c r="B6" s="5" t="s">
        <v>1724</v>
      </c>
    </row>
    <row r="7">
      <c r="A7" s="5" t="s">
        <v>1725</v>
      </c>
      <c r="B7" s="5" t="s">
        <v>1726</v>
      </c>
    </row>
    <row r="8">
      <c r="A8" s="5" t="s">
        <v>1727</v>
      </c>
      <c r="B8" s="5" t="s">
        <v>1728</v>
      </c>
    </row>
    <row r="9">
      <c r="A9" s="5" t="s">
        <v>1729</v>
      </c>
      <c r="B9" s="5" t="s">
        <v>1730</v>
      </c>
    </row>
    <row r="10">
      <c r="A10" s="5" t="s">
        <v>1731</v>
      </c>
      <c r="B10" s="5" t="s">
        <v>1732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6" width="25.0"/>
    <col customWidth="1" min="7" max="7" width="21.0"/>
  </cols>
  <sheetData>
    <row r="1">
      <c r="A1" s="25" t="s">
        <v>1734</v>
      </c>
    </row>
    <row r="3">
      <c r="A3" s="26" t="s">
        <v>4</v>
      </c>
      <c r="B3" s="26" t="s">
        <v>1736</v>
      </c>
      <c r="C3" s="26" t="s">
        <v>1737</v>
      </c>
      <c r="D3" s="26" t="s">
        <v>1738</v>
      </c>
      <c r="E3" s="26" t="s">
        <v>1739</v>
      </c>
      <c r="F3" s="26" t="s">
        <v>1740</v>
      </c>
      <c r="G3" s="26" t="s">
        <v>1741</v>
      </c>
    </row>
    <row r="4">
      <c r="A4" s="27" t="s">
        <v>19</v>
      </c>
      <c r="B4" s="27">
        <f>'RESUMO CONFERÊNCIA'!B4</f>
        <v>122</v>
      </c>
      <c r="C4" s="27">
        <f>'RESUMO CONFERÊNCIA'!C4+'RESUMO CONFERÊNCIA'!D4</f>
        <v>122</v>
      </c>
      <c r="D4" s="27">
        <f>'RESUMO CONFERÊNCIA'!E4</f>
        <v>0</v>
      </c>
      <c r="E4" s="27">
        <f>'RESUMO CONFERÊNCIA'!H4</f>
        <v>3</v>
      </c>
      <c r="F4" s="27">
        <f>'RESUMO CONFERÊNCIA'!I4</f>
        <v>0</v>
      </c>
      <c r="G4" s="27">
        <f t="shared" ref="G4:G17" si="1">IFERROR(C4/B4,0)</f>
        <v>1</v>
      </c>
    </row>
    <row r="5">
      <c r="A5" s="27" t="s">
        <v>183</v>
      </c>
      <c r="B5" s="27">
        <f>'RESUMO CONFERÊNCIA'!B5</f>
        <v>98</v>
      </c>
      <c r="C5" s="27">
        <f>'RESUMO CONFERÊNCIA'!C5+'RESUMO CONFERÊNCIA'!D5</f>
        <v>96</v>
      </c>
      <c r="D5" s="27">
        <f>'RESUMO CONFERÊNCIA'!E5</f>
        <v>2</v>
      </c>
      <c r="E5" s="27">
        <f>'RESUMO CONFERÊNCIA'!H5</f>
        <v>11</v>
      </c>
      <c r="F5" s="27">
        <f>'RESUMO CONFERÊNCIA'!I5</f>
        <v>0</v>
      </c>
      <c r="G5" s="27">
        <f t="shared" si="1"/>
        <v>0.9795918367</v>
      </c>
    </row>
    <row r="6">
      <c r="A6" s="27" t="s">
        <v>297</v>
      </c>
      <c r="B6" s="27">
        <f>'RESUMO CONFERÊNCIA'!B6</f>
        <v>137</v>
      </c>
      <c r="C6" s="27">
        <f>'RESUMO CONFERÊNCIA'!C6+'RESUMO CONFERÊNCIA'!D6</f>
        <v>129</v>
      </c>
      <c r="D6" s="27">
        <f>'RESUMO CONFERÊNCIA'!E6</f>
        <v>4</v>
      </c>
      <c r="E6" s="27">
        <f>'RESUMO CONFERÊNCIA'!H6</f>
        <v>3</v>
      </c>
      <c r="F6" s="27">
        <f>'RESUMO CONFERÊNCIA'!I6</f>
        <v>0</v>
      </c>
      <c r="G6" s="27">
        <f t="shared" si="1"/>
        <v>0.9416058394</v>
      </c>
    </row>
    <row r="7">
      <c r="A7" s="30" t="s">
        <v>424</v>
      </c>
      <c r="B7" s="30">
        <f>'RESUMO CONFERÊNCIA'!B7</f>
        <v>142</v>
      </c>
      <c r="C7" s="30">
        <f>'RESUMO CONFERÊNCIA'!C7+'RESUMO CONFERÊNCIA'!D7</f>
        <v>124</v>
      </c>
      <c r="D7" s="30">
        <f>'RESUMO CONFERÊNCIA'!E7</f>
        <v>0</v>
      </c>
      <c r="E7" s="30">
        <f>'RESUMO CONFERÊNCIA'!H7</f>
        <v>1</v>
      </c>
      <c r="F7" s="30">
        <f>'RESUMO CONFERÊNCIA'!I7</f>
        <v>6</v>
      </c>
      <c r="G7" s="30">
        <f t="shared" si="1"/>
        <v>0.8732394366</v>
      </c>
    </row>
    <row r="8">
      <c r="A8" s="31" t="s">
        <v>521</v>
      </c>
      <c r="B8" s="31">
        <f>'RESUMO CONFERÊNCIA'!B8</f>
        <v>123</v>
      </c>
      <c r="C8" s="31">
        <f>'RESUMO CONFERÊNCIA'!C8+'RESUMO CONFERÊNCIA'!D8</f>
        <v>246</v>
      </c>
      <c r="D8" s="31">
        <f>'RESUMO CONFERÊNCIA'!E8</f>
        <v>123</v>
      </c>
      <c r="E8" s="31">
        <f>'RESUMO CONFERÊNCIA'!H8</f>
        <v>123</v>
      </c>
      <c r="F8" s="31">
        <f>'RESUMO CONFERÊNCIA'!I8</f>
        <v>123</v>
      </c>
      <c r="G8" s="31">
        <f t="shared" si="1"/>
        <v>2</v>
      </c>
    </row>
    <row r="9">
      <c r="A9" s="31" t="s">
        <v>613</v>
      </c>
      <c r="B9" s="31">
        <f>'RESUMO CONFERÊNCIA'!B9</f>
        <v>127</v>
      </c>
      <c r="C9" s="31">
        <f>'RESUMO CONFERÊNCIA'!C9+'RESUMO CONFERÊNCIA'!D9</f>
        <v>111</v>
      </c>
      <c r="D9" s="31">
        <f>'RESUMO CONFERÊNCIA'!E9</f>
        <v>0</v>
      </c>
      <c r="E9" s="31">
        <f>'RESUMO CONFERÊNCIA'!H9</f>
        <v>0</v>
      </c>
      <c r="F9" s="31">
        <f>'RESUMO CONFERÊNCIA'!I9</f>
        <v>0</v>
      </c>
      <c r="G9" s="31">
        <f t="shared" si="1"/>
        <v>0.874015748</v>
      </c>
    </row>
    <row r="10">
      <c r="A10" s="31" t="s">
        <v>669</v>
      </c>
      <c r="B10" s="31">
        <f>'RESUMO CONFERÊNCIA'!B10</f>
        <v>114</v>
      </c>
      <c r="C10" s="31">
        <f>'RESUMO CONFERÊNCIA'!C10+'RESUMO CONFERÊNCIA'!D10</f>
        <v>98</v>
      </c>
      <c r="D10" s="31">
        <f>'RESUMO CONFERÊNCIA'!E10</f>
        <v>0</v>
      </c>
      <c r="E10" s="31">
        <f>'RESUMO CONFERÊNCIA'!H10</f>
        <v>0</v>
      </c>
      <c r="F10" s="31">
        <f>'RESUMO CONFERÊNCIA'!I10</f>
        <v>9</v>
      </c>
      <c r="G10" s="31">
        <f t="shared" si="1"/>
        <v>0.8596491228</v>
      </c>
    </row>
    <row r="11">
      <c r="A11" s="31" t="s">
        <v>745</v>
      </c>
      <c r="B11" s="31">
        <f>'RESUMO CONFERÊNCIA'!B11</f>
        <v>145</v>
      </c>
      <c r="C11" s="31">
        <f>'RESUMO CONFERÊNCIA'!C11+'RESUMO CONFERÊNCIA'!D11</f>
        <v>117</v>
      </c>
      <c r="D11" s="31">
        <f>'RESUMO CONFERÊNCIA'!E11</f>
        <v>1</v>
      </c>
      <c r="E11" s="31">
        <f>'RESUMO CONFERÊNCIA'!H11</f>
        <v>0</v>
      </c>
      <c r="F11" s="31">
        <f>'RESUMO CONFERÊNCIA'!I11</f>
        <v>7</v>
      </c>
      <c r="G11" s="31">
        <f t="shared" si="1"/>
        <v>0.8068965517</v>
      </c>
    </row>
    <row r="12">
      <c r="A12" s="31" t="s">
        <v>818</v>
      </c>
      <c r="B12" s="31">
        <f>'RESUMO CONFERÊNCIA'!B12</f>
        <v>127</v>
      </c>
      <c r="C12" s="31">
        <f>'RESUMO CONFERÊNCIA'!C12+'RESUMO CONFERÊNCIA'!D12</f>
        <v>96</v>
      </c>
      <c r="D12" s="31">
        <f>'RESUMO CONFERÊNCIA'!E12</f>
        <v>4</v>
      </c>
      <c r="E12" s="31">
        <f>'RESUMO CONFERÊNCIA'!H12</f>
        <v>0</v>
      </c>
      <c r="F12" s="31">
        <f>'RESUMO CONFERÊNCIA'!I12</f>
        <v>9</v>
      </c>
      <c r="G12" s="31">
        <f t="shared" si="1"/>
        <v>0.7559055118</v>
      </c>
    </row>
    <row r="13">
      <c r="A13" s="31" t="s">
        <v>863</v>
      </c>
      <c r="B13" s="31">
        <f>'RESUMO CONFERÊNCIA'!B13</f>
        <v>138</v>
      </c>
      <c r="C13" s="31">
        <f>'RESUMO CONFERÊNCIA'!C13+'RESUMO CONFERÊNCIA'!D13</f>
        <v>111</v>
      </c>
      <c r="D13" s="31">
        <f>'RESUMO CONFERÊNCIA'!E13</f>
        <v>1</v>
      </c>
      <c r="E13" s="31">
        <f>'RESUMO CONFERÊNCIA'!H13</f>
        <v>0</v>
      </c>
      <c r="F13" s="31">
        <f>'RESUMO CONFERÊNCIA'!I13</f>
        <v>12</v>
      </c>
      <c r="G13" s="31">
        <f t="shared" si="1"/>
        <v>0.8043478261</v>
      </c>
    </row>
    <row r="14">
      <c r="A14" s="31" t="s">
        <v>903</v>
      </c>
      <c r="B14" s="31">
        <f>'RESUMO CONFERÊNCIA'!B14</f>
        <v>104</v>
      </c>
      <c r="C14" s="31">
        <f>'RESUMO CONFERÊNCIA'!C14+'RESUMO CONFERÊNCIA'!D14</f>
        <v>96</v>
      </c>
      <c r="D14" s="31">
        <f>'RESUMO CONFERÊNCIA'!E14</f>
        <v>2</v>
      </c>
      <c r="E14" s="31">
        <f>'RESUMO CONFERÊNCIA'!H14</f>
        <v>0</v>
      </c>
      <c r="F14" s="31">
        <f>'RESUMO CONFERÊNCIA'!I14</f>
        <v>0</v>
      </c>
      <c r="G14" s="31">
        <f t="shared" si="1"/>
        <v>0.9230769231</v>
      </c>
    </row>
    <row r="15">
      <c r="A15" s="31" t="s">
        <v>935</v>
      </c>
      <c r="B15" s="31">
        <f>'RESUMO CONFERÊNCIA'!B15</f>
        <v>137</v>
      </c>
      <c r="C15" s="31">
        <f>'RESUMO CONFERÊNCIA'!C15+'RESUMO CONFERÊNCIA'!D15</f>
        <v>97</v>
      </c>
      <c r="D15" s="31">
        <f>'RESUMO CONFERÊNCIA'!E15</f>
        <v>19</v>
      </c>
      <c r="E15" s="31">
        <f>'RESUMO CONFERÊNCIA'!H15</f>
        <v>0</v>
      </c>
      <c r="F15" s="31">
        <f>'RESUMO CONFERÊNCIA'!I15</f>
        <v>8</v>
      </c>
      <c r="G15" s="31">
        <f t="shared" si="1"/>
        <v>0.7080291971</v>
      </c>
    </row>
    <row r="16">
      <c r="A16" s="31" t="s">
        <v>978</v>
      </c>
      <c r="B16" s="31">
        <f>'RESUMO CONFERÊNCIA'!B16</f>
        <v>144</v>
      </c>
      <c r="C16" s="31">
        <f>'RESUMO CONFERÊNCIA'!C16+'RESUMO CONFERÊNCIA'!D16</f>
        <v>91</v>
      </c>
      <c r="D16" s="31">
        <f>'RESUMO CONFERÊNCIA'!E16</f>
        <v>36</v>
      </c>
      <c r="E16" s="31">
        <f>'RESUMO CONFERÊNCIA'!H16</f>
        <v>0</v>
      </c>
      <c r="F16" s="31">
        <f>'RESUMO CONFERÊNCIA'!I16</f>
        <v>11</v>
      </c>
      <c r="G16" s="31">
        <f t="shared" si="1"/>
        <v>0.6319444444</v>
      </c>
    </row>
    <row r="17">
      <c r="A17" s="17" t="s">
        <v>1776</v>
      </c>
      <c r="B17" s="17">
        <f t="shared" ref="B17:F17" si="2">SUM(B4:B16)</f>
        <v>1658</v>
      </c>
      <c r="C17" s="17">
        <f t="shared" si="2"/>
        <v>1534</v>
      </c>
      <c r="D17" s="17">
        <f t="shared" si="2"/>
        <v>192</v>
      </c>
      <c r="E17" s="17">
        <f t="shared" si="2"/>
        <v>141</v>
      </c>
      <c r="F17" s="17">
        <f t="shared" si="2"/>
        <v>185</v>
      </c>
      <c r="G17" s="17">
        <f t="shared" si="1"/>
        <v>0.9252110977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0" width="23.0"/>
  </cols>
  <sheetData>
    <row r="1">
      <c r="A1" s="28" t="s">
        <v>1745</v>
      </c>
      <c r="B1" s="28"/>
      <c r="C1" s="28"/>
      <c r="D1" s="28"/>
      <c r="E1" s="28"/>
      <c r="F1" s="28"/>
      <c r="G1" s="28"/>
      <c r="H1" s="28"/>
      <c r="I1" s="28"/>
      <c r="J1" s="28"/>
    </row>
    <row r="3">
      <c r="A3" s="29" t="s">
        <v>4</v>
      </c>
      <c r="B3" s="29" t="s">
        <v>1736</v>
      </c>
      <c r="C3" s="29" t="s">
        <v>1748</v>
      </c>
      <c r="D3" s="29" t="s">
        <v>1749</v>
      </c>
      <c r="E3" s="29" t="s">
        <v>1751</v>
      </c>
      <c r="F3" s="29" t="s">
        <v>1752</v>
      </c>
      <c r="G3" s="29" t="s">
        <v>1753</v>
      </c>
      <c r="H3" s="29" t="s">
        <v>1739</v>
      </c>
      <c r="I3" s="29" t="s">
        <v>1740</v>
      </c>
      <c r="J3" s="29" t="s">
        <v>1754</v>
      </c>
    </row>
    <row r="4">
      <c r="A4" s="6" t="s">
        <v>19</v>
      </c>
      <c r="B4" s="6">
        <f>COUNTIF('Afresp Saúde'!$A$1:$A$1100,$A4)+COUNTIF('Amil Black, Amil One, Lincx'!$A$1:$A$1100,$A4)+COUNTIF('Care Plus'!$A$1:$A$1100,$A4)+COUNTIF(Medsenior!$A$1:$A$1100,$A4)+COUNTIF('Omint Skill'!$A$1:$A$1100,$A4)+COUNTIF('Omint Premium'!$A$1:$A$1100,$A4)+COUNTIF('Convênio Creabily Especial'!$A$1:$A$1100,$A4)+COUNTIF('Creabily Particular'!$A$1:$A$1100,$A4)+COUNTIF('Omint Corporate'!$A$1:$A$1100,$A4)+COUNTIF('SEM CONVÊNIO'!$A$1:$A$1100,$A4)+COUNTIF('Total Pass'!$A$1:$A$1100,$A4)</f>
        <v>122</v>
      </c>
      <c r="C4" s="6">
        <f>COUNTIFS('Afresp Saúde'!$A$1:$A$1100,$A4,'Afresp Saúde'!$M$1:$M$1100,"Finalizado")+COUNTIFS('Amil Black, Amil One, Lincx'!$A$1:$A$1100,$A4,'Amil Black, Amil One, Lincx'!$M$1:$M$1100,"Finalizado")+COUNTIFS('Care Plus'!$A$1:$A$1100,$A4,'Care Plus'!$M$1:$M$1100,"Finalizado")+COUNTIFS(Medsenior!$A$1:$A$1100,$A4,Medsenior!$M$1:$M$1100,"Finalizado")+COUNTIFS('Omint Skill'!$A$1:$A$1100,$A4,'Omint Skill'!$M$1:$M$1100,"Finalizado")+COUNTIFS('Omint Premium'!$A$1:$A$1100,$A4,'Omint Premium'!$M$1:$M$1100,"Finalizado")+COUNTIFS('Convênio Creabily Especial'!$A$1:$A$1100,$A4,'Convênio Creabily Especial'!$M$1:$M$1100,"Finalizado")+COUNTIFS('Creabily Particular'!$A$1:$A$1100,$A4,'Creabily Particular'!$M$1:$M$1100,"Finalizado")+COUNTIFS('Omint Corporate'!$A$1:$A$1100,$A4,'Omint Corporate'!$M$1:$M$1100,"Finalizado")+COUNTIFS('SEM CONVÊNIO'!$A$1:$A$1100,$A4,'SEM CONVÊNIO'!$M$1:$M$1100,"Finalizado")+COUNTIFS('Total Pass'!$A$1:$A$1100,$A4,'Total Pass'!$M$1:$M$1100,"Finalizado")</f>
        <v>120</v>
      </c>
      <c r="D4" s="6">
        <f>COUNTIFS('Afresp Saúde'!$A$1:$A$1100,$A4,'Afresp Saúde'!$M$1:$M$1100,"Validado")+COUNTIFS('Amil Black, Amil One, Lincx'!$A$1:$A$1100,$A4,'Amil Black, Amil One, Lincx'!$M$1:$M$1100,"Validado")+COUNTIFS('Care Plus'!$A$1:$A$1100,$A4,'Care Plus'!$M$1:$M$1100,"Validado")+COUNTIFS(Medsenior!$A$1:$A$1100,$A4,Medsenior!$M$1:$M$1100,"Validado")+COUNTIFS('Omint Skill'!$A$1:$A$1100,$A4,'Omint Skill'!$M$1:$M$1100,"Validado")+COUNTIFS('Omint Premium'!$A$1:$A$1100,$A4,'Omint Premium'!$M$1:$M$1100,"Validado")+COUNTIFS('Convênio Creabily Especial'!$A$1:$A$1100,$A4,'Convênio Creabily Especial'!$M$1:$M$1100,"Validado")+COUNTIFS('Creabily Particular'!$A$1:$A$1100,$A4,'Creabily Particular'!$M$1:$M$1100,"Validado")+COUNTIFS('Omint Corporate'!$A$1:$A$1100,$A4,'Omint Corporate'!$M$1:$M$1100,"Validado")+COUNTIFS('SEM CONVÊNIO'!$A$1:$A$1100,$A4,'SEM CONVÊNIO'!$M$1:$M$1100,"Validado")+COUNTIFS('Total Pass'!$A$1:$A$1100,$A4,'Total Pass'!$M$1:$M$1100,"Validado")</f>
        <v>2</v>
      </c>
      <c r="E4" s="6">
        <f>COUNTIFS('Afresp Saúde'!$A$1:$A$1100,$A4,'Afresp Saúde'!$M$1:$M$1100,"Pendente")+COUNTIFS('Amil Black, Amil One, Lincx'!$A$1:$A$1100,$A4,'Amil Black, Amil One, Lincx'!$M$1:$M$1100,"Pendente")+COUNTIFS('Care Plus'!$A$1:$A$1100,$A4,'Care Plus'!$M$1:$M$1100,"Pendente")+COUNTIFS(Medsenior!$A$1:$A$1100,$A4,Medsenior!$M$1:$M$1100,"Pendente")+COUNTIFS('Omint Skill'!$A$1:$A$1100,$A4,'Omint Skill'!$M$1:$M$1100,"Pendente")+COUNTIFS('Omint Premium'!$A$1:$A$1100,$A4,'Omint Premium'!$M$1:$M$1100,"Pendente")+COUNTIFS('Convênio Creabily Especial'!$A$1:$A$1100,$A4,'Convênio Creabily Especial'!$M$1:$M$1100,"Pendente")+COUNTIFS('Creabily Particular'!$A$1:$A$1100,$A4,'Creabily Particular'!$M$1:$M$1100,"Pendente")+COUNTIFS('Omint Corporate'!$A$1:$A$1100,$A4,'Omint Corporate'!$M$1:$M$1100,"Pendente")+COUNTIFS('SEM CONVÊNIO'!$A$1:$A$1100,$A4,'SEM CONVÊNIO'!$M$1:$M$1100,"Pendente")+COUNTIFS('Total Pass'!$A$1:$A$1100,$A4,'Total Pass'!$M$1:$M$1100,"Pendente")</f>
        <v>0</v>
      </c>
      <c r="F4" s="6">
        <f>COUNTIFS('Afresp Saúde'!$A$1:$A$1100,$A4,'Afresp Saúde'!$M$1:$M$1100,"Cancelado")+COUNTIFS('Amil Black, Amil One, Lincx'!$A$1:$A$1100,$A4,'Amil Black, Amil One, Lincx'!$M$1:$M$1100,"Cancelado")+COUNTIFS('Care Plus'!$A$1:$A$1100,$A4,'Care Plus'!$M$1:$M$1100,"Cancelado")+COUNTIFS(Medsenior!$A$1:$A$1100,$A4,Medsenior!$M$1:$M$1100,"Cancelado")+COUNTIFS('Omint Skill'!$A$1:$A$1100,$A4,'Omint Skill'!$M$1:$M$1100,"Cancelado")+COUNTIFS('Omint Premium'!$A$1:$A$1100,$A4,'Omint Premium'!$M$1:$M$1100,"Cancelado")+COUNTIFS('Convênio Creabily Especial'!$A$1:$A$1100,$A4,'Convênio Creabily Especial'!$M$1:$M$1100,"Cancelado")+COUNTIFS('Creabily Particular'!$A$1:$A$1100,$A4,'Creabily Particular'!$M$1:$M$1100,"Cancelado")+COUNTIFS('Omint Corporate'!$A$1:$A$1100,$A4,'Omint Corporate'!$M$1:$M$1100,"Cancelado")+COUNTIFS('SEM CONVÊNIO'!$A$1:$A$1100,$A4,'SEM CONVÊNIO'!$M$1:$M$1100,"Cancelado")+COUNTIFS('Total Pass'!$A$1:$A$1100,$A4,'Total Pass'!$M$1:$M$1100,"Cancelado")</f>
        <v>0</v>
      </c>
      <c r="G4" s="6">
        <f>COUNTIFS('Afresp Saúde'!$A$1:$A$1100,$A4,'Afresp Saúde'!$M$1:$M$1100,"Não se aplica")+COUNTIFS('Amil Black, Amil One, Lincx'!$A$1:$A$1100,$A4,'Amil Black, Amil One, Lincx'!$M$1:$M$1100,"Não se aplica")+COUNTIFS('Care Plus'!$A$1:$A$1100,$A4,'Care Plus'!$M$1:$M$1100,"Não se aplica")+COUNTIFS(Medsenior!$A$1:$A$1100,$A4,Medsenior!$M$1:$M$1100,"Não se aplica")+COUNTIFS('Omint Skill'!$A$1:$A$1100,$A4,'Omint Skill'!$M$1:$M$1100,"Não se aplica")+COUNTIFS('Omint Premium'!$A$1:$A$1100,$A4,'Omint Premium'!$M$1:$M$1100,"Não se aplica")+COUNTIFS('Convênio Creabily Especial'!$A$1:$A$1100,$A4,'Convênio Creabily Especial'!$M$1:$M$1100,"Não se aplica")+COUNTIFS('Creabily Particular'!$A$1:$A$1100,$A4,'Creabily Particular'!$M$1:$M$1100,"Não se aplica")+COUNTIFS('Omint Corporate'!$A$1:$A$1100,$A4,'Omint Corporate'!$M$1:$M$1100,"Não se aplica")+COUNTIFS('SEM CONVÊNIO'!$A$1:$A$1100,$A4,'SEM CONVÊNIO'!$M$1:$M$1100,"Não se aplica")+COUNTIFS('Total Pass'!$A$1:$A$1100,$A4,'Total Pass'!$M$1:$M$1100,"Não se aplica")</f>
        <v>0</v>
      </c>
      <c r="H4" s="6">
        <f>COUNTIFS('Afresp Saúde'!$A$1:$A$1100,$A4,'Afresp Saúde'!$D$1:$D$1100,"Não compareceu*")+COUNTIFS('Amil Black, Amil One, Lincx'!$A$1:$A$1100,$A4,'Amil Black, Amil One, Lincx'!$D$1:$D$1100,"Não compareceu*")+COUNTIFS('Care Plus'!$A$1:$A$1100,$A4,'Care Plus'!$D$1:$D$1100,"Não compareceu*")+COUNTIFS(Medsenior!$A$1:$A$1100,$A4,Medsenior!$D$1:$D$1100,"Não compareceu*")+COUNTIFS('Omint Skill'!$A$1:$A$1100,$A4,'Omint Skill'!$D$1:$D$1100,"Não compareceu*")+COUNTIFS('Omint Premium'!$A$1:$A$1100,$A4,'Omint Premium'!$D$1:$D$1100,"Não compareceu*")+COUNTIFS('Convênio Creabily Especial'!$A$1:$A$1100,$A4,'Convênio Creabily Especial'!$D$1:$D$1100,"Não compareceu*")+COUNTIFS('Creabily Particular'!$A$1:$A$1100,$A4,'Creabily Particular'!$D$1:$D$1100,"Não compareceu*")+COUNTIFS('Omint Corporate'!$A$1:$A$1100,$A4,'Omint Corporate'!$D$1:$D$1100,"Não compareceu*")+COUNTIFS('SEM CONVÊNIO'!$A$1:$A$1100,$A4,'SEM CONVÊNIO'!$D$1:$D$1100,"Não compareceu*")+COUNTIFS('Total Pass'!$A$1:$A$1100,$A4,'Total Pass'!$D$1:$D$1100,"Não compareceu*")</f>
        <v>3</v>
      </c>
      <c r="I4" s="6">
        <f>COUNTIFS('Afresp Saúde'!$A$1:$A$1100,$A4,'Afresp Saúde'!$D$1:$D$1100,"Falta Justificada*")+COUNTIFS('Amil Black, Amil One, Lincx'!$A$1:$A$1100,$A4,'Amil Black, Amil One, Lincx'!$D$1:$D$1100,"Falta Justificada*")+COUNTIFS('Care Plus'!$A$1:$A$1100,$A4,'Care Plus'!$D$1:$D$1100,"Falta Justificada*")+COUNTIFS(Medsenior!$A$1:$A$1100,$A4,Medsenior!$D$1:$D$1100,"Falta Justificada*")+COUNTIFS('Omint Skill'!$A$1:$A$1100,$A4,'Omint Skill'!$D$1:$D$1100,"Falta Justificada*")+COUNTIFS('Omint Premium'!$A$1:$A$1100,$A4,'Omint Premium'!$D$1:$D$1100,"Falta Justificada*")+COUNTIFS('Convênio Creabily Especial'!$A$1:$A$1100,$A4,'Convênio Creabily Especial'!$D$1:$D$1100,"Falta Justificada*")+COUNTIFS('Creabily Particular'!$A$1:$A$1100,$A4,'Creabily Particular'!$D$1:$D$1100,"Falta Justificada*")+COUNTIFS('Omint Corporate'!$A$1:$A$1100,$A4,'Omint Corporate'!$D$1:$D$1100,"Falta Justificada*")+COUNTIFS('SEM CONVÊNIO'!$A$1:$A$1100,$A4,'SEM CONVÊNIO'!$D$1:$D$1100,"Falta Justificada*")+COUNTIFS('Total Pass'!$A$1:$A$1100,$A4,'Total Pass'!$D$1:$D$1100,"Falta Justificada*")</f>
        <v>0</v>
      </c>
      <c r="J4" s="6">
        <f>COUNTIFS('Afresp Saúde'!$A$1:$A$1100,$A4,'Afresp Saúde'!$D$1:$D$1100,"Finalizado*")+COUNTIFS('Amil Black, Amil One, Lincx'!$A$1:$A$1100,$A4,'Amil Black, Amil One, Lincx'!$D$1:$D$1100,"Finalizado*")+COUNTIFS('Care Plus'!$A$1:$A$1100,$A4,'Care Plus'!$D$1:$D$1100,"Finalizado*")+COUNTIFS(Medsenior!$A$1:$A$1100,$A4,Medsenior!$D$1:$D$1100,"Finalizado*")+COUNTIFS('Omint Skill'!$A$1:$A$1100,$A4,'Omint Skill'!$D$1:$D$1100,"Finalizado*")+COUNTIFS('Omint Premium'!$A$1:$A$1100,$A4,'Omint Premium'!$D$1:$D$1100,"Finalizado*")+COUNTIFS('Convênio Creabily Especial'!$A$1:$A$1100,$A4,'Convênio Creabily Especial'!$D$1:$D$1100,"Finalizado*")+COUNTIFS('Creabily Particular'!$A$1:$A$1100,$A4,'Creabily Particular'!$D$1:$D$1100,"Finalizado*")+COUNTIFS('Omint Corporate'!$A$1:$A$1100,$A4,'Omint Corporate'!$D$1:$D$1100,"Finalizado*")+COUNTIFS('SEM CONVÊNIO'!$A$1:$A$1100,$A4,'SEM CONVÊNIO'!$D$1:$D$1100,"Finalizado*")+COUNTIFS('Total Pass'!$A$1:$A$1100,$A4,'Total Pass'!$D$1:$D$1100,"Finalizado*")</f>
        <v>119</v>
      </c>
    </row>
    <row r="5">
      <c r="A5" s="6" t="s">
        <v>183</v>
      </c>
      <c r="B5" s="6">
        <f>COUNTIF('Afresp Saúde'!$A$1:$A$1100,$A5)+COUNTIF('Amil Black, Amil One, Lincx'!$A$1:$A$1100,$A5)+COUNTIF('Care Plus'!$A$1:$A$1100,$A5)+COUNTIF(Medsenior!$A$1:$A$1100,$A5)+COUNTIF('Omint Skill'!$A$1:$A$1100,$A5)+COUNTIF('Omint Premium'!$A$1:$A$1100,$A5)+COUNTIF('Convênio Creabily Especial'!$A$1:$A$1100,$A5)+COUNTIF('Creabily Particular'!$A$1:$A$1100,$A5)+COUNTIF('Omint Corporate'!$A$1:$A$1100,$A5)+COUNTIF('SEM CONVÊNIO'!$A$1:$A$1100,$A5)+COUNTIF('Total Pass'!$A$1:$A$1100,$A5)</f>
        <v>98</v>
      </c>
      <c r="C5" s="6">
        <f>COUNTIFS('Afresp Saúde'!$A$1:$A$1100,$A5,'Afresp Saúde'!$M$1:$M$1100,"Finalizado")+COUNTIFS('Amil Black, Amil One, Lincx'!$A$1:$A$1100,$A5,'Amil Black, Amil One, Lincx'!$M$1:$M$1100,"Finalizado")+COUNTIFS('Care Plus'!$A$1:$A$1100,$A5,'Care Plus'!$M$1:$M$1100,"Finalizado")+COUNTIFS(Medsenior!$A$1:$A$1100,$A5,Medsenior!$M$1:$M$1100,"Finalizado")+COUNTIFS('Omint Skill'!$A$1:$A$1100,$A5,'Omint Skill'!$M$1:$M$1100,"Finalizado")+COUNTIFS('Omint Premium'!$A$1:$A$1100,$A5,'Omint Premium'!$M$1:$M$1100,"Finalizado")+COUNTIFS('Convênio Creabily Especial'!$A$1:$A$1100,$A5,'Convênio Creabily Especial'!$M$1:$M$1100,"Finalizado")+COUNTIFS('Creabily Particular'!$A$1:$A$1100,$A5,'Creabily Particular'!$M$1:$M$1100,"Finalizado")+COUNTIFS('Omint Corporate'!$A$1:$A$1100,$A5,'Omint Corporate'!$M$1:$M$1100,"Finalizado")+COUNTIFS('SEM CONVÊNIO'!$A$1:$A$1100,$A5,'SEM CONVÊNIO'!$M$1:$M$1100,"Finalizado")+COUNTIFS('Total Pass'!$A$1:$A$1100,$A5,'Total Pass'!$M$1:$M$1100,"Finalizado")</f>
        <v>90</v>
      </c>
      <c r="D5" s="6">
        <f>COUNTIFS('Afresp Saúde'!$A$1:$A$1100,$A5,'Afresp Saúde'!$M$1:$M$1100,"Validado")+COUNTIFS('Amil Black, Amil One, Lincx'!$A$1:$A$1100,$A5,'Amil Black, Amil One, Lincx'!$M$1:$M$1100,"Validado")+COUNTIFS('Care Plus'!$A$1:$A$1100,$A5,'Care Plus'!$M$1:$M$1100,"Validado")+COUNTIFS(Medsenior!$A$1:$A$1100,$A5,Medsenior!$M$1:$M$1100,"Validado")+COUNTIFS('Omint Skill'!$A$1:$A$1100,$A5,'Omint Skill'!$M$1:$M$1100,"Validado")+COUNTIFS('Omint Premium'!$A$1:$A$1100,$A5,'Omint Premium'!$M$1:$M$1100,"Validado")+COUNTIFS('Convênio Creabily Especial'!$A$1:$A$1100,$A5,'Convênio Creabily Especial'!$M$1:$M$1100,"Validado")+COUNTIFS('Creabily Particular'!$A$1:$A$1100,$A5,'Creabily Particular'!$M$1:$M$1100,"Validado")+COUNTIFS('Omint Corporate'!$A$1:$A$1100,$A5,'Omint Corporate'!$M$1:$M$1100,"Validado")+COUNTIFS('SEM CONVÊNIO'!$A$1:$A$1100,$A5,'SEM CONVÊNIO'!$M$1:$M$1100,"Validado")+COUNTIFS('Total Pass'!$A$1:$A$1100,$A5,'Total Pass'!$M$1:$M$1100,"Validado")</f>
        <v>6</v>
      </c>
      <c r="E5" s="6">
        <f>COUNTIFS('Afresp Saúde'!$A$1:$A$1100,$A5,'Afresp Saúde'!$M$1:$M$1100,"Pendente")+COUNTIFS('Amil Black, Amil One, Lincx'!$A$1:$A$1100,$A5,'Amil Black, Amil One, Lincx'!$M$1:$M$1100,"Pendente")+COUNTIFS('Care Plus'!$A$1:$A$1100,$A5,'Care Plus'!$M$1:$M$1100,"Pendente")+COUNTIFS(Medsenior!$A$1:$A$1100,$A5,Medsenior!$M$1:$M$1100,"Pendente")+COUNTIFS('Omint Skill'!$A$1:$A$1100,$A5,'Omint Skill'!$M$1:$M$1100,"Pendente")+COUNTIFS('Omint Premium'!$A$1:$A$1100,$A5,'Omint Premium'!$M$1:$M$1100,"Pendente")+COUNTIFS('Convênio Creabily Especial'!$A$1:$A$1100,$A5,'Convênio Creabily Especial'!$M$1:$M$1100,"Pendente")+COUNTIFS('Creabily Particular'!$A$1:$A$1100,$A5,'Creabily Particular'!$M$1:$M$1100,"Pendente")+COUNTIFS('Omint Corporate'!$A$1:$A$1100,$A5,'Omint Corporate'!$M$1:$M$1100,"Pendente")+COUNTIFS('SEM CONVÊNIO'!$A$1:$A$1100,$A5,'SEM CONVÊNIO'!$M$1:$M$1100,"Pendente")+COUNTIFS('Total Pass'!$A$1:$A$1100,$A5,'Total Pass'!$M$1:$M$1100,"Pendente")</f>
        <v>2</v>
      </c>
      <c r="F5" s="6">
        <f>COUNTIFS('Afresp Saúde'!$A$1:$A$1100,$A5,'Afresp Saúde'!$M$1:$M$1100,"Cancelado")+COUNTIFS('Amil Black, Amil One, Lincx'!$A$1:$A$1100,$A5,'Amil Black, Amil One, Lincx'!$M$1:$M$1100,"Cancelado")+COUNTIFS('Care Plus'!$A$1:$A$1100,$A5,'Care Plus'!$M$1:$M$1100,"Cancelado")+COUNTIFS(Medsenior!$A$1:$A$1100,$A5,Medsenior!$M$1:$M$1100,"Cancelado")+COUNTIFS('Omint Skill'!$A$1:$A$1100,$A5,'Omint Skill'!$M$1:$M$1100,"Cancelado")+COUNTIFS('Omint Premium'!$A$1:$A$1100,$A5,'Omint Premium'!$M$1:$M$1100,"Cancelado")+COUNTIFS('Convênio Creabily Especial'!$A$1:$A$1100,$A5,'Convênio Creabily Especial'!$M$1:$M$1100,"Cancelado")+COUNTIFS('Creabily Particular'!$A$1:$A$1100,$A5,'Creabily Particular'!$M$1:$M$1100,"Cancelado")+COUNTIFS('Omint Corporate'!$A$1:$A$1100,$A5,'Omint Corporate'!$M$1:$M$1100,"Cancelado")+COUNTIFS('SEM CONVÊNIO'!$A$1:$A$1100,$A5,'SEM CONVÊNIO'!$M$1:$M$1100,"Cancelado")+COUNTIFS('Total Pass'!$A$1:$A$1100,$A5,'Total Pass'!$M$1:$M$1100,"Cancelado")</f>
        <v>0</v>
      </c>
      <c r="G5" s="6">
        <f>COUNTIFS('Afresp Saúde'!$A$1:$A$1100,$A5,'Afresp Saúde'!$M$1:$M$1100,"Não se aplica")+COUNTIFS('Amil Black, Amil One, Lincx'!$A$1:$A$1100,$A5,'Amil Black, Amil One, Lincx'!$M$1:$M$1100,"Não se aplica")+COUNTIFS('Care Plus'!$A$1:$A$1100,$A5,'Care Plus'!$M$1:$M$1100,"Não se aplica")+COUNTIFS(Medsenior!$A$1:$A$1100,$A5,Medsenior!$M$1:$M$1100,"Não se aplica")+COUNTIFS('Omint Skill'!$A$1:$A$1100,$A5,'Omint Skill'!$M$1:$M$1100,"Não se aplica")+COUNTIFS('Omint Premium'!$A$1:$A$1100,$A5,'Omint Premium'!$M$1:$M$1100,"Não se aplica")+COUNTIFS('Convênio Creabily Especial'!$A$1:$A$1100,$A5,'Convênio Creabily Especial'!$M$1:$M$1100,"Não se aplica")+COUNTIFS('Creabily Particular'!$A$1:$A$1100,$A5,'Creabily Particular'!$M$1:$M$1100,"Não se aplica")+COUNTIFS('Omint Corporate'!$A$1:$A$1100,$A5,'Omint Corporate'!$M$1:$M$1100,"Não se aplica")+COUNTIFS('SEM CONVÊNIO'!$A$1:$A$1100,$A5,'SEM CONVÊNIO'!$M$1:$M$1100,"Não se aplica")+COUNTIFS('Total Pass'!$A$1:$A$1100,$A5,'Total Pass'!$M$1:$M$1100,"Não se aplica")</f>
        <v>0</v>
      </c>
      <c r="H5" s="6">
        <f>COUNTIFS('Afresp Saúde'!$A$1:$A$1100,$A5,'Afresp Saúde'!$D$1:$D$1100,"Não compareceu*")+COUNTIFS('Amil Black, Amil One, Lincx'!$A$1:$A$1100,$A5,'Amil Black, Amil One, Lincx'!$D$1:$D$1100,"Não compareceu*")+COUNTIFS('Care Plus'!$A$1:$A$1100,$A5,'Care Plus'!$D$1:$D$1100,"Não compareceu*")+COUNTIFS(Medsenior!$A$1:$A$1100,$A5,Medsenior!$D$1:$D$1100,"Não compareceu*")+COUNTIFS('Omint Skill'!$A$1:$A$1100,$A5,'Omint Skill'!$D$1:$D$1100,"Não compareceu*")+COUNTIFS('Omint Premium'!$A$1:$A$1100,$A5,'Omint Premium'!$D$1:$D$1100,"Não compareceu*")+COUNTIFS('Convênio Creabily Especial'!$A$1:$A$1100,$A5,'Convênio Creabily Especial'!$D$1:$D$1100,"Não compareceu*")+COUNTIFS('Creabily Particular'!$A$1:$A$1100,$A5,'Creabily Particular'!$D$1:$D$1100,"Não compareceu*")+COUNTIFS('Omint Corporate'!$A$1:$A$1100,$A5,'Omint Corporate'!$D$1:$D$1100,"Não compareceu*")+COUNTIFS('SEM CONVÊNIO'!$A$1:$A$1100,$A5,'SEM CONVÊNIO'!$D$1:$D$1100,"Não compareceu*")+COUNTIFS('Total Pass'!$A$1:$A$1100,$A5,'Total Pass'!$D$1:$D$1100,"Não compareceu*")</f>
        <v>11</v>
      </c>
      <c r="I5" s="6">
        <f>COUNTIFS('Afresp Saúde'!$A$1:$A$1100,$A5,'Afresp Saúde'!$D$1:$D$1100,"Falta Justificada*")+COUNTIFS('Amil Black, Amil One, Lincx'!$A$1:$A$1100,$A5,'Amil Black, Amil One, Lincx'!$D$1:$D$1100,"Falta Justificada*")+COUNTIFS('Care Plus'!$A$1:$A$1100,$A5,'Care Plus'!$D$1:$D$1100,"Falta Justificada*")+COUNTIFS(Medsenior!$A$1:$A$1100,$A5,Medsenior!$D$1:$D$1100,"Falta Justificada*")+COUNTIFS('Omint Skill'!$A$1:$A$1100,$A5,'Omint Skill'!$D$1:$D$1100,"Falta Justificada*")+COUNTIFS('Omint Premium'!$A$1:$A$1100,$A5,'Omint Premium'!$D$1:$D$1100,"Falta Justificada*")+COUNTIFS('Convênio Creabily Especial'!$A$1:$A$1100,$A5,'Convênio Creabily Especial'!$D$1:$D$1100,"Falta Justificada*")+COUNTIFS('Creabily Particular'!$A$1:$A$1100,$A5,'Creabily Particular'!$D$1:$D$1100,"Falta Justificada*")+COUNTIFS('Omint Corporate'!$A$1:$A$1100,$A5,'Omint Corporate'!$D$1:$D$1100,"Falta Justificada*")+COUNTIFS('SEM CONVÊNIO'!$A$1:$A$1100,$A5,'SEM CONVÊNIO'!$D$1:$D$1100,"Falta Justificada*")+COUNTIFS('Total Pass'!$A$1:$A$1100,$A5,'Total Pass'!$D$1:$D$1100,"Falta Justificada*")</f>
        <v>0</v>
      </c>
      <c r="J5" s="6">
        <f>COUNTIFS('Afresp Saúde'!$A$1:$A$1100,$A5,'Afresp Saúde'!$D$1:$D$1100,"Finalizado*")+COUNTIFS('Amil Black, Amil One, Lincx'!$A$1:$A$1100,$A5,'Amil Black, Amil One, Lincx'!$D$1:$D$1100,"Finalizado*")+COUNTIFS('Care Plus'!$A$1:$A$1100,$A5,'Care Plus'!$D$1:$D$1100,"Finalizado*")+COUNTIFS(Medsenior!$A$1:$A$1100,$A5,Medsenior!$D$1:$D$1100,"Finalizado*")+COUNTIFS('Omint Skill'!$A$1:$A$1100,$A5,'Omint Skill'!$D$1:$D$1100,"Finalizado*")+COUNTIFS('Omint Premium'!$A$1:$A$1100,$A5,'Omint Premium'!$D$1:$D$1100,"Finalizado*")+COUNTIFS('Convênio Creabily Especial'!$A$1:$A$1100,$A5,'Convênio Creabily Especial'!$D$1:$D$1100,"Finalizado*")+COUNTIFS('Creabily Particular'!$A$1:$A$1100,$A5,'Creabily Particular'!$D$1:$D$1100,"Finalizado*")+COUNTIFS('Omint Corporate'!$A$1:$A$1100,$A5,'Omint Corporate'!$D$1:$D$1100,"Finalizado*")+COUNTIFS('SEM CONVÊNIO'!$A$1:$A$1100,$A5,'SEM CONVÊNIO'!$D$1:$D$1100,"Finalizado*")+COUNTIFS('Total Pass'!$A$1:$A$1100,$A5,'Total Pass'!$D$1:$D$1100,"Finalizado*")</f>
        <v>87</v>
      </c>
    </row>
    <row r="6">
      <c r="A6" s="6" t="s">
        <v>297</v>
      </c>
      <c r="B6" s="6">
        <f>COUNTIF('Afresp Saúde'!$A$1:$A$1100,$A6)+COUNTIF('Amil Black, Amil One, Lincx'!$A$1:$A$1100,$A6)+COUNTIF('Care Plus'!$A$1:$A$1100,$A6)+COUNTIF(Medsenior!$A$1:$A$1100,$A6)+COUNTIF('Omint Skill'!$A$1:$A$1100,$A6)+COUNTIF('Omint Premium'!$A$1:$A$1100,$A6)+COUNTIF('Convênio Creabily Especial'!$A$1:$A$1100,$A6)+COUNTIF('Creabily Particular'!$A$1:$A$1100,$A6)+COUNTIF('Omint Corporate'!$A$1:$A$1100,$A6)+COUNTIF('SEM CONVÊNIO'!$A$1:$A$1100,$A6)+COUNTIF('Total Pass'!$A$1:$A$1100,$A6)</f>
        <v>137</v>
      </c>
      <c r="C6" s="6">
        <f>COUNTIFS('Afresp Saúde'!$A$1:$A$1100,$A6,'Afresp Saúde'!$M$1:$M$1100,"Finalizado")+COUNTIFS('Amil Black, Amil One, Lincx'!$A$1:$A$1100,$A6,'Amil Black, Amil One, Lincx'!$M$1:$M$1100,"Finalizado")+COUNTIFS('Care Plus'!$A$1:$A$1100,$A6,'Care Plus'!$M$1:$M$1100,"Finalizado")+COUNTIFS(Medsenior!$A$1:$A$1100,$A6,Medsenior!$M$1:$M$1100,"Finalizado")+COUNTIFS('Omint Skill'!$A$1:$A$1100,$A6,'Omint Skill'!$M$1:$M$1100,"Finalizado")+COUNTIFS('Omint Premium'!$A$1:$A$1100,$A6,'Omint Premium'!$M$1:$M$1100,"Finalizado")+COUNTIFS('Convênio Creabily Especial'!$A$1:$A$1100,$A6,'Convênio Creabily Especial'!$M$1:$M$1100,"Finalizado")+COUNTIFS('Creabily Particular'!$A$1:$A$1100,$A6,'Creabily Particular'!$M$1:$M$1100,"Finalizado")+COUNTIFS('Omint Corporate'!$A$1:$A$1100,$A6,'Omint Corporate'!$M$1:$M$1100,"Finalizado")+COUNTIFS('SEM CONVÊNIO'!$A$1:$A$1100,$A6,'SEM CONVÊNIO'!$M$1:$M$1100,"Finalizado")+COUNTIFS('Total Pass'!$A$1:$A$1100,$A6,'Total Pass'!$M$1:$M$1100,"Finalizado")</f>
        <v>72</v>
      </c>
      <c r="D6" s="6">
        <f>COUNTIFS('Afresp Saúde'!$A$1:$A$1100,$A6,'Afresp Saúde'!$M$1:$M$1100,"Validado")+COUNTIFS('Amil Black, Amil One, Lincx'!$A$1:$A$1100,$A6,'Amil Black, Amil One, Lincx'!$M$1:$M$1100,"Validado")+COUNTIFS('Care Plus'!$A$1:$A$1100,$A6,'Care Plus'!$M$1:$M$1100,"Validado")+COUNTIFS(Medsenior!$A$1:$A$1100,$A6,Medsenior!$M$1:$M$1100,"Validado")+COUNTIFS('Omint Skill'!$A$1:$A$1100,$A6,'Omint Skill'!$M$1:$M$1100,"Validado")+COUNTIFS('Omint Premium'!$A$1:$A$1100,$A6,'Omint Premium'!$M$1:$M$1100,"Validado")+COUNTIFS('Convênio Creabily Especial'!$A$1:$A$1100,$A6,'Convênio Creabily Especial'!$M$1:$M$1100,"Validado")+COUNTIFS('Creabily Particular'!$A$1:$A$1100,$A6,'Creabily Particular'!$M$1:$M$1100,"Validado")+COUNTIFS('Omint Corporate'!$A$1:$A$1100,$A6,'Omint Corporate'!$M$1:$M$1100,"Validado")+COUNTIFS('SEM CONVÊNIO'!$A$1:$A$1100,$A6,'SEM CONVÊNIO'!$M$1:$M$1100,"Validado")+COUNTIFS('Total Pass'!$A$1:$A$1100,$A6,'Total Pass'!$M$1:$M$1100,"Validado")</f>
        <v>57</v>
      </c>
      <c r="E6" s="6">
        <f>COUNTIFS('Afresp Saúde'!$A$1:$A$1100,$A6,'Afresp Saúde'!$M$1:$M$1100,"Pendente")+COUNTIFS('Amil Black, Amil One, Lincx'!$A$1:$A$1100,$A6,'Amil Black, Amil One, Lincx'!$M$1:$M$1100,"Pendente")+COUNTIFS('Care Plus'!$A$1:$A$1100,$A6,'Care Plus'!$M$1:$M$1100,"Pendente")+COUNTIFS(Medsenior!$A$1:$A$1100,$A6,Medsenior!$M$1:$M$1100,"Pendente")+COUNTIFS('Omint Skill'!$A$1:$A$1100,$A6,'Omint Skill'!$M$1:$M$1100,"Pendente")+COUNTIFS('Omint Premium'!$A$1:$A$1100,$A6,'Omint Premium'!$M$1:$M$1100,"Pendente")+COUNTIFS('Convênio Creabily Especial'!$A$1:$A$1100,$A6,'Convênio Creabily Especial'!$M$1:$M$1100,"Pendente")+COUNTIFS('Creabily Particular'!$A$1:$A$1100,$A6,'Creabily Particular'!$M$1:$M$1100,"Pendente")+COUNTIFS('Omint Corporate'!$A$1:$A$1100,$A6,'Omint Corporate'!$M$1:$M$1100,"Pendente")+COUNTIFS('SEM CONVÊNIO'!$A$1:$A$1100,$A6,'SEM CONVÊNIO'!$M$1:$M$1100,"Pendente")+COUNTIFS('Total Pass'!$A$1:$A$1100,$A6,'Total Pass'!$M$1:$M$1100,"Pendente")</f>
        <v>4</v>
      </c>
      <c r="F6" s="6">
        <f>COUNTIFS('Afresp Saúde'!$A$1:$A$1100,$A6,'Afresp Saúde'!$M$1:$M$1100,"Cancelado")+COUNTIFS('Amil Black, Amil One, Lincx'!$A$1:$A$1100,$A6,'Amil Black, Amil One, Lincx'!$M$1:$M$1100,"Cancelado")+COUNTIFS('Care Plus'!$A$1:$A$1100,$A6,'Care Plus'!$M$1:$M$1100,"Cancelado")+COUNTIFS(Medsenior!$A$1:$A$1100,$A6,Medsenior!$M$1:$M$1100,"Cancelado")+COUNTIFS('Omint Skill'!$A$1:$A$1100,$A6,'Omint Skill'!$M$1:$M$1100,"Cancelado")+COUNTIFS('Omint Premium'!$A$1:$A$1100,$A6,'Omint Premium'!$M$1:$M$1100,"Cancelado")+COUNTIFS('Convênio Creabily Especial'!$A$1:$A$1100,$A6,'Convênio Creabily Especial'!$M$1:$M$1100,"Cancelado")+COUNTIFS('Creabily Particular'!$A$1:$A$1100,$A6,'Creabily Particular'!$M$1:$M$1100,"Cancelado")+COUNTIFS('Omint Corporate'!$A$1:$A$1100,$A6,'Omint Corporate'!$M$1:$M$1100,"Cancelado")+COUNTIFS('SEM CONVÊNIO'!$A$1:$A$1100,$A6,'SEM CONVÊNIO'!$M$1:$M$1100,"Cancelado")+COUNTIFS('Total Pass'!$A$1:$A$1100,$A6,'Total Pass'!$M$1:$M$1100,"Cancelado")</f>
        <v>4</v>
      </c>
      <c r="G6" s="6">
        <f>COUNTIFS('Afresp Saúde'!$A$1:$A$1100,$A6,'Afresp Saúde'!$M$1:$M$1100,"Não se aplica")+COUNTIFS('Amil Black, Amil One, Lincx'!$A$1:$A$1100,$A6,'Amil Black, Amil One, Lincx'!$M$1:$M$1100,"Não se aplica")+COUNTIFS('Care Plus'!$A$1:$A$1100,$A6,'Care Plus'!$M$1:$M$1100,"Não se aplica")+COUNTIFS(Medsenior!$A$1:$A$1100,$A6,Medsenior!$M$1:$M$1100,"Não se aplica")+COUNTIFS('Omint Skill'!$A$1:$A$1100,$A6,'Omint Skill'!$M$1:$M$1100,"Não se aplica")+COUNTIFS('Omint Premium'!$A$1:$A$1100,$A6,'Omint Premium'!$M$1:$M$1100,"Não se aplica")+COUNTIFS('Convênio Creabily Especial'!$A$1:$A$1100,$A6,'Convênio Creabily Especial'!$M$1:$M$1100,"Não se aplica")+COUNTIFS('Creabily Particular'!$A$1:$A$1100,$A6,'Creabily Particular'!$M$1:$M$1100,"Não se aplica")+COUNTIFS('Omint Corporate'!$A$1:$A$1100,$A6,'Omint Corporate'!$M$1:$M$1100,"Não se aplica")+COUNTIFS('SEM CONVÊNIO'!$A$1:$A$1100,$A6,'SEM CONVÊNIO'!$M$1:$M$1100,"Não se aplica")+COUNTIFS('Total Pass'!$A$1:$A$1100,$A6,'Total Pass'!$M$1:$M$1100,"Não se aplica")</f>
        <v>0</v>
      </c>
      <c r="H6" s="6">
        <f>COUNTIFS('Afresp Saúde'!$A$1:$A$1100,$A6,'Afresp Saúde'!$D$1:$D$1100,"Não compareceu*")+COUNTIFS('Amil Black, Amil One, Lincx'!$A$1:$A$1100,$A6,'Amil Black, Amil One, Lincx'!$D$1:$D$1100,"Não compareceu*")+COUNTIFS('Care Plus'!$A$1:$A$1100,$A6,'Care Plus'!$D$1:$D$1100,"Não compareceu*")+COUNTIFS(Medsenior!$A$1:$A$1100,$A6,Medsenior!$D$1:$D$1100,"Não compareceu*")+COUNTIFS('Omint Skill'!$A$1:$A$1100,$A6,'Omint Skill'!$D$1:$D$1100,"Não compareceu*")+COUNTIFS('Omint Premium'!$A$1:$A$1100,$A6,'Omint Premium'!$D$1:$D$1100,"Não compareceu*")+COUNTIFS('Convênio Creabily Especial'!$A$1:$A$1100,$A6,'Convênio Creabily Especial'!$D$1:$D$1100,"Não compareceu*")+COUNTIFS('Creabily Particular'!$A$1:$A$1100,$A6,'Creabily Particular'!$D$1:$D$1100,"Não compareceu*")+COUNTIFS('Omint Corporate'!$A$1:$A$1100,$A6,'Omint Corporate'!$D$1:$D$1100,"Não compareceu*")+COUNTIFS('SEM CONVÊNIO'!$A$1:$A$1100,$A6,'SEM CONVÊNIO'!$D$1:$D$1100,"Não compareceu*")+COUNTIFS('Total Pass'!$A$1:$A$1100,$A6,'Total Pass'!$D$1:$D$1100,"Não compareceu*")</f>
        <v>3</v>
      </c>
      <c r="I6" s="6">
        <f>COUNTIFS('Afresp Saúde'!$A$1:$A$1100,$A6,'Afresp Saúde'!$D$1:$D$1100,"Falta Justificada*")+COUNTIFS('Amil Black, Amil One, Lincx'!$A$1:$A$1100,$A6,'Amil Black, Amil One, Lincx'!$D$1:$D$1100,"Falta Justificada*")+COUNTIFS('Care Plus'!$A$1:$A$1100,$A6,'Care Plus'!$D$1:$D$1100,"Falta Justificada*")+COUNTIFS(Medsenior!$A$1:$A$1100,$A6,Medsenior!$D$1:$D$1100,"Falta Justificada*")+COUNTIFS('Omint Skill'!$A$1:$A$1100,$A6,'Omint Skill'!$D$1:$D$1100,"Falta Justificada*")+COUNTIFS('Omint Premium'!$A$1:$A$1100,$A6,'Omint Premium'!$D$1:$D$1100,"Falta Justificada*")+COUNTIFS('Convênio Creabily Especial'!$A$1:$A$1100,$A6,'Convênio Creabily Especial'!$D$1:$D$1100,"Falta Justificada*")+COUNTIFS('Creabily Particular'!$A$1:$A$1100,$A6,'Creabily Particular'!$D$1:$D$1100,"Falta Justificada*")+COUNTIFS('Omint Corporate'!$A$1:$A$1100,$A6,'Omint Corporate'!$D$1:$D$1100,"Falta Justificada*")+COUNTIFS('SEM CONVÊNIO'!$A$1:$A$1100,$A6,'SEM CONVÊNIO'!$D$1:$D$1100,"Falta Justificada*")+COUNTIFS('Total Pass'!$A$1:$A$1100,$A6,'Total Pass'!$D$1:$D$1100,"Falta Justificada*")</f>
        <v>0</v>
      </c>
      <c r="J6" s="6">
        <f>COUNTIFS('Afresp Saúde'!$A$1:$A$1100,$A6,'Afresp Saúde'!$D$1:$D$1100,"Finalizado*")+COUNTIFS('Amil Black, Amil One, Lincx'!$A$1:$A$1100,$A6,'Amil Black, Amil One, Lincx'!$D$1:$D$1100,"Finalizado*")+COUNTIFS('Care Plus'!$A$1:$A$1100,$A6,'Care Plus'!$D$1:$D$1100,"Finalizado*")+COUNTIFS(Medsenior!$A$1:$A$1100,$A6,Medsenior!$D$1:$D$1100,"Finalizado*")+COUNTIFS('Omint Skill'!$A$1:$A$1100,$A6,'Omint Skill'!$D$1:$D$1100,"Finalizado*")+COUNTIFS('Omint Premium'!$A$1:$A$1100,$A6,'Omint Premium'!$D$1:$D$1100,"Finalizado*")+COUNTIFS('Convênio Creabily Especial'!$A$1:$A$1100,$A6,'Convênio Creabily Especial'!$D$1:$D$1100,"Finalizado*")+COUNTIFS('Creabily Particular'!$A$1:$A$1100,$A6,'Creabily Particular'!$D$1:$D$1100,"Finalizado*")+COUNTIFS('Omint Corporate'!$A$1:$A$1100,$A6,'Omint Corporate'!$D$1:$D$1100,"Finalizado*")+COUNTIFS('SEM CONVÊNIO'!$A$1:$A$1100,$A6,'SEM CONVÊNIO'!$D$1:$D$1100,"Finalizado*")+COUNTIFS('Total Pass'!$A$1:$A$1100,$A6,'Total Pass'!$D$1:$D$1100,"Finalizado*")</f>
        <v>28</v>
      </c>
    </row>
    <row r="7">
      <c r="A7" s="6" t="s">
        <v>424</v>
      </c>
      <c r="B7" s="6">
        <f>COUNTIF('Afresp Saúde'!$A$1:$A$1100,$A7)+COUNTIF('Amil Black, Amil One, Lincx'!$A$1:$A$1100,$A7)+COUNTIF('Care Plus'!$A$1:$A$1100,$A7)+COUNTIF(Medsenior!$A$1:$A$1100,$A7)+COUNTIF('Omint Skill'!$A$1:$A$1100,$A7)+COUNTIF('Omint Premium'!$A$1:$A$1100,$A7)+COUNTIF('Convênio Creabily Especial'!$A$1:$A$1100,$A7)+COUNTIF('Creabily Particular'!$A$1:$A$1100,$A7)+COUNTIF('Omint Corporate'!$A$1:$A$1100,$A7)+COUNTIF('SEM CONVÊNIO'!$A$1:$A$1100,$A7)+COUNTIF('Total Pass'!$A$1:$A$1100,$A7)</f>
        <v>142</v>
      </c>
      <c r="C7" s="6">
        <f>COUNTIFS('Afresp Saúde'!$A$1:$A$1100,$A7,'Afresp Saúde'!$M$1:$M$1100,"Finalizado")+COUNTIFS('Amil Black, Amil One, Lincx'!$A$1:$A$1100,$A7,'Amil Black, Amil One, Lincx'!$M$1:$M$1100,"Finalizado")+COUNTIFS('Care Plus'!$A$1:$A$1100,$A7,'Care Plus'!$M$1:$M$1100,"Finalizado")+COUNTIFS(Medsenior!$A$1:$A$1100,$A7,Medsenior!$M$1:$M$1100,"Finalizado")+COUNTIFS('Omint Skill'!$A$1:$A$1100,$A7,'Omint Skill'!$M$1:$M$1100,"Finalizado")+COUNTIFS('Omint Premium'!$A$1:$A$1100,$A7,'Omint Premium'!$M$1:$M$1100,"Finalizado")+COUNTIFS('Convênio Creabily Especial'!$A$1:$A$1100,$A7,'Convênio Creabily Especial'!$M$1:$M$1100,"Finalizado")+COUNTIFS('Creabily Particular'!$A$1:$A$1100,$A7,'Creabily Particular'!$M$1:$M$1100,"Finalizado")+COUNTIFS('Omint Corporate'!$A$1:$A$1100,$A7,'Omint Corporate'!$M$1:$M$1100,"Finalizado")+COUNTIFS('SEM CONVÊNIO'!$A$1:$A$1100,$A7,'SEM CONVÊNIO'!$M$1:$M$1100,"Finalizado")+COUNTIFS('Total Pass'!$A$1:$A$1100,$A7,'Total Pass'!$M$1:$M$1100,"Finalizado")</f>
        <v>107</v>
      </c>
      <c r="D7" s="6">
        <f>COUNTIFS('Afresp Saúde'!$A$1:$A$1100,$A7,'Afresp Saúde'!$M$1:$M$1100,"Validado")+COUNTIFS('Amil Black, Amil One, Lincx'!$A$1:$A$1100,$A7,'Amil Black, Amil One, Lincx'!$M$1:$M$1100,"Validado")+COUNTIFS('Care Plus'!$A$1:$A$1100,$A7,'Care Plus'!$M$1:$M$1100,"Validado")+COUNTIFS(Medsenior!$A$1:$A$1100,$A7,Medsenior!$M$1:$M$1100,"Validado")+COUNTIFS('Omint Skill'!$A$1:$A$1100,$A7,'Omint Skill'!$M$1:$M$1100,"Validado")+COUNTIFS('Omint Premium'!$A$1:$A$1100,$A7,'Omint Premium'!$M$1:$M$1100,"Validado")+COUNTIFS('Convênio Creabily Especial'!$A$1:$A$1100,$A7,'Convênio Creabily Especial'!$M$1:$M$1100,"Validado")+COUNTIFS('Creabily Particular'!$A$1:$A$1100,$A7,'Creabily Particular'!$M$1:$M$1100,"Validado")+COUNTIFS('Omint Corporate'!$A$1:$A$1100,$A7,'Omint Corporate'!$M$1:$M$1100,"Validado")+COUNTIFS('SEM CONVÊNIO'!$A$1:$A$1100,$A7,'SEM CONVÊNIO'!$M$1:$M$1100,"Validado")+COUNTIFS('Total Pass'!$A$1:$A$1100,$A7,'Total Pass'!$M$1:$M$1100,"Validado")</f>
        <v>17</v>
      </c>
      <c r="E7" s="6">
        <f>COUNTIFS('Afresp Saúde'!$A$1:$A$1100,$A7,'Afresp Saúde'!$M$1:$M$1100,"Pendente")+COUNTIFS('Amil Black, Amil One, Lincx'!$A$1:$A$1100,$A7,'Amil Black, Amil One, Lincx'!$M$1:$M$1100,"Pendente")+COUNTIFS('Care Plus'!$A$1:$A$1100,$A7,'Care Plus'!$M$1:$M$1100,"Pendente")+COUNTIFS(Medsenior!$A$1:$A$1100,$A7,Medsenior!$M$1:$M$1100,"Pendente")+COUNTIFS('Omint Skill'!$A$1:$A$1100,$A7,'Omint Skill'!$M$1:$M$1100,"Pendente")+COUNTIFS('Omint Premium'!$A$1:$A$1100,$A7,'Omint Premium'!$M$1:$M$1100,"Pendente")+COUNTIFS('Convênio Creabily Especial'!$A$1:$A$1100,$A7,'Convênio Creabily Especial'!$M$1:$M$1100,"Pendente")+COUNTIFS('Creabily Particular'!$A$1:$A$1100,$A7,'Creabily Particular'!$M$1:$M$1100,"Pendente")+COUNTIFS('Omint Corporate'!$A$1:$A$1100,$A7,'Omint Corporate'!$M$1:$M$1100,"Pendente")+COUNTIFS('SEM CONVÊNIO'!$A$1:$A$1100,$A7,'SEM CONVÊNIO'!$M$1:$M$1100,"Pendente")+COUNTIFS('Total Pass'!$A$1:$A$1100,$A7,'Total Pass'!$M$1:$M$1100,"Pendente")</f>
        <v>0</v>
      </c>
      <c r="F7" s="6">
        <f>COUNTIFS('Afresp Saúde'!$A$1:$A$1100,$A7,'Afresp Saúde'!$M$1:$M$1100,"Cancelado")+COUNTIFS('Amil Black, Amil One, Lincx'!$A$1:$A$1100,$A7,'Amil Black, Amil One, Lincx'!$M$1:$M$1100,"Cancelado")+COUNTIFS('Care Plus'!$A$1:$A$1100,$A7,'Care Plus'!$M$1:$M$1100,"Cancelado")+COUNTIFS(Medsenior!$A$1:$A$1100,$A7,Medsenior!$M$1:$M$1100,"Cancelado")+COUNTIFS('Omint Skill'!$A$1:$A$1100,$A7,'Omint Skill'!$M$1:$M$1100,"Cancelado")+COUNTIFS('Omint Premium'!$A$1:$A$1100,$A7,'Omint Premium'!$M$1:$M$1100,"Cancelado")+COUNTIFS('Convênio Creabily Especial'!$A$1:$A$1100,$A7,'Convênio Creabily Especial'!$M$1:$M$1100,"Cancelado")+COUNTIFS('Creabily Particular'!$A$1:$A$1100,$A7,'Creabily Particular'!$M$1:$M$1100,"Cancelado")+COUNTIFS('Omint Corporate'!$A$1:$A$1100,$A7,'Omint Corporate'!$M$1:$M$1100,"Cancelado")+COUNTIFS('SEM CONVÊNIO'!$A$1:$A$1100,$A7,'SEM CONVÊNIO'!$M$1:$M$1100,"Cancelado")+COUNTIFS('Total Pass'!$A$1:$A$1100,$A7,'Total Pass'!$M$1:$M$1100,"Cancelado")</f>
        <v>9</v>
      </c>
      <c r="G7" s="6">
        <f>COUNTIFS('Afresp Saúde'!$A$1:$A$1100,$A7,'Afresp Saúde'!$M$1:$M$1100,"Não se aplica")+COUNTIFS('Amil Black, Amil One, Lincx'!$A$1:$A$1100,$A7,'Amil Black, Amil One, Lincx'!$M$1:$M$1100,"Não se aplica")+COUNTIFS('Care Plus'!$A$1:$A$1100,$A7,'Care Plus'!$M$1:$M$1100,"Não se aplica")+COUNTIFS(Medsenior!$A$1:$A$1100,$A7,Medsenior!$M$1:$M$1100,"Não se aplica")+COUNTIFS('Omint Skill'!$A$1:$A$1100,$A7,'Omint Skill'!$M$1:$M$1100,"Não se aplica")+COUNTIFS('Omint Premium'!$A$1:$A$1100,$A7,'Omint Premium'!$M$1:$M$1100,"Não se aplica")+COUNTIFS('Convênio Creabily Especial'!$A$1:$A$1100,$A7,'Convênio Creabily Especial'!$M$1:$M$1100,"Não se aplica")+COUNTIFS('Creabily Particular'!$A$1:$A$1100,$A7,'Creabily Particular'!$M$1:$M$1100,"Não se aplica")+COUNTIFS('Omint Corporate'!$A$1:$A$1100,$A7,'Omint Corporate'!$M$1:$M$1100,"Não se aplica")+COUNTIFS('SEM CONVÊNIO'!$A$1:$A$1100,$A7,'SEM CONVÊNIO'!$M$1:$M$1100,"Não se aplica")+COUNTIFS('Total Pass'!$A$1:$A$1100,$A7,'Total Pass'!$M$1:$M$1100,"Não se aplica")</f>
        <v>9</v>
      </c>
      <c r="H7" s="6">
        <f>COUNTIFS('Afresp Saúde'!$A$1:$A$1100,$A7,'Afresp Saúde'!$D$1:$D$1100,"Não compareceu*")+COUNTIFS('Amil Black, Amil One, Lincx'!$A$1:$A$1100,$A7,'Amil Black, Amil One, Lincx'!$D$1:$D$1100,"Não compareceu*")+COUNTIFS('Care Plus'!$A$1:$A$1100,$A7,'Care Plus'!$D$1:$D$1100,"Não compareceu*")+COUNTIFS(Medsenior!$A$1:$A$1100,$A7,Medsenior!$D$1:$D$1100,"Não compareceu*")+COUNTIFS('Omint Skill'!$A$1:$A$1100,$A7,'Omint Skill'!$D$1:$D$1100,"Não compareceu*")+COUNTIFS('Omint Premium'!$A$1:$A$1100,$A7,'Omint Premium'!$D$1:$D$1100,"Não compareceu*")+COUNTIFS('Convênio Creabily Especial'!$A$1:$A$1100,$A7,'Convênio Creabily Especial'!$D$1:$D$1100,"Não compareceu*")+COUNTIFS('Creabily Particular'!$A$1:$A$1100,$A7,'Creabily Particular'!$D$1:$D$1100,"Não compareceu*")+COUNTIFS('Omint Corporate'!$A$1:$A$1100,$A7,'Omint Corporate'!$D$1:$D$1100,"Não compareceu*")+COUNTIFS('SEM CONVÊNIO'!$A$1:$A$1100,$A7,'SEM CONVÊNIO'!$D$1:$D$1100,"Não compareceu*")+COUNTIFS('Total Pass'!$A$1:$A$1100,$A7,'Total Pass'!$D$1:$D$1100,"Não compareceu*")</f>
        <v>1</v>
      </c>
      <c r="I7" s="6">
        <f>COUNTIFS('Afresp Saúde'!$A$1:$A$1100,$A7,'Afresp Saúde'!$D$1:$D$1100,"Falta Justificada*")+COUNTIFS('Amil Black, Amil One, Lincx'!$A$1:$A$1100,$A7,'Amil Black, Amil One, Lincx'!$D$1:$D$1100,"Falta Justificada*")+COUNTIFS('Care Plus'!$A$1:$A$1100,$A7,'Care Plus'!$D$1:$D$1100,"Falta Justificada*")+COUNTIFS(Medsenior!$A$1:$A$1100,$A7,Medsenior!$D$1:$D$1100,"Falta Justificada*")+COUNTIFS('Omint Skill'!$A$1:$A$1100,$A7,'Omint Skill'!$D$1:$D$1100,"Falta Justificada*")+COUNTIFS('Omint Premium'!$A$1:$A$1100,$A7,'Omint Premium'!$D$1:$D$1100,"Falta Justificada*")+COUNTIFS('Convênio Creabily Especial'!$A$1:$A$1100,$A7,'Convênio Creabily Especial'!$D$1:$D$1100,"Falta Justificada*")+COUNTIFS('Creabily Particular'!$A$1:$A$1100,$A7,'Creabily Particular'!$D$1:$D$1100,"Falta Justificada*")+COUNTIFS('Omint Corporate'!$A$1:$A$1100,$A7,'Omint Corporate'!$D$1:$D$1100,"Falta Justificada*")+COUNTIFS('SEM CONVÊNIO'!$A$1:$A$1100,$A7,'SEM CONVÊNIO'!$D$1:$D$1100,"Falta Justificada*")+COUNTIFS('Total Pass'!$A$1:$A$1100,$A7,'Total Pass'!$D$1:$D$1100,"Falta Justificada*")</f>
        <v>6</v>
      </c>
      <c r="J7" s="6">
        <f>COUNTIFS('Afresp Saúde'!$A$1:$A$1100,$A7,'Afresp Saúde'!$D$1:$D$1100,"Finalizado*")+COUNTIFS('Amil Black, Amil One, Lincx'!$A$1:$A$1100,$A7,'Amil Black, Amil One, Lincx'!$D$1:$D$1100,"Finalizado*")+COUNTIFS('Care Plus'!$A$1:$A$1100,$A7,'Care Plus'!$D$1:$D$1100,"Finalizado*")+COUNTIFS(Medsenior!$A$1:$A$1100,$A7,Medsenior!$D$1:$D$1100,"Finalizado*")+COUNTIFS('Omint Skill'!$A$1:$A$1100,$A7,'Omint Skill'!$D$1:$D$1100,"Finalizado*")+COUNTIFS('Omint Premium'!$A$1:$A$1100,$A7,'Omint Premium'!$D$1:$D$1100,"Finalizado*")+COUNTIFS('Convênio Creabily Especial'!$A$1:$A$1100,$A7,'Convênio Creabily Especial'!$D$1:$D$1100,"Finalizado*")+COUNTIFS('Creabily Particular'!$A$1:$A$1100,$A7,'Creabily Particular'!$D$1:$D$1100,"Finalizado*")+COUNTIFS('Omint Corporate'!$A$1:$A$1100,$A7,'Omint Corporate'!$D$1:$D$1100,"Finalizado*")+COUNTIFS('SEM CONVÊNIO'!$A$1:$A$1100,$A7,'SEM CONVÊNIO'!$D$1:$D$1100,"Finalizado*")+COUNTIFS('Total Pass'!$A$1:$A$1100,$A7,'Total Pass'!$D$1:$D$1100,"Finalizado*")</f>
        <v>25</v>
      </c>
    </row>
    <row r="8">
      <c r="A8" s="33" t="s">
        <v>521</v>
      </c>
      <c r="B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C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D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E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F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G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H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I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  <c r="J8" s="33">
        <f>COUNTIF('Afresp Saúde'!$A$1:$A$1100,$A8)+COUNTIF('Amil Black, Amil One, Lincx'!$A$1:$A$1100,$A8)+COUNTIF('Care Plus'!$A$1:$A$1100,$A8)+COUNTIF(Medsenior!$A$1:$A$1100,$A8)+COUNTIF('Omint Skill'!$A$1:$A$1100,$A8)+COUNTIF('Omint Premium'!$A$1:$A$1100,$A8)+COUNTIF('Convênio Creabily Especial'!$A$1:$A$1100,$A8)+COUNTIF('Creabily Particular'!$A$1:$A$1100,$A8)+COUNTIF('Omint Corporate'!$A$1:$A$1100,$A8)+COUNTIF('SEM CONVÊNIO'!$A$1:$A$1100,$A8)+COUNTIF('Total Pass'!$A$1:$A$1100,$A8)</f>
        <v>123</v>
      </c>
    </row>
    <row r="9">
      <c r="A9" s="31" t="s">
        <v>613</v>
      </c>
      <c r="B9" s="31">
        <f>COUNTIF('Afresp Saúde'!$A$1:$A$1100,$A9)+COUNTIF('Amil Black, Amil One, Lincx'!$A$1:$A$1100,$A9)+COUNTIF('Care Plus'!$A$1:$A$1100,$A9)+COUNTIF(Medsenior!$A$1:$A$1100,$A9)+COUNTIF('Omint Skill'!$A$1:$A$1100,$A9)+COUNTIF('Omint Premium'!$A$1:$A$1100,$A9)+COUNTIF('Convênio Creabily Especial'!$A$1:$A$1100,$A9)+COUNTIF('Creabily Particular'!$A$1:$A$1100,$A9)+COUNTIF('Omint Corporate'!$A$1:$A$1100,$A9)+COUNTIF('SEM CONVÊNIO'!$A$1:$A$1100,$A9)+COUNTIF('Total Pass'!$A$1:$A$1100,$A9)</f>
        <v>127</v>
      </c>
      <c r="C9" s="31">
        <f>COUNTIFS('Afresp Saúde'!$A$1:$A$1100,$A9,'Afresp Saúde'!$M$1:$M$1100,"Finalizado")+COUNTIFS('Amil Black, Amil One, Lincx'!$A$1:$A$1100,$A9,'Amil Black, Amil One, Lincx'!$M$1:$M$1100,"Finalizado")+COUNTIFS('Care Plus'!$A$1:$A$1100,$A9,'Care Plus'!$M$1:$M$1100,"Finalizado")+COUNTIFS(Medsenior!$A$1:$A$1100,$A9,Medsenior!$M$1:$M$1100,"Finalizado")+COUNTIFS('Omint Skill'!$A$1:$A$1100,$A9,'Omint Skill'!$M$1:$M$1100,"Finalizado")+COUNTIFS('Omint Premium'!$A$1:$A$1100,$A9,'Omint Premium'!$M$1:$M$1100,"Finalizado")+COUNTIFS('Convênio Creabily Especial'!$A$1:$A$1100,$A9,'Convênio Creabily Especial'!$M$1:$M$1100,"Finalizado")+COUNTIFS('Creabily Particular'!$A$1:$A$1100,$A9,'Creabily Particular'!$M$1:$M$1100,"Finalizado")+COUNTIFS('Omint Corporate'!$A$1:$A$1100,$A9,'Omint Corporate'!$M$1:$M$1100,"Finalizado")+COUNTIFS('SEM CONVÊNIO'!$A$1:$A$1100,$A9,'SEM CONVÊNIO'!$M$1:$M$1100,"Finalizado")+COUNTIFS('Total Pass'!$A$1:$A$1100,$A9,'Total Pass'!$M$1:$M$1100,"Finalizado")</f>
        <v>34</v>
      </c>
      <c r="D9" s="31">
        <f>COUNTIFS('Afresp Saúde'!$A$1:$A$1100,$A9,'Afresp Saúde'!$M$1:$M$1100,"Validado")+COUNTIFS('Amil Black, Amil One, Lincx'!$A$1:$A$1100,$A9,'Amil Black, Amil One, Lincx'!$M$1:$M$1100,"Validado")+COUNTIFS('Care Plus'!$A$1:$A$1100,$A9,'Care Plus'!$M$1:$M$1100,"Validado")+COUNTIFS(Medsenior!$A$1:$A$1100,$A9,Medsenior!$M$1:$M$1100,"Validado")+COUNTIFS('Omint Skill'!$A$1:$A$1100,$A9,'Omint Skill'!$M$1:$M$1100,"Validado")+COUNTIFS('Omint Premium'!$A$1:$A$1100,$A9,'Omint Premium'!$M$1:$M$1100,"Validado")+COUNTIFS('Convênio Creabily Especial'!$A$1:$A$1100,$A9,'Convênio Creabily Especial'!$M$1:$M$1100,"Validado")+COUNTIFS('Creabily Particular'!$A$1:$A$1100,$A9,'Creabily Particular'!$M$1:$M$1100,"Validado")+COUNTIFS('Omint Corporate'!$A$1:$A$1100,$A9,'Omint Corporate'!$M$1:$M$1100,"Validado")+COUNTIFS('SEM CONVÊNIO'!$A$1:$A$1100,$A9,'SEM CONVÊNIO'!$M$1:$M$1100,"Validado")+COUNTIFS('Total Pass'!$A$1:$A$1100,$A9,'Total Pass'!$M$1:$M$1100,"Validado")</f>
        <v>77</v>
      </c>
      <c r="E9" s="31">
        <f>COUNTIFS('Afresp Saúde'!$A$1:$A$1100,$A9,'Afresp Saúde'!$M$1:$M$1100,"Pendente")+COUNTIFS('Amil Black, Amil One, Lincx'!$A$1:$A$1100,$A9,'Amil Black, Amil One, Lincx'!$M$1:$M$1100,"Pendente")+COUNTIFS('Care Plus'!$A$1:$A$1100,$A9,'Care Plus'!$M$1:$M$1100,"Pendente")+COUNTIFS(Medsenior!$A$1:$A$1100,$A9,Medsenior!$M$1:$M$1100,"Pendente")+COUNTIFS('Omint Skill'!$A$1:$A$1100,$A9,'Omint Skill'!$M$1:$M$1100,"Pendente")+COUNTIFS('Omint Premium'!$A$1:$A$1100,$A9,'Omint Premium'!$M$1:$M$1100,"Pendente")+COUNTIFS('Convênio Creabily Especial'!$A$1:$A$1100,$A9,'Convênio Creabily Especial'!$M$1:$M$1100,"Pendente")+COUNTIFS('Creabily Particular'!$A$1:$A$1100,$A9,'Creabily Particular'!$M$1:$M$1100,"Pendente")+COUNTIFS('Omint Corporate'!$A$1:$A$1100,$A9,'Omint Corporate'!$M$1:$M$1100,"Pendente")+COUNTIFS('SEM CONVÊNIO'!$A$1:$A$1100,$A9,'SEM CONVÊNIO'!$M$1:$M$1100,"Pendente")+COUNTIFS('Total Pass'!$A$1:$A$1100,$A9,'Total Pass'!$M$1:$M$1100,"Pendente")</f>
        <v>0</v>
      </c>
      <c r="F9" s="31">
        <f>COUNTIFS('Afresp Saúde'!$A$1:$A$1100,$A9,'Afresp Saúde'!$M$1:$M$1100,"Cancelado")+COUNTIFS('Amil Black, Amil One, Lincx'!$A$1:$A$1100,$A9,'Amil Black, Amil One, Lincx'!$M$1:$M$1100,"Cancelado")+COUNTIFS('Care Plus'!$A$1:$A$1100,$A9,'Care Plus'!$M$1:$M$1100,"Cancelado")+COUNTIFS(Medsenior!$A$1:$A$1100,$A9,Medsenior!$M$1:$M$1100,"Cancelado")+COUNTIFS('Omint Skill'!$A$1:$A$1100,$A9,'Omint Skill'!$M$1:$M$1100,"Cancelado")+COUNTIFS('Omint Premium'!$A$1:$A$1100,$A9,'Omint Premium'!$M$1:$M$1100,"Cancelado")+COUNTIFS('Convênio Creabily Especial'!$A$1:$A$1100,$A9,'Convênio Creabily Especial'!$M$1:$M$1100,"Cancelado")+COUNTIFS('Creabily Particular'!$A$1:$A$1100,$A9,'Creabily Particular'!$M$1:$M$1100,"Cancelado")+COUNTIFS('Omint Corporate'!$A$1:$A$1100,$A9,'Omint Corporate'!$M$1:$M$1100,"Cancelado")+COUNTIFS('SEM CONVÊNIO'!$A$1:$A$1100,$A9,'SEM CONVÊNIO'!$M$1:$M$1100,"Cancelado")+COUNTIFS('Total Pass'!$A$1:$A$1100,$A9,'Total Pass'!$M$1:$M$1100,"Cancelado")</f>
        <v>11</v>
      </c>
      <c r="G9" s="31">
        <f>COUNTIFS('Afresp Saúde'!$A$1:$A$1100,$A9,'Afresp Saúde'!$M$1:$M$1100,"Não se aplica")+COUNTIFS('Amil Black, Amil One, Lincx'!$A$1:$A$1100,$A9,'Amil Black, Amil One, Lincx'!$M$1:$M$1100,"Não se aplica")+COUNTIFS('Care Plus'!$A$1:$A$1100,$A9,'Care Plus'!$M$1:$M$1100,"Não se aplica")+COUNTIFS(Medsenior!$A$1:$A$1100,$A9,Medsenior!$M$1:$M$1100,"Não se aplica")+COUNTIFS('Omint Skill'!$A$1:$A$1100,$A9,'Omint Skill'!$M$1:$M$1100,"Não se aplica")+COUNTIFS('Omint Premium'!$A$1:$A$1100,$A9,'Omint Premium'!$M$1:$M$1100,"Não se aplica")+COUNTIFS('Convênio Creabily Especial'!$A$1:$A$1100,$A9,'Convênio Creabily Especial'!$M$1:$M$1100,"Não se aplica")+COUNTIFS('Creabily Particular'!$A$1:$A$1100,$A9,'Creabily Particular'!$M$1:$M$1100,"Não se aplica")+COUNTIFS('Omint Corporate'!$A$1:$A$1100,$A9,'Omint Corporate'!$M$1:$M$1100,"Não se aplica")+COUNTIFS('SEM CONVÊNIO'!$A$1:$A$1100,$A9,'SEM CONVÊNIO'!$M$1:$M$1100,"Não se aplica")+COUNTIFS('Total Pass'!$A$1:$A$1100,$A9,'Total Pass'!$M$1:$M$1100,"Não se aplica")</f>
        <v>5</v>
      </c>
      <c r="H9" s="31">
        <f>COUNTIFS('Afresp Saúde'!$A$1:$A$1100,$A9,'Afresp Saúde'!$D$1:$D$1100,"Não compareceu*")+COUNTIFS('Amil Black, Amil One, Lincx'!$A$1:$A$1100,$A9,'Amil Black, Amil One, Lincx'!$D$1:$D$1100,"Não compareceu*")+COUNTIFS('Care Plus'!$A$1:$A$1100,$A9,'Care Plus'!$D$1:$D$1100,"Não compareceu*")+COUNTIFS(Medsenior!$A$1:$A$1100,$A9,Medsenior!$D$1:$D$1100,"Não compareceu*")+COUNTIFS('Omint Skill'!$A$1:$A$1100,$A9,'Omint Skill'!$D$1:$D$1100,"Não compareceu*")+COUNTIFS('Omint Premium'!$A$1:$A$1100,$A9,'Omint Premium'!$D$1:$D$1100,"Não compareceu*")+COUNTIFS('Convênio Creabily Especial'!$A$1:$A$1100,$A9,'Convênio Creabily Especial'!$D$1:$D$1100,"Não compareceu*")+COUNTIFS('Creabily Particular'!$A$1:$A$1100,$A9,'Creabily Particular'!$D$1:$D$1100,"Não compareceu*")+COUNTIFS('Omint Corporate'!$A$1:$A$1100,$A9,'Omint Corporate'!$D$1:$D$1100,"Não compareceu*")+COUNTIFS('SEM CONVÊNIO'!$A$1:$A$1100,$A9,'SEM CONVÊNIO'!$D$1:$D$1100,"Não compareceu*")+COUNTIFS('Total Pass'!$A$1:$A$1100,$A9,'Total Pass'!$D$1:$D$1100,"Não compareceu*")</f>
        <v>0</v>
      </c>
      <c r="I9" s="31">
        <f>COUNTIFS('Afresp Saúde'!$A$1:$A$1100,$A9,'Afresp Saúde'!$D$1:$D$1100,"Falta Justificada*")+COUNTIFS('Amil Black, Amil One, Lincx'!$A$1:$A$1100,$A9,'Amil Black, Amil One, Lincx'!$D$1:$D$1100,"Falta Justificada*")+COUNTIFS('Care Plus'!$A$1:$A$1100,$A9,'Care Plus'!$D$1:$D$1100,"Falta Justificada*")+COUNTIFS(Medsenior!$A$1:$A$1100,$A9,Medsenior!$D$1:$D$1100,"Falta Justificada*")+COUNTIFS('Omint Skill'!$A$1:$A$1100,$A9,'Omint Skill'!$D$1:$D$1100,"Falta Justificada*")+COUNTIFS('Omint Premium'!$A$1:$A$1100,$A9,'Omint Premium'!$D$1:$D$1100,"Falta Justificada*")+COUNTIFS('Convênio Creabily Especial'!$A$1:$A$1100,$A9,'Convênio Creabily Especial'!$D$1:$D$1100,"Falta Justificada*")+COUNTIFS('Creabily Particular'!$A$1:$A$1100,$A9,'Creabily Particular'!$D$1:$D$1100,"Falta Justificada*")+COUNTIFS('Omint Corporate'!$A$1:$A$1100,$A9,'Omint Corporate'!$D$1:$D$1100,"Falta Justificada*")+COUNTIFS('SEM CONVÊNIO'!$A$1:$A$1100,$A9,'SEM CONVÊNIO'!$D$1:$D$1100,"Falta Justificada*")+COUNTIFS('Total Pass'!$A$1:$A$1100,$A9,'Total Pass'!$D$1:$D$1100,"Falta Justificada*")</f>
        <v>0</v>
      </c>
      <c r="J9" s="31">
        <f>COUNTIFS('Afresp Saúde'!$A$1:$A$1100,$A9,'Afresp Saúde'!$D$1:$D$1100,"Finalizado*")+COUNTIFS('Amil Black, Amil One, Lincx'!$A$1:$A$1100,$A9,'Amil Black, Amil One, Lincx'!$D$1:$D$1100,"Finalizado*")+COUNTIFS('Care Plus'!$A$1:$A$1100,$A9,'Care Plus'!$D$1:$D$1100,"Finalizado*")+COUNTIFS(Medsenior!$A$1:$A$1100,$A9,Medsenior!$D$1:$D$1100,"Finalizado*")+COUNTIFS('Omint Skill'!$A$1:$A$1100,$A9,'Omint Skill'!$D$1:$D$1100,"Finalizado*")+COUNTIFS('Omint Premium'!$A$1:$A$1100,$A9,'Omint Premium'!$D$1:$D$1100,"Finalizado*")+COUNTIFS('Convênio Creabily Especial'!$A$1:$A$1100,$A9,'Convênio Creabily Especial'!$D$1:$D$1100,"Finalizado*")+COUNTIFS('Creabily Particular'!$A$1:$A$1100,$A9,'Creabily Particular'!$D$1:$D$1100,"Finalizado*")+COUNTIFS('Omint Corporate'!$A$1:$A$1100,$A9,'Omint Corporate'!$D$1:$D$1100,"Finalizado*")+COUNTIFS('SEM CONVÊNIO'!$A$1:$A$1100,$A9,'SEM CONVÊNIO'!$D$1:$D$1100,"Finalizado*")+COUNTIFS('Total Pass'!$A$1:$A$1100,$A9,'Total Pass'!$D$1:$D$1100,"Finalizado*")</f>
        <v>16</v>
      </c>
    </row>
    <row r="10" ht="31.5" customHeight="1">
      <c r="A10" s="6" t="s">
        <v>669</v>
      </c>
      <c r="B10" s="31">
        <f>COUNTIF('Afresp Saúde'!$A$1:$A$1100,$A10)+COUNTIF('Amil Black, Amil One, Lincx'!$A$1:$A$1100,$A10)+COUNTIF('Care Plus'!$A$1:$A$1100,$A10)+COUNTIF(Medsenior!$A$1:$A$1100,$A10)+COUNTIF('Omint Skill'!$A$1:$A$1100,$A10)+COUNTIF('Omint Premium'!$A$1:$A$1100,$A10)+COUNTIF('Convênio Creabily Especial'!$A$1:$A$1100,$A10)+COUNTIF('Creabily Particular'!$A$1:$A$1100,$A10)+COUNTIF('Omint Corporate'!$A$1:$A$1100,$A10)+COUNTIF('SEM CONVÊNIO'!$A$1:$A$1100,$A10)+COUNTIF('Total Pass'!$A$1:$A$1100,$A10)</f>
        <v>114</v>
      </c>
      <c r="C10" s="31">
        <f>COUNTIFS('Afresp Saúde'!$A$1:$A$1100,$A10,'Afresp Saúde'!$M$1:$M$1100,"Finalizado")+COUNTIFS('Amil Black, Amil One, Lincx'!$A$1:$A$1100,$A10,'Amil Black, Amil One, Lincx'!$M$1:$M$1100,"Finalizado")+COUNTIFS('Care Plus'!$A$1:$A$1100,$A10,'Care Plus'!$M$1:$M$1100,"Finalizado")+COUNTIFS(Medsenior!$A$1:$A$1100,$A10,Medsenior!$M$1:$M$1100,"Finalizado")+COUNTIFS('Omint Skill'!$A$1:$A$1100,$A10,'Omint Skill'!$M$1:$M$1100,"Finalizado")+COUNTIFS('Omint Premium'!$A$1:$A$1100,$A10,'Omint Premium'!$M$1:$M$1100,"Finalizado")+COUNTIFS('Convênio Creabily Especial'!$A$1:$A$1100,$A10,'Convênio Creabily Especial'!$M$1:$M$1100,"Finalizado")+COUNTIFS('Creabily Particular'!$A$1:$A$1100,$A10,'Creabily Particular'!$M$1:$M$1100,"Finalizado")+COUNTIFS('Omint Corporate'!$A$1:$A$1100,$A10,'Omint Corporate'!$M$1:$M$1100,"Finalizado")+COUNTIFS('SEM CONVÊNIO'!$A$1:$A$1100,$A10,'SEM CONVÊNIO'!$M$1:$M$1100,"Finalizado")+COUNTIFS('Total Pass'!$A$1:$A$1100,$A10,'Total Pass'!$M$1:$M$1100,"Finalizado")</f>
        <v>24</v>
      </c>
      <c r="D10" s="31">
        <f>COUNTIFS('Afresp Saúde'!$A$1:$A$1100,$A10,'Afresp Saúde'!$M$1:$M$1100,"Validado")+COUNTIFS('Amil Black, Amil One, Lincx'!$A$1:$A$1100,$A10,'Amil Black, Amil One, Lincx'!$M$1:$M$1100,"Validado")+COUNTIFS('Care Plus'!$A$1:$A$1100,$A10,'Care Plus'!$M$1:$M$1100,"Validado")+COUNTIFS(Medsenior!$A$1:$A$1100,$A10,Medsenior!$M$1:$M$1100,"Validado")+COUNTIFS('Omint Skill'!$A$1:$A$1100,$A10,'Omint Skill'!$M$1:$M$1100,"Validado")+COUNTIFS('Omint Premium'!$A$1:$A$1100,$A10,'Omint Premium'!$M$1:$M$1100,"Validado")+COUNTIFS('Convênio Creabily Especial'!$A$1:$A$1100,$A10,'Convênio Creabily Especial'!$M$1:$M$1100,"Validado")+COUNTIFS('Creabily Particular'!$A$1:$A$1100,$A10,'Creabily Particular'!$M$1:$M$1100,"Validado")+COUNTIFS('Omint Corporate'!$A$1:$A$1100,$A10,'Omint Corporate'!$M$1:$M$1100,"Validado")+COUNTIFS('SEM CONVÊNIO'!$A$1:$A$1100,$A10,'SEM CONVÊNIO'!$M$1:$M$1100,"Validado")+COUNTIFS('Total Pass'!$A$1:$A$1100,$A10,'Total Pass'!$M$1:$M$1100,"Validado")</f>
        <v>74</v>
      </c>
      <c r="E10" s="31">
        <f>COUNTIFS('Afresp Saúde'!$A$1:$A$1100,$A10,'Afresp Saúde'!$M$1:$M$1100,"Pendente")+COUNTIFS('Amil Black, Amil One, Lincx'!$A$1:$A$1100,$A10,'Amil Black, Amil One, Lincx'!$M$1:$M$1100,"Pendente")+COUNTIFS('Care Plus'!$A$1:$A$1100,$A10,'Care Plus'!$M$1:$M$1100,"Pendente")+COUNTIFS(Medsenior!$A$1:$A$1100,$A10,Medsenior!$M$1:$M$1100,"Pendente")+COUNTIFS('Omint Skill'!$A$1:$A$1100,$A10,'Omint Skill'!$M$1:$M$1100,"Pendente")+COUNTIFS('Omint Premium'!$A$1:$A$1100,$A10,'Omint Premium'!$M$1:$M$1100,"Pendente")+COUNTIFS('Convênio Creabily Especial'!$A$1:$A$1100,$A10,'Convênio Creabily Especial'!$M$1:$M$1100,"Pendente")+COUNTIFS('Creabily Particular'!$A$1:$A$1100,$A10,'Creabily Particular'!$M$1:$M$1100,"Pendente")+COUNTIFS('Omint Corporate'!$A$1:$A$1100,$A10,'Omint Corporate'!$M$1:$M$1100,"Pendente")+COUNTIFS('SEM CONVÊNIO'!$A$1:$A$1100,$A10,'SEM CONVÊNIO'!$M$1:$M$1100,"Pendente")+COUNTIFS('Total Pass'!$A$1:$A$1100,$A10,'Total Pass'!$M$1:$M$1100,"Pendente")</f>
        <v>0</v>
      </c>
      <c r="F10" s="31">
        <f>COUNTIFS('Afresp Saúde'!$A$1:$A$1100,$A10,'Afresp Saúde'!$M$1:$M$1100,"Cancelado")+COUNTIFS('Amil Black, Amil One, Lincx'!$A$1:$A$1100,$A10,'Amil Black, Amil One, Lincx'!$M$1:$M$1100,"Cancelado")+COUNTIFS('Care Plus'!$A$1:$A$1100,$A10,'Care Plus'!$M$1:$M$1100,"Cancelado")+COUNTIFS(Medsenior!$A$1:$A$1100,$A10,Medsenior!$M$1:$M$1100,"Cancelado")+COUNTIFS('Omint Skill'!$A$1:$A$1100,$A10,'Omint Skill'!$M$1:$M$1100,"Cancelado")+COUNTIFS('Omint Premium'!$A$1:$A$1100,$A10,'Omint Premium'!$M$1:$M$1100,"Cancelado")+COUNTIFS('Convênio Creabily Especial'!$A$1:$A$1100,$A10,'Convênio Creabily Especial'!$M$1:$M$1100,"Cancelado")+COUNTIFS('Creabily Particular'!$A$1:$A$1100,$A10,'Creabily Particular'!$M$1:$M$1100,"Cancelado")+COUNTIFS('Omint Corporate'!$A$1:$A$1100,$A10,'Omint Corporate'!$M$1:$M$1100,"Cancelado")+COUNTIFS('SEM CONVÊNIO'!$A$1:$A$1100,$A10,'SEM CONVÊNIO'!$M$1:$M$1100,"Cancelado")+COUNTIFS('Total Pass'!$A$1:$A$1100,$A10,'Total Pass'!$M$1:$M$1100,"Cancelado")</f>
        <v>4</v>
      </c>
      <c r="G10" s="31">
        <f>COUNTIFS('Afresp Saúde'!$A$1:$A$1100,$A10,'Afresp Saúde'!$M$1:$M$1100,"Não se aplica")+COUNTIFS('Amil Black, Amil One, Lincx'!$A$1:$A$1100,$A10,'Amil Black, Amil One, Lincx'!$M$1:$M$1100,"Não se aplica")+COUNTIFS('Care Plus'!$A$1:$A$1100,$A10,'Care Plus'!$M$1:$M$1100,"Não se aplica")+COUNTIFS(Medsenior!$A$1:$A$1100,$A10,Medsenior!$M$1:$M$1100,"Não se aplica")+COUNTIFS('Omint Skill'!$A$1:$A$1100,$A10,'Omint Skill'!$M$1:$M$1100,"Não se aplica")+COUNTIFS('Omint Premium'!$A$1:$A$1100,$A10,'Omint Premium'!$M$1:$M$1100,"Não se aplica")+COUNTIFS('Convênio Creabily Especial'!$A$1:$A$1100,$A10,'Convênio Creabily Especial'!$M$1:$M$1100,"Não se aplica")+COUNTIFS('Creabily Particular'!$A$1:$A$1100,$A10,'Creabily Particular'!$M$1:$M$1100,"Não se aplica")+COUNTIFS('Omint Corporate'!$A$1:$A$1100,$A10,'Omint Corporate'!$M$1:$M$1100,"Não se aplica")+COUNTIFS('SEM CONVÊNIO'!$A$1:$A$1100,$A10,'SEM CONVÊNIO'!$M$1:$M$1100,"Não se aplica")+COUNTIFS('Total Pass'!$A$1:$A$1100,$A10,'Total Pass'!$M$1:$M$1100,"Não se aplica")</f>
        <v>3</v>
      </c>
      <c r="H10" s="31">
        <f>COUNTIFS('Afresp Saúde'!$A$1:$A$1100,$A10,'Afresp Saúde'!$D$1:$D$1100,"Não compareceu*")+COUNTIFS('Amil Black, Amil One, Lincx'!$A$1:$A$1100,$A10,'Amil Black, Amil One, Lincx'!$D$1:$D$1100,"Não compareceu*")+COUNTIFS('Care Plus'!$A$1:$A$1100,$A10,'Care Plus'!$D$1:$D$1100,"Não compareceu*")+COUNTIFS(Medsenior!$A$1:$A$1100,$A10,Medsenior!$D$1:$D$1100,"Não compareceu*")+COUNTIFS('Omint Skill'!$A$1:$A$1100,$A10,'Omint Skill'!$D$1:$D$1100,"Não compareceu*")+COUNTIFS('Omint Premium'!$A$1:$A$1100,$A10,'Omint Premium'!$D$1:$D$1100,"Não compareceu*")+COUNTIFS('Convênio Creabily Especial'!$A$1:$A$1100,$A10,'Convênio Creabily Especial'!$D$1:$D$1100,"Não compareceu*")+COUNTIFS('Creabily Particular'!$A$1:$A$1100,$A10,'Creabily Particular'!$D$1:$D$1100,"Não compareceu*")+COUNTIFS('Omint Corporate'!$A$1:$A$1100,$A10,'Omint Corporate'!$D$1:$D$1100,"Não compareceu*")+COUNTIFS('SEM CONVÊNIO'!$A$1:$A$1100,$A10,'SEM CONVÊNIO'!$D$1:$D$1100,"Não compareceu*")+COUNTIFS('Total Pass'!$A$1:$A$1100,$A10,'Total Pass'!$D$1:$D$1100,"Não compareceu*")</f>
        <v>0</v>
      </c>
      <c r="I10" s="31">
        <f>COUNTIFS('Afresp Saúde'!$A$1:$A$1100,$A10,'Afresp Saúde'!$D$1:$D$1100,"Falta Justificada*")+COUNTIFS('Amil Black, Amil One, Lincx'!$A$1:$A$1100,$A10,'Amil Black, Amil One, Lincx'!$D$1:$D$1100,"Falta Justificada*")+COUNTIFS('Care Plus'!$A$1:$A$1100,$A10,'Care Plus'!$D$1:$D$1100,"Falta Justificada*")+COUNTIFS(Medsenior!$A$1:$A$1100,$A10,Medsenior!$D$1:$D$1100,"Falta Justificada*")+COUNTIFS('Omint Skill'!$A$1:$A$1100,$A10,'Omint Skill'!$D$1:$D$1100,"Falta Justificada*")+COUNTIFS('Omint Premium'!$A$1:$A$1100,$A10,'Omint Premium'!$D$1:$D$1100,"Falta Justificada*")+COUNTIFS('Convênio Creabily Especial'!$A$1:$A$1100,$A10,'Convênio Creabily Especial'!$D$1:$D$1100,"Falta Justificada*")+COUNTIFS('Creabily Particular'!$A$1:$A$1100,$A10,'Creabily Particular'!$D$1:$D$1100,"Falta Justificada*")+COUNTIFS('Omint Corporate'!$A$1:$A$1100,$A10,'Omint Corporate'!$D$1:$D$1100,"Falta Justificada*")+COUNTIFS('SEM CONVÊNIO'!$A$1:$A$1100,$A10,'SEM CONVÊNIO'!$D$1:$D$1100,"Falta Justificada*")+COUNTIFS('Total Pass'!$A$1:$A$1100,$A10,'Total Pass'!$D$1:$D$1100,"Falta Justificada*")</f>
        <v>9</v>
      </c>
      <c r="J10" s="31">
        <f>COUNTIFS('Afresp Saúde'!$A$1:$A$1100,$A10,'Afresp Saúde'!$D$1:$D$1100,"Finalizado*")+COUNTIFS('Amil Black, Amil One, Lincx'!$A$1:$A$1100,$A10,'Amil Black, Amil One, Lincx'!$D$1:$D$1100,"Finalizado*")+COUNTIFS('Care Plus'!$A$1:$A$1100,$A10,'Care Plus'!$D$1:$D$1100,"Finalizado*")+COUNTIFS(Medsenior!$A$1:$A$1100,$A10,Medsenior!$D$1:$D$1100,"Finalizado*")+COUNTIFS('Omint Skill'!$A$1:$A$1100,$A10,'Omint Skill'!$D$1:$D$1100,"Finalizado*")+COUNTIFS('Omint Premium'!$A$1:$A$1100,$A10,'Omint Premium'!$D$1:$D$1100,"Finalizado*")+COUNTIFS('Convênio Creabily Especial'!$A$1:$A$1100,$A10,'Convênio Creabily Especial'!$D$1:$D$1100,"Finalizado*")+COUNTIFS('Creabily Particular'!$A$1:$A$1100,$A10,'Creabily Particular'!$D$1:$D$1100,"Finalizado*")+COUNTIFS('Omint Corporate'!$A$1:$A$1100,$A10,'Omint Corporate'!$D$1:$D$1100,"Finalizado*")+COUNTIFS('SEM CONVÊNIO'!$A$1:$A$1100,$A10,'SEM CONVÊNIO'!$D$1:$D$1100,"Finalizado*")+COUNTIFS('Total Pass'!$A$1:$A$1100,$A10,'Total Pass'!$D$1:$D$1100,"Finalizado*")</f>
        <v>0</v>
      </c>
    </row>
    <row r="11">
      <c r="A11" s="31" t="s">
        <v>745</v>
      </c>
      <c r="B11" s="31">
        <f>COUNTIF('Afresp Saúde'!$A$1:$A$1100,$A11)+COUNTIF('Amil Black, Amil One, Lincx'!$A$1:$A$1100,$A11)+COUNTIF('Care Plus'!$A$1:$A$1100,$A11)+COUNTIF(Medsenior!$A$1:$A$1100,$A11)+COUNTIF('Omint Skill'!$A$1:$A$1100,$A11)+COUNTIF('Omint Premium'!$A$1:$A$1100,$A11)+COUNTIF('Convênio Creabily Especial'!$A$1:$A$1100,$A11)+COUNTIF('Creabily Particular'!$A$1:$A$1100,$A11)+COUNTIF('Omint Corporate'!$A$1:$A$1100,$A11)+COUNTIF('SEM CONVÊNIO'!$A$1:$A$1100,$A11)+COUNTIF('Total Pass'!$A$1:$A$1100,$A11)</f>
        <v>145</v>
      </c>
      <c r="C11" s="31">
        <f>COUNTIFS('Afresp Saúde'!$A$1:$A$1100,$A11,'Afresp Saúde'!$M$1:$M$1100,"Finalizado")+COUNTIFS('Amil Black, Amil One, Lincx'!$A$1:$A$1100,$A11,'Amil Black, Amil One, Lincx'!$M$1:$M$1100,"Finalizado")+COUNTIFS('Care Plus'!$A$1:$A$1100,$A11,'Care Plus'!$M$1:$M$1100,"Finalizado")+COUNTIFS(Medsenior!$A$1:$A$1100,$A11,Medsenior!$M$1:$M$1100,"Finalizado")+COUNTIFS('Omint Skill'!$A$1:$A$1100,$A11,'Omint Skill'!$M$1:$M$1100,"Finalizado")+COUNTIFS('Omint Premium'!$A$1:$A$1100,$A11,'Omint Premium'!$M$1:$M$1100,"Finalizado")+COUNTIFS('Convênio Creabily Especial'!$A$1:$A$1100,$A11,'Convênio Creabily Especial'!$M$1:$M$1100,"Finalizado")+COUNTIFS('Creabily Particular'!$A$1:$A$1100,$A11,'Creabily Particular'!$M$1:$M$1100,"Finalizado")+COUNTIFS('Omint Corporate'!$A$1:$A$1100,$A11,'Omint Corporate'!$M$1:$M$1100,"Finalizado")+COUNTIFS('SEM CONVÊNIO'!$A$1:$A$1100,$A11,'SEM CONVÊNIO'!$M$1:$M$1100,"Finalizado")+COUNTIFS('Total Pass'!$A$1:$A$1100,$A11,'Total Pass'!$M$1:$M$1100,"Finalizado")</f>
        <v>21</v>
      </c>
      <c r="D11" s="31">
        <f>COUNTIFS('Afresp Saúde'!$A$1:$A$1100,$A11,'Afresp Saúde'!$M$1:$M$1100,"Validado")+COUNTIFS('Amil Black, Amil One, Lincx'!$A$1:$A$1100,$A11,'Amil Black, Amil One, Lincx'!$M$1:$M$1100,"Validado")+COUNTIFS('Care Plus'!$A$1:$A$1100,$A11,'Care Plus'!$M$1:$M$1100,"Validado")+COUNTIFS(Medsenior!$A$1:$A$1100,$A11,Medsenior!$M$1:$M$1100,"Validado")+COUNTIFS('Omint Skill'!$A$1:$A$1100,$A11,'Omint Skill'!$M$1:$M$1100,"Validado")+COUNTIFS('Omint Premium'!$A$1:$A$1100,$A11,'Omint Premium'!$M$1:$M$1100,"Validado")+COUNTIFS('Convênio Creabily Especial'!$A$1:$A$1100,$A11,'Convênio Creabily Especial'!$M$1:$M$1100,"Validado")+COUNTIFS('Creabily Particular'!$A$1:$A$1100,$A11,'Creabily Particular'!$M$1:$M$1100,"Validado")+COUNTIFS('Omint Corporate'!$A$1:$A$1100,$A11,'Omint Corporate'!$M$1:$M$1100,"Validado")+COUNTIFS('SEM CONVÊNIO'!$A$1:$A$1100,$A11,'SEM CONVÊNIO'!$M$1:$M$1100,"Validado")+COUNTIFS('Total Pass'!$A$1:$A$1100,$A11,'Total Pass'!$M$1:$M$1100,"Validado")</f>
        <v>96</v>
      </c>
      <c r="E11" s="31">
        <f>COUNTIFS('Afresp Saúde'!$A$1:$A$1100,$A11,'Afresp Saúde'!$M$1:$M$1100,"Pendente")+COUNTIFS('Amil Black, Amil One, Lincx'!$A$1:$A$1100,$A11,'Amil Black, Amil One, Lincx'!$M$1:$M$1100,"Pendente")+COUNTIFS('Care Plus'!$A$1:$A$1100,$A11,'Care Plus'!$M$1:$M$1100,"Pendente")+COUNTIFS(Medsenior!$A$1:$A$1100,$A11,Medsenior!$M$1:$M$1100,"Pendente")+COUNTIFS('Omint Skill'!$A$1:$A$1100,$A11,'Omint Skill'!$M$1:$M$1100,"Pendente")+COUNTIFS('Omint Premium'!$A$1:$A$1100,$A11,'Omint Premium'!$M$1:$M$1100,"Pendente")+COUNTIFS('Convênio Creabily Especial'!$A$1:$A$1100,$A11,'Convênio Creabily Especial'!$M$1:$M$1100,"Pendente")+COUNTIFS('Creabily Particular'!$A$1:$A$1100,$A11,'Creabily Particular'!$M$1:$M$1100,"Pendente")+COUNTIFS('Omint Corporate'!$A$1:$A$1100,$A11,'Omint Corporate'!$M$1:$M$1100,"Pendente")+COUNTIFS('SEM CONVÊNIO'!$A$1:$A$1100,$A11,'SEM CONVÊNIO'!$M$1:$M$1100,"Pendente")+COUNTIFS('Total Pass'!$A$1:$A$1100,$A11,'Total Pass'!$M$1:$M$1100,"Pendente")</f>
        <v>1</v>
      </c>
      <c r="F11" s="31">
        <f>COUNTIFS('Afresp Saúde'!$A$1:$A$1100,$A11,'Afresp Saúde'!$M$1:$M$1100,"Cancelado")+COUNTIFS('Amil Black, Amil One, Lincx'!$A$1:$A$1100,$A11,'Amil Black, Amil One, Lincx'!$M$1:$M$1100,"Cancelado")+COUNTIFS('Care Plus'!$A$1:$A$1100,$A11,'Care Plus'!$M$1:$M$1100,"Cancelado")+COUNTIFS(Medsenior!$A$1:$A$1100,$A11,Medsenior!$M$1:$M$1100,"Cancelado")+COUNTIFS('Omint Skill'!$A$1:$A$1100,$A11,'Omint Skill'!$M$1:$M$1100,"Cancelado")+COUNTIFS('Omint Premium'!$A$1:$A$1100,$A11,'Omint Premium'!$M$1:$M$1100,"Cancelado")+COUNTIFS('Convênio Creabily Especial'!$A$1:$A$1100,$A11,'Convênio Creabily Especial'!$M$1:$M$1100,"Cancelado")+COUNTIFS('Creabily Particular'!$A$1:$A$1100,$A11,'Creabily Particular'!$M$1:$M$1100,"Cancelado")+COUNTIFS('Omint Corporate'!$A$1:$A$1100,$A11,'Omint Corporate'!$M$1:$M$1100,"Cancelado")+COUNTIFS('SEM CONVÊNIO'!$A$1:$A$1100,$A11,'SEM CONVÊNIO'!$M$1:$M$1100,"Cancelado")+COUNTIFS('Total Pass'!$A$1:$A$1100,$A11,'Total Pass'!$M$1:$M$1100,"Cancelado")</f>
        <v>14</v>
      </c>
      <c r="G11" s="31">
        <f>COUNTIFS('Afresp Saúde'!$A$1:$A$1100,$A11,'Afresp Saúde'!$M$1:$M$1100,"Não se aplica")+COUNTIFS('Amil Black, Amil One, Lincx'!$A$1:$A$1100,$A11,'Amil Black, Amil One, Lincx'!$M$1:$M$1100,"Não se aplica")+COUNTIFS('Care Plus'!$A$1:$A$1100,$A11,'Care Plus'!$M$1:$M$1100,"Não se aplica")+COUNTIFS(Medsenior!$A$1:$A$1100,$A11,Medsenior!$M$1:$M$1100,"Não se aplica")+COUNTIFS('Omint Skill'!$A$1:$A$1100,$A11,'Omint Skill'!$M$1:$M$1100,"Não se aplica")+COUNTIFS('Omint Premium'!$A$1:$A$1100,$A11,'Omint Premium'!$M$1:$M$1100,"Não se aplica")+COUNTIFS('Convênio Creabily Especial'!$A$1:$A$1100,$A11,'Convênio Creabily Especial'!$M$1:$M$1100,"Não se aplica")+COUNTIFS('Creabily Particular'!$A$1:$A$1100,$A11,'Creabily Particular'!$M$1:$M$1100,"Não se aplica")+COUNTIFS('Omint Corporate'!$A$1:$A$1100,$A11,'Omint Corporate'!$M$1:$M$1100,"Não se aplica")+COUNTIFS('SEM CONVÊNIO'!$A$1:$A$1100,$A11,'SEM CONVÊNIO'!$M$1:$M$1100,"Não se aplica")+COUNTIFS('Total Pass'!$A$1:$A$1100,$A11,'Total Pass'!$M$1:$M$1100,"Não se aplica")</f>
        <v>7</v>
      </c>
      <c r="H11" s="31">
        <f>COUNTIFS('Afresp Saúde'!$A$1:$A$1100,$A11,'Afresp Saúde'!$D$1:$D$1100,"Não compareceu*")+COUNTIFS('Amil Black, Amil One, Lincx'!$A$1:$A$1100,$A11,'Amil Black, Amil One, Lincx'!$D$1:$D$1100,"Não compareceu*")+COUNTIFS('Care Plus'!$A$1:$A$1100,$A11,'Care Plus'!$D$1:$D$1100,"Não compareceu*")+COUNTIFS(Medsenior!$A$1:$A$1100,$A11,Medsenior!$D$1:$D$1100,"Não compareceu*")+COUNTIFS('Omint Skill'!$A$1:$A$1100,$A11,'Omint Skill'!$D$1:$D$1100,"Não compareceu*")+COUNTIFS('Omint Premium'!$A$1:$A$1100,$A11,'Omint Premium'!$D$1:$D$1100,"Não compareceu*")+COUNTIFS('Convênio Creabily Especial'!$A$1:$A$1100,$A11,'Convênio Creabily Especial'!$D$1:$D$1100,"Não compareceu*")+COUNTIFS('Creabily Particular'!$A$1:$A$1100,$A11,'Creabily Particular'!$D$1:$D$1100,"Não compareceu*")+COUNTIFS('Omint Corporate'!$A$1:$A$1100,$A11,'Omint Corporate'!$D$1:$D$1100,"Não compareceu*")+COUNTIFS('SEM CONVÊNIO'!$A$1:$A$1100,$A11,'SEM CONVÊNIO'!$D$1:$D$1100,"Não compareceu*")+COUNTIFS('Total Pass'!$A$1:$A$1100,$A11,'Total Pass'!$D$1:$D$1100,"Não compareceu*")</f>
        <v>0</v>
      </c>
      <c r="I11" s="31">
        <f>COUNTIFS('Afresp Saúde'!$A$1:$A$1100,$A11,'Afresp Saúde'!$D$1:$D$1100,"Falta Justificada*")+COUNTIFS('Amil Black, Amil One, Lincx'!$A$1:$A$1100,$A11,'Amil Black, Amil One, Lincx'!$D$1:$D$1100,"Falta Justificada*")+COUNTIFS('Care Plus'!$A$1:$A$1100,$A11,'Care Plus'!$D$1:$D$1100,"Falta Justificada*")+COUNTIFS(Medsenior!$A$1:$A$1100,$A11,Medsenior!$D$1:$D$1100,"Falta Justificada*")+COUNTIFS('Omint Skill'!$A$1:$A$1100,$A11,'Omint Skill'!$D$1:$D$1100,"Falta Justificada*")+COUNTIFS('Omint Premium'!$A$1:$A$1100,$A11,'Omint Premium'!$D$1:$D$1100,"Falta Justificada*")+COUNTIFS('Convênio Creabily Especial'!$A$1:$A$1100,$A11,'Convênio Creabily Especial'!$D$1:$D$1100,"Falta Justificada*")+COUNTIFS('Creabily Particular'!$A$1:$A$1100,$A11,'Creabily Particular'!$D$1:$D$1100,"Falta Justificada*")+COUNTIFS('Omint Corporate'!$A$1:$A$1100,$A11,'Omint Corporate'!$D$1:$D$1100,"Falta Justificada*")+COUNTIFS('SEM CONVÊNIO'!$A$1:$A$1100,$A11,'SEM CONVÊNIO'!$D$1:$D$1100,"Falta Justificada*")+COUNTIFS('Total Pass'!$A$1:$A$1100,$A11,'Total Pass'!$D$1:$D$1100,"Falta Justificada*")</f>
        <v>7</v>
      </c>
      <c r="J11" s="31">
        <f>COUNTIFS('Afresp Saúde'!$A$1:$A$1100,$A11,'Afresp Saúde'!$D$1:$D$1100,"Finalizado*")+COUNTIFS('Amil Black, Amil One, Lincx'!$A$1:$A$1100,$A11,'Amil Black, Amil One, Lincx'!$D$1:$D$1100,"Finalizado*")+COUNTIFS('Care Plus'!$A$1:$A$1100,$A11,'Care Plus'!$D$1:$D$1100,"Finalizado*")+COUNTIFS(Medsenior!$A$1:$A$1100,$A11,Medsenior!$D$1:$D$1100,"Finalizado*")+COUNTIFS('Omint Skill'!$A$1:$A$1100,$A11,'Omint Skill'!$D$1:$D$1100,"Finalizado*")+COUNTIFS('Omint Premium'!$A$1:$A$1100,$A11,'Omint Premium'!$D$1:$D$1100,"Finalizado*")+COUNTIFS('Convênio Creabily Especial'!$A$1:$A$1100,$A11,'Convênio Creabily Especial'!$D$1:$D$1100,"Finalizado*")+COUNTIFS('Creabily Particular'!$A$1:$A$1100,$A11,'Creabily Particular'!$D$1:$D$1100,"Finalizado*")+COUNTIFS('Omint Corporate'!$A$1:$A$1100,$A11,'Omint Corporate'!$D$1:$D$1100,"Finalizado*")+COUNTIFS('SEM CONVÊNIO'!$A$1:$A$1100,$A11,'SEM CONVÊNIO'!$D$1:$D$1100,"Finalizado*")+COUNTIFS('Total Pass'!$A$1:$A$1100,$A11,'Total Pass'!$D$1:$D$1100,"Finalizado*")</f>
        <v>0</v>
      </c>
    </row>
    <row r="12">
      <c r="A12" s="31" t="s">
        <v>818</v>
      </c>
      <c r="B12" s="31">
        <f>COUNTIF('Afresp Saúde'!$A$1:$A$1100,$A12)+COUNTIF('Amil Black, Amil One, Lincx'!$A$1:$A$1100,$A12)+COUNTIF('Care Plus'!$A$1:$A$1100,$A12)+COUNTIF(Medsenior!$A$1:$A$1100,$A12)+COUNTIF('Omint Skill'!$A$1:$A$1100,$A12)+COUNTIF('Omint Premium'!$A$1:$A$1100,$A12)+COUNTIF('Convênio Creabily Especial'!$A$1:$A$1100,$A12)+COUNTIF('Creabily Particular'!$A$1:$A$1100,$A12)+COUNTIF('Omint Corporate'!$A$1:$A$1100,$A12)+COUNTIF('SEM CONVÊNIO'!$A$1:$A$1100,$A12)+COUNTIF('Total Pass'!$A$1:$A$1100,$A12)</f>
        <v>127</v>
      </c>
      <c r="C12" s="31">
        <f>COUNTIFS('Afresp Saúde'!$A$1:$A$1100,$A12,'Afresp Saúde'!$M$1:$M$1100,"Finalizado")+COUNTIFS('Amil Black, Amil One, Lincx'!$A$1:$A$1100,$A12,'Amil Black, Amil One, Lincx'!$M$1:$M$1100,"Finalizado")+COUNTIFS('Care Plus'!$A$1:$A$1100,$A12,'Care Plus'!$M$1:$M$1100,"Finalizado")+COUNTIFS(Medsenior!$A$1:$A$1100,$A12,Medsenior!$M$1:$M$1100,"Finalizado")+COUNTIFS('Omint Skill'!$A$1:$A$1100,$A12,'Omint Skill'!$M$1:$M$1100,"Finalizado")+COUNTIFS('Omint Premium'!$A$1:$A$1100,$A12,'Omint Premium'!$M$1:$M$1100,"Finalizado")+COUNTIFS('Convênio Creabily Especial'!$A$1:$A$1100,$A12,'Convênio Creabily Especial'!$M$1:$M$1100,"Finalizado")+COUNTIFS('Creabily Particular'!$A$1:$A$1100,$A12,'Creabily Particular'!$M$1:$M$1100,"Finalizado")+COUNTIFS('Omint Corporate'!$A$1:$A$1100,$A12,'Omint Corporate'!$M$1:$M$1100,"Finalizado")+COUNTIFS('SEM CONVÊNIO'!$A$1:$A$1100,$A12,'SEM CONVÊNIO'!$M$1:$M$1100,"Finalizado")+COUNTIFS('Total Pass'!$A$1:$A$1100,$A12,'Total Pass'!$M$1:$M$1100,"Finalizado")</f>
        <v>16</v>
      </c>
      <c r="D12" s="31">
        <f>COUNTIFS('Afresp Saúde'!$A$1:$A$1100,$A12,'Afresp Saúde'!$M$1:$M$1100,"Validado")+COUNTIFS('Amil Black, Amil One, Lincx'!$A$1:$A$1100,$A12,'Amil Black, Amil One, Lincx'!$M$1:$M$1100,"Validado")+COUNTIFS('Care Plus'!$A$1:$A$1100,$A12,'Care Plus'!$M$1:$M$1100,"Validado")+COUNTIFS(Medsenior!$A$1:$A$1100,$A12,Medsenior!$M$1:$M$1100,"Validado")+COUNTIFS('Omint Skill'!$A$1:$A$1100,$A12,'Omint Skill'!$M$1:$M$1100,"Validado")+COUNTIFS('Omint Premium'!$A$1:$A$1100,$A12,'Omint Premium'!$M$1:$M$1100,"Validado")+COUNTIFS('Convênio Creabily Especial'!$A$1:$A$1100,$A12,'Convênio Creabily Especial'!$M$1:$M$1100,"Validado")+COUNTIFS('Creabily Particular'!$A$1:$A$1100,$A12,'Creabily Particular'!$M$1:$M$1100,"Validado")+COUNTIFS('Omint Corporate'!$A$1:$A$1100,$A12,'Omint Corporate'!$M$1:$M$1100,"Validado")+COUNTIFS('SEM CONVÊNIO'!$A$1:$A$1100,$A12,'SEM CONVÊNIO'!$M$1:$M$1100,"Validado")+COUNTIFS('Total Pass'!$A$1:$A$1100,$A12,'Total Pass'!$M$1:$M$1100,"Validado")</f>
        <v>80</v>
      </c>
      <c r="E12" s="31">
        <f>COUNTIFS('Afresp Saúde'!$A$1:$A$1100,$A12,'Afresp Saúde'!$M$1:$M$1100,"Pendente")+COUNTIFS('Amil Black, Amil One, Lincx'!$A$1:$A$1100,$A12,'Amil Black, Amil One, Lincx'!$M$1:$M$1100,"Pendente")+COUNTIFS('Care Plus'!$A$1:$A$1100,$A12,'Care Plus'!$M$1:$M$1100,"Pendente")+COUNTIFS(Medsenior!$A$1:$A$1100,$A12,Medsenior!$M$1:$M$1100,"Pendente")+COUNTIFS('Omint Skill'!$A$1:$A$1100,$A12,'Omint Skill'!$M$1:$M$1100,"Pendente")+COUNTIFS('Omint Premium'!$A$1:$A$1100,$A12,'Omint Premium'!$M$1:$M$1100,"Pendente")+COUNTIFS('Convênio Creabily Especial'!$A$1:$A$1100,$A12,'Convênio Creabily Especial'!$M$1:$M$1100,"Pendente")+COUNTIFS('Creabily Particular'!$A$1:$A$1100,$A12,'Creabily Particular'!$M$1:$M$1100,"Pendente")+COUNTIFS('Omint Corporate'!$A$1:$A$1100,$A12,'Omint Corporate'!$M$1:$M$1100,"Pendente")+COUNTIFS('SEM CONVÊNIO'!$A$1:$A$1100,$A12,'SEM CONVÊNIO'!$M$1:$M$1100,"Pendente")+COUNTIFS('Total Pass'!$A$1:$A$1100,$A12,'Total Pass'!$M$1:$M$1100,"Pendente")</f>
        <v>4</v>
      </c>
      <c r="F12" s="31">
        <f>COUNTIFS('Afresp Saúde'!$A$1:$A$1100,$A12,'Afresp Saúde'!$M$1:$M$1100,"Cancelado")+COUNTIFS('Amil Black, Amil One, Lincx'!$A$1:$A$1100,$A12,'Amil Black, Amil One, Lincx'!$M$1:$M$1100,"Cancelado")+COUNTIFS('Care Plus'!$A$1:$A$1100,$A12,'Care Plus'!$M$1:$M$1100,"Cancelado")+COUNTIFS(Medsenior!$A$1:$A$1100,$A12,Medsenior!$M$1:$M$1100,"Cancelado")+COUNTIFS('Omint Skill'!$A$1:$A$1100,$A12,'Omint Skill'!$M$1:$M$1100,"Cancelado")+COUNTIFS('Omint Premium'!$A$1:$A$1100,$A12,'Omint Premium'!$M$1:$M$1100,"Cancelado")+COUNTIFS('Convênio Creabily Especial'!$A$1:$A$1100,$A12,'Convênio Creabily Especial'!$M$1:$M$1100,"Cancelado")+COUNTIFS('Creabily Particular'!$A$1:$A$1100,$A12,'Creabily Particular'!$M$1:$M$1100,"Cancelado")+COUNTIFS('Omint Corporate'!$A$1:$A$1100,$A12,'Omint Corporate'!$M$1:$M$1100,"Cancelado")+COUNTIFS('SEM CONVÊNIO'!$A$1:$A$1100,$A12,'SEM CONVÊNIO'!$M$1:$M$1100,"Cancelado")+COUNTIFS('Total Pass'!$A$1:$A$1100,$A12,'Total Pass'!$M$1:$M$1100,"Cancelado")</f>
        <v>14</v>
      </c>
      <c r="G12" s="31">
        <f>COUNTIFS('Afresp Saúde'!$A$1:$A$1100,$A12,'Afresp Saúde'!$M$1:$M$1100,"Não se aplica")+COUNTIFS('Amil Black, Amil One, Lincx'!$A$1:$A$1100,$A12,'Amil Black, Amil One, Lincx'!$M$1:$M$1100,"Não se aplica")+COUNTIFS('Care Plus'!$A$1:$A$1100,$A12,'Care Plus'!$M$1:$M$1100,"Não se aplica")+COUNTIFS(Medsenior!$A$1:$A$1100,$A12,Medsenior!$M$1:$M$1100,"Não se aplica")+COUNTIFS('Omint Skill'!$A$1:$A$1100,$A12,'Omint Skill'!$M$1:$M$1100,"Não se aplica")+COUNTIFS('Omint Premium'!$A$1:$A$1100,$A12,'Omint Premium'!$M$1:$M$1100,"Não se aplica")+COUNTIFS('Convênio Creabily Especial'!$A$1:$A$1100,$A12,'Convênio Creabily Especial'!$M$1:$M$1100,"Não se aplica")+COUNTIFS('Creabily Particular'!$A$1:$A$1100,$A12,'Creabily Particular'!$M$1:$M$1100,"Não se aplica")+COUNTIFS('Omint Corporate'!$A$1:$A$1100,$A12,'Omint Corporate'!$M$1:$M$1100,"Não se aplica")+COUNTIFS('SEM CONVÊNIO'!$A$1:$A$1100,$A12,'SEM CONVÊNIO'!$M$1:$M$1100,"Não se aplica")+COUNTIFS('Total Pass'!$A$1:$A$1100,$A12,'Total Pass'!$M$1:$M$1100,"Não se aplica")</f>
        <v>4</v>
      </c>
      <c r="H12" s="31">
        <f>COUNTIFS('Afresp Saúde'!$A$1:$A$1100,$A12,'Afresp Saúde'!$D$1:$D$1100,"Não compareceu*")+COUNTIFS('Amil Black, Amil One, Lincx'!$A$1:$A$1100,$A12,'Amil Black, Amil One, Lincx'!$D$1:$D$1100,"Não compareceu*")+COUNTIFS('Care Plus'!$A$1:$A$1100,$A12,'Care Plus'!$D$1:$D$1100,"Não compareceu*")+COUNTIFS(Medsenior!$A$1:$A$1100,$A12,Medsenior!$D$1:$D$1100,"Não compareceu*")+COUNTIFS('Omint Skill'!$A$1:$A$1100,$A12,'Omint Skill'!$D$1:$D$1100,"Não compareceu*")+COUNTIFS('Omint Premium'!$A$1:$A$1100,$A12,'Omint Premium'!$D$1:$D$1100,"Não compareceu*")+COUNTIFS('Convênio Creabily Especial'!$A$1:$A$1100,$A12,'Convênio Creabily Especial'!$D$1:$D$1100,"Não compareceu*")+COUNTIFS('Creabily Particular'!$A$1:$A$1100,$A12,'Creabily Particular'!$D$1:$D$1100,"Não compareceu*")+COUNTIFS('Omint Corporate'!$A$1:$A$1100,$A12,'Omint Corporate'!$D$1:$D$1100,"Não compareceu*")+COUNTIFS('SEM CONVÊNIO'!$A$1:$A$1100,$A12,'SEM CONVÊNIO'!$D$1:$D$1100,"Não compareceu*")+COUNTIFS('Total Pass'!$A$1:$A$1100,$A12,'Total Pass'!$D$1:$D$1100,"Não compareceu*")</f>
        <v>0</v>
      </c>
      <c r="I12" s="31">
        <f>COUNTIFS('Afresp Saúde'!$A$1:$A$1100,$A12,'Afresp Saúde'!$D$1:$D$1100,"Falta Justificada*")+COUNTIFS('Amil Black, Amil One, Lincx'!$A$1:$A$1100,$A12,'Amil Black, Amil One, Lincx'!$D$1:$D$1100,"Falta Justificada*")+COUNTIFS('Care Plus'!$A$1:$A$1100,$A12,'Care Plus'!$D$1:$D$1100,"Falta Justificada*")+COUNTIFS(Medsenior!$A$1:$A$1100,$A12,Medsenior!$D$1:$D$1100,"Falta Justificada*")+COUNTIFS('Omint Skill'!$A$1:$A$1100,$A12,'Omint Skill'!$D$1:$D$1100,"Falta Justificada*")+COUNTIFS('Omint Premium'!$A$1:$A$1100,$A12,'Omint Premium'!$D$1:$D$1100,"Falta Justificada*")+COUNTIFS('Convênio Creabily Especial'!$A$1:$A$1100,$A12,'Convênio Creabily Especial'!$D$1:$D$1100,"Falta Justificada*")+COUNTIFS('Creabily Particular'!$A$1:$A$1100,$A12,'Creabily Particular'!$D$1:$D$1100,"Falta Justificada*")+COUNTIFS('Omint Corporate'!$A$1:$A$1100,$A12,'Omint Corporate'!$D$1:$D$1100,"Falta Justificada*")+COUNTIFS('SEM CONVÊNIO'!$A$1:$A$1100,$A12,'SEM CONVÊNIO'!$D$1:$D$1100,"Falta Justificada*")+COUNTIFS('Total Pass'!$A$1:$A$1100,$A12,'Total Pass'!$D$1:$D$1100,"Falta Justificada*")</f>
        <v>9</v>
      </c>
      <c r="J12" s="31">
        <f>COUNTIFS('Afresp Saúde'!$A$1:$A$1100,$A12,'Afresp Saúde'!$D$1:$D$1100,"Finalizado*")+COUNTIFS('Amil Black, Amil One, Lincx'!$A$1:$A$1100,$A12,'Amil Black, Amil One, Lincx'!$D$1:$D$1100,"Finalizado*")+COUNTIFS('Care Plus'!$A$1:$A$1100,$A12,'Care Plus'!$D$1:$D$1100,"Finalizado*")+COUNTIFS(Medsenior!$A$1:$A$1100,$A12,Medsenior!$D$1:$D$1100,"Finalizado*")+COUNTIFS('Omint Skill'!$A$1:$A$1100,$A12,'Omint Skill'!$D$1:$D$1100,"Finalizado*")+COUNTIFS('Omint Premium'!$A$1:$A$1100,$A12,'Omint Premium'!$D$1:$D$1100,"Finalizado*")+COUNTIFS('Convênio Creabily Especial'!$A$1:$A$1100,$A12,'Convênio Creabily Especial'!$D$1:$D$1100,"Finalizado*")+COUNTIFS('Creabily Particular'!$A$1:$A$1100,$A12,'Creabily Particular'!$D$1:$D$1100,"Finalizado*")+COUNTIFS('Omint Corporate'!$A$1:$A$1100,$A12,'Omint Corporate'!$D$1:$D$1100,"Finalizado*")+COUNTIFS('SEM CONVÊNIO'!$A$1:$A$1100,$A12,'SEM CONVÊNIO'!$D$1:$D$1100,"Finalizado*")+COUNTIFS('Total Pass'!$A$1:$A$1100,$A12,'Total Pass'!$D$1:$D$1100,"Finalizado*")</f>
        <v>2</v>
      </c>
    </row>
    <row r="13">
      <c r="A13" s="31" t="s">
        <v>863</v>
      </c>
      <c r="B13" s="31">
        <f>COUNTIF('Afresp Saúde'!$A$1:$A$1100,$A13)+COUNTIF('Amil Black, Amil One, Lincx'!$A$1:$A$1100,$A13)+COUNTIF('Care Plus'!$A$1:$A$1100,$A13)+COUNTIF(Medsenior!$A$1:$A$1100,$A13)+COUNTIF('Omint Skill'!$A$1:$A$1100,$A13)+COUNTIF('Omint Premium'!$A$1:$A$1100,$A13)+COUNTIF('Convênio Creabily Especial'!$A$1:$A$1100,$A13)+COUNTIF('Creabily Particular'!$A$1:$A$1100,$A13)+COUNTIF('Omint Corporate'!$A$1:$A$1100,$A13)+COUNTIF('SEM CONVÊNIO'!$A$1:$A$1100,$A13)+COUNTIF('Total Pass'!$A$1:$A$1100,$A13)</f>
        <v>138</v>
      </c>
      <c r="C13" s="31">
        <f>COUNTIFS('Afresp Saúde'!$A$1:$A$1100,$A13,'Afresp Saúde'!$M$1:$M$1100,"Finalizado")+COUNTIFS('Amil Black, Amil One, Lincx'!$A$1:$A$1100,$A13,'Amil Black, Amil One, Lincx'!$M$1:$M$1100,"Finalizado")+COUNTIFS('Care Plus'!$A$1:$A$1100,$A13,'Care Plus'!$M$1:$M$1100,"Finalizado")+COUNTIFS(Medsenior!$A$1:$A$1100,$A13,Medsenior!$M$1:$M$1100,"Finalizado")+COUNTIFS('Omint Skill'!$A$1:$A$1100,$A13,'Omint Skill'!$M$1:$M$1100,"Finalizado")+COUNTIFS('Omint Premium'!$A$1:$A$1100,$A13,'Omint Premium'!$M$1:$M$1100,"Finalizado")+COUNTIFS('Convênio Creabily Especial'!$A$1:$A$1100,$A13,'Convênio Creabily Especial'!$M$1:$M$1100,"Finalizado")+COUNTIFS('Creabily Particular'!$A$1:$A$1100,$A13,'Creabily Particular'!$M$1:$M$1100,"Finalizado")+COUNTIFS('Omint Corporate'!$A$1:$A$1100,$A13,'Omint Corporate'!$M$1:$M$1100,"Finalizado")+COUNTIFS('SEM CONVÊNIO'!$A$1:$A$1100,$A13,'SEM CONVÊNIO'!$M$1:$M$1100,"Finalizado")+COUNTIFS('Total Pass'!$A$1:$A$1100,$A13,'Total Pass'!$M$1:$M$1100,"Finalizado")</f>
        <v>23</v>
      </c>
      <c r="D13" s="31">
        <f>COUNTIFS('Afresp Saúde'!$A$1:$A$1100,$A13,'Afresp Saúde'!$M$1:$M$1100,"Validado")+COUNTIFS('Amil Black, Amil One, Lincx'!$A$1:$A$1100,$A13,'Amil Black, Amil One, Lincx'!$M$1:$M$1100,"Validado")+COUNTIFS('Care Plus'!$A$1:$A$1100,$A13,'Care Plus'!$M$1:$M$1100,"Validado")+COUNTIFS(Medsenior!$A$1:$A$1100,$A13,Medsenior!$M$1:$M$1100,"Validado")+COUNTIFS('Omint Skill'!$A$1:$A$1100,$A13,'Omint Skill'!$M$1:$M$1100,"Validado")+COUNTIFS('Omint Premium'!$A$1:$A$1100,$A13,'Omint Premium'!$M$1:$M$1100,"Validado")+COUNTIFS('Convênio Creabily Especial'!$A$1:$A$1100,$A13,'Convênio Creabily Especial'!$M$1:$M$1100,"Validado")+COUNTIFS('Creabily Particular'!$A$1:$A$1100,$A13,'Creabily Particular'!$M$1:$M$1100,"Validado")+COUNTIFS('Omint Corporate'!$A$1:$A$1100,$A13,'Omint Corporate'!$M$1:$M$1100,"Validado")+COUNTIFS('SEM CONVÊNIO'!$A$1:$A$1100,$A13,'SEM CONVÊNIO'!$M$1:$M$1100,"Validado")+COUNTIFS('Total Pass'!$A$1:$A$1100,$A13,'Total Pass'!$M$1:$M$1100,"Validado")</f>
        <v>88</v>
      </c>
      <c r="E13" s="31">
        <f>COUNTIFS('Afresp Saúde'!$A$1:$A$1100,$A13,'Afresp Saúde'!$M$1:$M$1100,"Pendente")+COUNTIFS('Amil Black, Amil One, Lincx'!$A$1:$A$1100,$A13,'Amil Black, Amil One, Lincx'!$M$1:$M$1100,"Pendente")+COUNTIFS('Care Plus'!$A$1:$A$1100,$A13,'Care Plus'!$M$1:$M$1100,"Pendente")+COUNTIFS(Medsenior!$A$1:$A$1100,$A13,Medsenior!$M$1:$M$1100,"Pendente")+COUNTIFS('Omint Skill'!$A$1:$A$1100,$A13,'Omint Skill'!$M$1:$M$1100,"Pendente")+COUNTIFS('Omint Premium'!$A$1:$A$1100,$A13,'Omint Premium'!$M$1:$M$1100,"Pendente")+COUNTIFS('Convênio Creabily Especial'!$A$1:$A$1100,$A13,'Convênio Creabily Especial'!$M$1:$M$1100,"Pendente")+COUNTIFS('Creabily Particular'!$A$1:$A$1100,$A13,'Creabily Particular'!$M$1:$M$1100,"Pendente")+COUNTIFS('Omint Corporate'!$A$1:$A$1100,$A13,'Omint Corporate'!$M$1:$M$1100,"Pendente")+COUNTIFS('SEM CONVÊNIO'!$A$1:$A$1100,$A13,'SEM CONVÊNIO'!$M$1:$M$1100,"Pendente")+COUNTIFS('Total Pass'!$A$1:$A$1100,$A13,'Total Pass'!$M$1:$M$1100,"Pendente")</f>
        <v>1</v>
      </c>
      <c r="F13" s="31">
        <f>COUNTIFS('Afresp Saúde'!$A$1:$A$1100,$A13,'Afresp Saúde'!$M$1:$M$1100,"Cancelado")+COUNTIFS('Amil Black, Amil One, Lincx'!$A$1:$A$1100,$A13,'Amil Black, Amil One, Lincx'!$M$1:$M$1100,"Cancelado")+COUNTIFS('Care Plus'!$A$1:$A$1100,$A13,'Care Plus'!$M$1:$M$1100,"Cancelado")+COUNTIFS(Medsenior!$A$1:$A$1100,$A13,Medsenior!$M$1:$M$1100,"Cancelado")+COUNTIFS('Omint Skill'!$A$1:$A$1100,$A13,'Omint Skill'!$M$1:$M$1100,"Cancelado")+COUNTIFS('Omint Premium'!$A$1:$A$1100,$A13,'Omint Premium'!$M$1:$M$1100,"Cancelado")+COUNTIFS('Convênio Creabily Especial'!$A$1:$A$1100,$A13,'Convênio Creabily Especial'!$M$1:$M$1100,"Cancelado")+COUNTIFS('Creabily Particular'!$A$1:$A$1100,$A13,'Creabily Particular'!$M$1:$M$1100,"Cancelado")+COUNTIFS('Omint Corporate'!$A$1:$A$1100,$A13,'Omint Corporate'!$M$1:$M$1100,"Cancelado")+COUNTIFS('SEM CONVÊNIO'!$A$1:$A$1100,$A13,'SEM CONVÊNIO'!$M$1:$M$1100,"Cancelado")+COUNTIFS('Total Pass'!$A$1:$A$1100,$A13,'Total Pass'!$M$1:$M$1100,"Cancelado")</f>
        <v>6</v>
      </c>
      <c r="G13" s="31">
        <f>COUNTIFS('Afresp Saúde'!$A$1:$A$1100,$A13,'Afresp Saúde'!$M$1:$M$1100,"Não se aplica")+COUNTIFS('Amil Black, Amil One, Lincx'!$A$1:$A$1100,$A13,'Amil Black, Amil One, Lincx'!$M$1:$M$1100,"Não se aplica")+COUNTIFS('Care Plus'!$A$1:$A$1100,$A13,'Care Plus'!$M$1:$M$1100,"Não se aplica")+COUNTIFS(Medsenior!$A$1:$A$1100,$A13,Medsenior!$M$1:$M$1100,"Não se aplica")+COUNTIFS('Omint Skill'!$A$1:$A$1100,$A13,'Omint Skill'!$M$1:$M$1100,"Não se aplica")+COUNTIFS('Omint Premium'!$A$1:$A$1100,$A13,'Omint Premium'!$M$1:$M$1100,"Não se aplica")+COUNTIFS('Convênio Creabily Especial'!$A$1:$A$1100,$A13,'Convênio Creabily Especial'!$M$1:$M$1100,"Não se aplica")+COUNTIFS('Creabily Particular'!$A$1:$A$1100,$A13,'Creabily Particular'!$M$1:$M$1100,"Não se aplica")+COUNTIFS('Omint Corporate'!$A$1:$A$1100,$A13,'Omint Corporate'!$M$1:$M$1100,"Não se aplica")+COUNTIFS('SEM CONVÊNIO'!$A$1:$A$1100,$A13,'SEM CONVÊNIO'!$M$1:$M$1100,"Não se aplica")+COUNTIFS('Total Pass'!$A$1:$A$1100,$A13,'Total Pass'!$M$1:$M$1100,"Não se aplica")</f>
        <v>6</v>
      </c>
      <c r="H13" s="31">
        <f>COUNTIFS('Afresp Saúde'!$A$1:$A$1100,$A13,'Afresp Saúde'!$D$1:$D$1100,"Não compareceu*")+COUNTIFS('Amil Black, Amil One, Lincx'!$A$1:$A$1100,$A13,'Amil Black, Amil One, Lincx'!$D$1:$D$1100,"Não compareceu*")+COUNTIFS('Care Plus'!$A$1:$A$1100,$A13,'Care Plus'!$D$1:$D$1100,"Não compareceu*")+COUNTIFS(Medsenior!$A$1:$A$1100,$A13,Medsenior!$D$1:$D$1100,"Não compareceu*")+COUNTIFS('Omint Skill'!$A$1:$A$1100,$A13,'Omint Skill'!$D$1:$D$1100,"Não compareceu*")+COUNTIFS('Omint Premium'!$A$1:$A$1100,$A13,'Omint Premium'!$D$1:$D$1100,"Não compareceu*")+COUNTIFS('Convênio Creabily Especial'!$A$1:$A$1100,$A13,'Convênio Creabily Especial'!$D$1:$D$1100,"Não compareceu*")+COUNTIFS('Creabily Particular'!$A$1:$A$1100,$A13,'Creabily Particular'!$D$1:$D$1100,"Não compareceu*")+COUNTIFS('Omint Corporate'!$A$1:$A$1100,$A13,'Omint Corporate'!$D$1:$D$1100,"Não compareceu*")+COUNTIFS('SEM CONVÊNIO'!$A$1:$A$1100,$A13,'SEM CONVÊNIO'!$D$1:$D$1100,"Não compareceu*")+COUNTIFS('Total Pass'!$A$1:$A$1100,$A13,'Total Pass'!$D$1:$D$1100,"Não compareceu*")</f>
        <v>0</v>
      </c>
      <c r="I13" s="31">
        <f>COUNTIFS('Afresp Saúde'!$A$1:$A$1100,$A13,'Afresp Saúde'!$D$1:$D$1100,"Falta Justificada*")+COUNTIFS('Amil Black, Amil One, Lincx'!$A$1:$A$1100,$A13,'Amil Black, Amil One, Lincx'!$D$1:$D$1100,"Falta Justificada*")+COUNTIFS('Care Plus'!$A$1:$A$1100,$A13,'Care Plus'!$D$1:$D$1100,"Falta Justificada*")+COUNTIFS(Medsenior!$A$1:$A$1100,$A13,Medsenior!$D$1:$D$1100,"Falta Justificada*")+COUNTIFS('Omint Skill'!$A$1:$A$1100,$A13,'Omint Skill'!$D$1:$D$1100,"Falta Justificada*")+COUNTIFS('Omint Premium'!$A$1:$A$1100,$A13,'Omint Premium'!$D$1:$D$1100,"Falta Justificada*")+COUNTIFS('Convênio Creabily Especial'!$A$1:$A$1100,$A13,'Convênio Creabily Especial'!$D$1:$D$1100,"Falta Justificada*")+COUNTIFS('Creabily Particular'!$A$1:$A$1100,$A13,'Creabily Particular'!$D$1:$D$1100,"Falta Justificada*")+COUNTIFS('Omint Corporate'!$A$1:$A$1100,$A13,'Omint Corporate'!$D$1:$D$1100,"Falta Justificada*")+COUNTIFS('SEM CONVÊNIO'!$A$1:$A$1100,$A13,'SEM CONVÊNIO'!$D$1:$D$1100,"Falta Justificada*")+COUNTIFS('Total Pass'!$A$1:$A$1100,$A13,'Total Pass'!$D$1:$D$1100,"Falta Justificada*")</f>
        <v>12</v>
      </c>
      <c r="J13" s="31">
        <f>COUNTIFS('Afresp Saúde'!$A$1:$A$1100,$A13,'Afresp Saúde'!$D$1:$D$1100,"Finalizado*")+COUNTIFS('Amil Black, Amil One, Lincx'!$A$1:$A$1100,$A13,'Amil Black, Amil One, Lincx'!$D$1:$D$1100,"Finalizado*")+COUNTIFS('Care Plus'!$A$1:$A$1100,$A13,'Care Plus'!$D$1:$D$1100,"Finalizado*")+COUNTIFS(Medsenior!$A$1:$A$1100,$A13,Medsenior!$D$1:$D$1100,"Finalizado*")+COUNTIFS('Omint Skill'!$A$1:$A$1100,$A13,'Omint Skill'!$D$1:$D$1100,"Finalizado*")+COUNTIFS('Omint Premium'!$A$1:$A$1100,$A13,'Omint Premium'!$D$1:$D$1100,"Finalizado*")+COUNTIFS('Convênio Creabily Especial'!$A$1:$A$1100,$A13,'Convênio Creabily Especial'!$D$1:$D$1100,"Finalizado*")+COUNTIFS('Creabily Particular'!$A$1:$A$1100,$A13,'Creabily Particular'!$D$1:$D$1100,"Finalizado*")+COUNTIFS('Omint Corporate'!$A$1:$A$1100,$A13,'Omint Corporate'!$D$1:$D$1100,"Finalizado*")+COUNTIFS('SEM CONVÊNIO'!$A$1:$A$1100,$A13,'SEM CONVÊNIO'!$D$1:$D$1100,"Finalizado*")+COUNTIFS('Total Pass'!$A$1:$A$1100,$A13,'Total Pass'!$D$1:$D$1100,"Finalizado*")</f>
        <v>0</v>
      </c>
    </row>
    <row r="14">
      <c r="A14" s="31" t="s">
        <v>903</v>
      </c>
      <c r="B14" s="31">
        <f>COUNTIF('Afresp Saúde'!$A$1:$A$1100,$A14)+COUNTIF('Amil Black, Amil One, Lincx'!$A$1:$A$1100,$A14)+COUNTIF('Care Plus'!$A$1:$A$1100,$A14)+COUNTIF(Medsenior!$A$1:$A$1100,$A14)+COUNTIF('Omint Skill'!$A$1:$A$1100,$A14)+COUNTIF('Omint Premium'!$A$1:$A$1100,$A14)+COUNTIF('Convênio Creabily Especial'!$A$1:$A$1100,$A14)+COUNTIF('Creabily Particular'!$A$1:$A$1100,$A14)+COUNTIF('Omint Corporate'!$A$1:$A$1100,$A14)+COUNTIF('SEM CONVÊNIO'!$A$1:$A$1100,$A14)+COUNTIF('Total Pass'!$A$1:$A$1100,$A14)</f>
        <v>104</v>
      </c>
      <c r="C14" s="31">
        <f>COUNTIFS('Afresp Saúde'!$A$1:$A$1100,$A14,'Afresp Saúde'!$M$1:$M$1100,"Finalizado")+COUNTIFS('Amil Black, Amil One, Lincx'!$A$1:$A$1100,$A14,'Amil Black, Amil One, Lincx'!$M$1:$M$1100,"Finalizado")+COUNTIFS('Care Plus'!$A$1:$A$1100,$A14,'Care Plus'!$M$1:$M$1100,"Finalizado")+COUNTIFS(Medsenior!$A$1:$A$1100,$A14,Medsenior!$M$1:$M$1100,"Finalizado")+COUNTIFS('Omint Skill'!$A$1:$A$1100,$A14,'Omint Skill'!$M$1:$M$1100,"Finalizado")+COUNTIFS('Omint Premium'!$A$1:$A$1100,$A14,'Omint Premium'!$M$1:$M$1100,"Finalizado")+COUNTIFS('Convênio Creabily Especial'!$A$1:$A$1100,$A14,'Convênio Creabily Especial'!$M$1:$M$1100,"Finalizado")+COUNTIFS('Creabily Particular'!$A$1:$A$1100,$A14,'Creabily Particular'!$M$1:$M$1100,"Finalizado")+COUNTIFS('Omint Corporate'!$A$1:$A$1100,$A14,'Omint Corporate'!$M$1:$M$1100,"Finalizado")+COUNTIFS('SEM CONVÊNIO'!$A$1:$A$1100,$A14,'SEM CONVÊNIO'!$M$1:$M$1100,"Finalizado")+COUNTIFS('Total Pass'!$A$1:$A$1100,$A14,'Total Pass'!$M$1:$M$1100,"Finalizado")</f>
        <v>28</v>
      </c>
      <c r="D14" s="31">
        <f>COUNTIFS('Afresp Saúde'!$A$1:$A$1100,$A14,'Afresp Saúde'!$M$1:$M$1100,"Validado")+COUNTIFS('Amil Black, Amil One, Lincx'!$A$1:$A$1100,$A14,'Amil Black, Amil One, Lincx'!$M$1:$M$1100,"Validado")+COUNTIFS('Care Plus'!$A$1:$A$1100,$A14,'Care Plus'!$M$1:$M$1100,"Validado")+COUNTIFS(Medsenior!$A$1:$A$1100,$A14,Medsenior!$M$1:$M$1100,"Validado")+COUNTIFS('Omint Skill'!$A$1:$A$1100,$A14,'Omint Skill'!$M$1:$M$1100,"Validado")+COUNTIFS('Omint Premium'!$A$1:$A$1100,$A14,'Omint Premium'!$M$1:$M$1100,"Validado")+COUNTIFS('Convênio Creabily Especial'!$A$1:$A$1100,$A14,'Convênio Creabily Especial'!$M$1:$M$1100,"Validado")+COUNTIFS('Creabily Particular'!$A$1:$A$1100,$A14,'Creabily Particular'!$M$1:$M$1100,"Validado")+COUNTIFS('Omint Corporate'!$A$1:$A$1100,$A14,'Omint Corporate'!$M$1:$M$1100,"Validado")+COUNTIFS('SEM CONVÊNIO'!$A$1:$A$1100,$A14,'SEM CONVÊNIO'!$M$1:$M$1100,"Validado")+COUNTIFS('Total Pass'!$A$1:$A$1100,$A14,'Total Pass'!$M$1:$M$1100,"Validado")</f>
        <v>68</v>
      </c>
      <c r="E14" s="31">
        <f>COUNTIFS('Afresp Saúde'!$A$1:$A$1100,$A14,'Afresp Saúde'!$M$1:$M$1100,"Pendente")+COUNTIFS('Amil Black, Amil One, Lincx'!$A$1:$A$1100,$A14,'Amil Black, Amil One, Lincx'!$M$1:$M$1100,"Pendente")+COUNTIFS('Care Plus'!$A$1:$A$1100,$A14,'Care Plus'!$M$1:$M$1100,"Pendente")+COUNTIFS(Medsenior!$A$1:$A$1100,$A14,Medsenior!$M$1:$M$1100,"Pendente")+COUNTIFS('Omint Skill'!$A$1:$A$1100,$A14,'Omint Skill'!$M$1:$M$1100,"Pendente")+COUNTIFS('Omint Premium'!$A$1:$A$1100,$A14,'Omint Premium'!$M$1:$M$1100,"Pendente")+COUNTIFS('Convênio Creabily Especial'!$A$1:$A$1100,$A14,'Convênio Creabily Especial'!$M$1:$M$1100,"Pendente")+COUNTIFS('Creabily Particular'!$A$1:$A$1100,$A14,'Creabily Particular'!$M$1:$M$1100,"Pendente")+COUNTIFS('Omint Corporate'!$A$1:$A$1100,$A14,'Omint Corporate'!$M$1:$M$1100,"Pendente")+COUNTIFS('SEM CONVÊNIO'!$A$1:$A$1100,$A14,'SEM CONVÊNIO'!$M$1:$M$1100,"Pendente")+COUNTIFS('Total Pass'!$A$1:$A$1100,$A14,'Total Pass'!$M$1:$M$1100,"Pendente")</f>
        <v>2</v>
      </c>
      <c r="F14" s="31">
        <f>COUNTIFS('Afresp Saúde'!$A$1:$A$1100,$A14,'Afresp Saúde'!$M$1:$M$1100,"Cancelado")+COUNTIFS('Amil Black, Amil One, Lincx'!$A$1:$A$1100,$A14,'Amil Black, Amil One, Lincx'!$M$1:$M$1100,"Cancelado")+COUNTIFS('Care Plus'!$A$1:$A$1100,$A14,'Care Plus'!$M$1:$M$1100,"Cancelado")+COUNTIFS(Medsenior!$A$1:$A$1100,$A14,Medsenior!$M$1:$M$1100,"Cancelado")+COUNTIFS('Omint Skill'!$A$1:$A$1100,$A14,'Omint Skill'!$M$1:$M$1100,"Cancelado")+COUNTIFS('Omint Premium'!$A$1:$A$1100,$A14,'Omint Premium'!$M$1:$M$1100,"Cancelado")+COUNTIFS('Convênio Creabily Especial'!$A$1:$A$1100,$A14,'Convênio Creabily Especial'!$M$1:$M$1100,"Cancelado")+COUNTIFS('Creabily Particular'!$A$1:$A$1100,$A14,'Creabily Particular'!$M$1:$M$1100,"Cancelado")+COUNTIFS('Omint Corporate'!$A$1:$A$1100,$A14,'Omint Corporate'!$M$1:$M$1100,"Cancelado")+COUNTIFS('SEM CONVÊNIO'!$A$1:$A$1100,$A14,'SEM CONVÊNIO'!$M$1:$M$1100,"Cancelado")+COUNTIFS('Total Pass'!$A$1:$A$1100,$A14,'Total Pass'!$M$1:$M$1100,"Cancelado")</f>
        <v>1</v>
      </c>
      <c r="G14" s="31">
        <f>COUNTIFS('Afresp Saúde'!$A$1:$A$1100,$A14,'Afresp Saúde'!$M$1:$M$1100,"Não se aplica")+COUNTIFS('Amil Black, Amil One, Lincx'!$A$1:$A$1100,$A14,'Amil Black, Amil One, Lincx'!$M$1:$M$1100,"Não se aplica")+COUNTIFS('Care Plus'!$A$1:$A$1100,$A14,'Care Plus'!$M$1:$M$1100,"Não se aplica")+COUNTIFS(Medsenior!$A$1:$A$1100,$A14,Medsenior!$M$1:$M$1100,"Não se aplica")+COUNTIFS('Omint Skill'!$A$1:$A$1100,$A14,'Omint Skill'!$M$1:$M$1100,"Não se aplica")+COUNTIFS('Omint Premium'!$A$1:$A$1100,$A14,'Omint Premium'!$M$1:$M$1100,"Não se aplica")+COUNTIFS('Convênio Creabily Especial'!$A$1:$A$1100,$A14,'Convênio Creabily Especial'!$M$1:$M$1100,"Não se aplica")+COUNTIFS('Creabily Particular'!$A$1:$A$1100,$A14,'Creabily Particular'!$M$1:$M$1100,"Não se aplica")+COUNTIFS('Omint Corporate'!$A$1:$A$1100,$A14,'Omint Corporate'!$M$1:$M$1100,"Não se aplica")+COUNTIFS('SEM CONVÊNIO'!$A$1:$A$1100,$A14,'SEM CONVÊNIO'!$M$1:$M$1100,"Não se aplica")+COUNTIFS('Total Pass'!$A$1:$A$1100,$A14,'Total Pass'!$M$1:$M$1100,"Não se aplica")</f>
        <v>5</v>
      </c>
      <c r="H14" s="31">
        <f>COUNTIFS('Afresp Saúde'!$A$1:$A$1100,$A14,'Afresp Saúde'!$D$1:$D$1100,"Não compareceu*")+COUNTIFS('Amil Black, Amil One, Lincx'!$A$1:$A$1100,$A14,'Amil Black, Amil One, Lincx'!$D$1:$D$1100,"Não compareceu*")+COUNTIFS('Care Plus'!$A$1:$A$1100,$A14,'Care Plus'!$D$1:$D$1100,"Não compareceu*")+COUNTIFS(Medsenior!$A$1:$A$1100,$A14,Medsenior!$D$1:$D$1100,"Não compareceu*")+COUNTIFS('Omint Skill'!$A$1:$A$1100,$A14,'Omint Skill'!$D$1:$D$1100,"Não compareceu*")+COUNTIFS('Omint Premium'!$A$1:$A$1100,$A14,'Omint Premium'!$D$1:$D$1100,"Não compareceu*")+COUNTIFS('Convênio Creabily Especial'!$A$1:$A$1100,$A14,'Convênio Creabily Especial'!$D$1:$D$1100,"Não compareceu*")+COUNTIFS('Creabily Particular'!$A$1:$A$1100,$A14,'Creabily Particular'!$D$1:$D$1100,"Não compareceu*")+COUNTIFS('Omint Corporate'!$A$1:$A$1100,$A14,'Omint Corporate'!$D$1:$D$1100,"Não compareceu*")+COUNTIFS('SEM CONVÊNIO'!$A$1:$A$1100,$A14,'SEM CONVÊNIO'!$D$1:$D$1100,"Não compareceu*")+COUNTIFS('Total Pass'!$A$1:$A$1100,$A14,'Total Pass'!$D$1:$D$1100,"Não compareceu*")</f>
        <v>0</v>
      </c>
      <c r="I14" s="31">
        <f>COUNTIFS('Afresp Saúde'!$A$1:$A$1100,$A14,'Afresp Saúde'!$D$1:$D$1100,"Falta Justificada*")+COUNTIFS('Amil Black, Amil One, Lincx'!$A$1:$A$1100,$A14,'Amil Black, Amil One, Lincx'!$D$1:$D$1100,"Falta Justificada*")+COUNTIFS('Care Plus'!$A$1:$A$1100,$A14,'Care Plus'!$D$1:$D$1100,"Falta Justificada*")+COUNTIFS(Medsenior!$A$1:$A$1100,$A14,Medsenior!$D$1:$D$1100,"Falta Justificada*")+COUNTIFS('Omint Skill'!$A$1:$A$1100,$A14,'Omint Skill'!$D$1:$D$1100,"Falta Justificada*")+COUNTIFS('Omint Premium'!$A$1:$A$1100,$A14,'Omint Premium'!$D$1:$D$1100,"Falta Justificada*")+COUNTIFS('Convênio Creabily Especial'!$A$1:$A$1100,$A14,'Convênio Creabily Especial'!$D$1:$D$1100,"Falta Justificada*")+COUNTIFS('Creabily Particular'!$A$1:$A$1100,$A14,'Creabily Particular'!$D$1:$D$1100,"Falta Justificada*")+COUNTIFS('Omint Corporate'!$A$1:$A$1100,$A14,'Omint Corporate'!$D$1:$D$1100,"Falta Justificada*")+COUNTIFS('SEM CONVÊNIO'!$A$1:$A$1100,$A14,'SEM CONVÊNIO'!$D$1:$D$1100,"Falta Justificada*")+COUNTIFS('Total Pass'!$A$1:$A$1100,$A14,'Total Pass'!$D$1:$D$1100,"Falta Justificada*")</f>
        <v>0</v>
      </c>
      <c r="J14" s="31">
        <f>COUNTIFS('Afresp Saúde'!$A$1:$A$1100,$A14,'Afresp Saúde'!$D$1:$D$1100,"Finalizado*")+COUNTIFS('Amil Black, Amil One, Lincx'!$A$1:$A$1100,$A14,'Amil Black, Amil One, Lincx'!$D$1:$D$1100,"Finalizado*")+COUNTIFS('Care Plus'!$A$1:$A$1100,$A14,'Care Plus'!$D$1:$D$1100,"Finalizado*")+COUNTIFS(Medsenior!$A$1:$A$1100,$A14,Medsenior!$D$1:$D$1100,"Finalizado*")+COUNTIFS('Omint Skill'!$A$1:$A$1100,$A14,'Omint Skill'!$D$1:$D$1100,"Finalizado*")+COUNTIFS('Omint Premium'!$A$1:$A$1100,$A14,'Omint Premium'!$D$1:$D$1100,"Finalizado*")+COUNTIFS('Convênio Creabily Especial'!$A$1:$A$1100,$A14,'Convênio Creabily Especial'!$D$1:$D$1100,"Finalizado*")+COUNTIFS('Creabily Particular'!$A$1:$A$1100,$A14,'Creabily Particular'!$D$1:$D$1100,"Finalizado*")+COUNTIFS('Omint Corporate'!$A$1:$A$1100,$A14,'Omint Corporate'!$D$1:$D$1100,"Finalizado*")+COUNTIFS('SEM CONVÊNIO'!$A$1:$A$1100,$A14,'SEM CONVÊNIO'!$D$1:$D$1100,"Finalizado*")+COUNTIFS('Total Pass'!$A$1:$A$1100,$A14,'Total Pass'!$D$1:$D$1100,"Finalizado*")</f>
        <v>2</v>
      </c>
    </row>
    <row r="15">
      <c r="A15" s="31" t="s">
        <v>935</v>
      </c>
      <c r="B15" s="31">
        <f>COUNTIF('Afresp Saúde'!$A$1:$A$1100,$A15)+COUNTIF('Amil Black, Amil One, Lincx'!$A$1:$A$1100,$A15)+COUNTIF('Care Plus'!$A$1:$A$1100,$A15)+COUNTIF(Medsenior!$A$1:$A$1100,$A15)+COUNTIF('Omint Skill'!$A$1:$A$1100,$A15)+COUNTIF('Omint Premium'!$A$1:$A$1100,$A15)+COUNTIF('Convênio Creabily Especial'!$A$1:$A$1100,$A15)+COUNTIF('Creabily Particular'!$A$1:$A$1100,$A15)+COUNTIF('Omint Corporate'!$A$1:$A$1100,$A15)+COUNTIF('SEM CONVÊNIO'!$A$1:$A$1100,$A15)+COUNTIF('Total Pass'!$A$1:$A$1100,$A15)</f>
        <v>137</v>
      </c>
      <c r="C15" s="31">
        <f>COUNTIFS('Afresp Saúde'!$A$1:$A$1100,$A15,'Afresp Saúde'!$M$1:$M$1100,"Finalizado")+COUNTIFS('Amil Black, Amil One, Lincx'!$A$1:$A$1100,$A15,'Amil Black, Amil One, Lincx'!$M$1:$M$1100,"Finalizado")+COUNTIFS('Care Plus'!$A$1:$A$1100,$A15,'Care Plus'!$M$1:$M$1100,"Finalizado")+COUNTIFS(Medsenior!$A$1:$A$1100,$A15,Medsenior!$M$1:$M$1100,"Finalizado")+COUNTIFS('Omint Skill'!$A$1:$A$1100,$A15,'Omint Skill'!$M$1:$M$1100,"Finalizado")+COUNTIFS('Omint Premium'!$A$1:$A$1100,$A15,'Omint Premium'!$M$1:$M$1100,"Finalizado")+COUNTIFS('Convênio Creabily Especial'!$A$1:$A$1100,$A15,'Convênio Creabily Especial'!$M$1:$M$1100,"Finalizado")+COUNTIFS('Creabily Particular'!$A$1:$A$1100,$A15,'Creabily Particular'!$M$1:$M$1100,"Finalizado")+COUNTIFS('Omint Corporate'!$A$1:$A$1100,$A15,'Omint Corporate'!$M$1:$M$1100,"Finalizado")+COUNTIFS('SEM CONVÊNIO'!$A$1:$A$1100,$A15,'SEM CONVÊNIO'!$M$1:$M$1100,"Finalizado")+COUNTIFS('Total Pass'!$A$1:$A$1100,$A15,'Total Pass'!$M$1:$M$1100,"Finalizado")</f>
        <v>6</v>
      </c>
      <c r="D15" s="31">
        <f>COUNTIFS('Afresp Saúde'!$A$1:$A$1100,$A15,'Afresp Saúde'!$M$1:$M$1100,"Validado")+COUNTIFS('Amil Black, Amil One, Lincx'!$A$1:$A$1100,$A15,'Amil Black, Amil One, Lincx'!$M$1:$M$1100,"Validado")+COUNTIFS('Care Plus'!$A$1:$A$1100,$A15,'Care Plus'!$M$1:$M$1100,"Validado")+COUNTIFS(Medsenior!$A$1:$A$1100,$A15,Medsenior!$M$1:$M$1100,"Validado")+COUNTIFS('Omint Skill'!$A$1:$A$1100,$A15,'Omint Skill'!$M$1:$M$1100,"Validado")+COUNTIFS('Omint Premium'!$A$1:$A$1100,$A15,'Omint Premium'!$M$1:$M$1100,"Validado")+COUNTIFS('Convênio Creabily Especial'!$A$1:$A$1100,$A15,'Convênio Creabily Especial'!$M$1:$M$1100,"Validado")+COUNTIFS('Creabily Particular'!$A$1:$A$1100,$A15,'Creabily Particular'!$M$1:$M$1100,"Validado")+COUNTIFS('Omint Corporate'!$A$1:$A$1100,$A15,'Omint Corporate'!$M$1:$M$1100,"Validado")+COUNTIFS('SEM CONVÊNIO'!$A$1:$A$1100,$A15,'SEM CONVÊNIO'!$M$1:$M$1100,"Validado")+COUNTIFS('Total Pass'!$A$1:$A$1100,$A15,'Total Pass'!$M$1:$M$1100,"Validado")</f>
        <v>91</v>
      </c>
      <c r="E15" s="31">
        <f>COUNTIFS('Afresp Saúde'!$A$1:$A$1100,$A15,'Afresp Saúde'!$M$1:$M$1100,"Pendente")+COUNTIFS('Amil Black, Amil One, Lincx'!$A$1:$A$1100,$A15,'Amil Black, Amil One, Lincx'!$M$1:$M$1100,"Pendente")+COUNTIFS('Care Plus'!$A$1:$A$1100,$A15,'Care Plus'!$M$1:$M$1100,"Pendente")+COUNTIFS(Medsenior!$A$1:$A$1100,$A15,Medsenior!$M$1:$M$1100,"Pendente")+COUNTIFS('Omint Skill'!$A$1:$A$1100,$A15,'Omint Skill'!$M$1:$M$1100,"Pendente")+COUNTIFS('Omint Premium'!$A$1:$A$1100,$A15,'Omint Premium'!$M$1:$M$1100,"Pendente")+COUNTIFS('Convênio Creabily Especial'!$A$1:$A$1100,$A15,'Convênio Creabily Especial'!$M$1:$M$1100,"Pendente")+COUNTIFS('Creabily Particular'!$A$1:$A$1100,$A15,'Creabily Particular'!$M$1:$M$1100,"Pendente")+COUNTIFS('Omint Corporate'!$A$1:$A$1100,$A15,'Omint Corporate'!$M$1:$M$1100,"Pendente")+COUNTIFS('SEM CONVÊNIO'!$A$1:$A$1100,$A15,'SEM CONVÊNIO'!$M$1:$M$1100,"Pendente")+COUNTIFS('Total Pass'!$A$1:$A$1100,$A15,'Total Pass'!$M$1:$M$1100,"Pendente")</f>
        <v>19</v>
      </c>
      <c r="F15" s="31">
        <f>COUNTIFS('Afresp Saúde'!$A$1:$A$1100,$A15,'Afresp Saúde'!$M$1:$M$1100,"Cancelado")+COUNTIFS('Amil Black, Amil One, Lincx'!$A$1:$A$1100,$A15,'Amil Black, Amil One, Lincx'!$M$1:$M$1100,"Cancelado")+COUNTIFS('Care Plus'!$A$1:$A$1100,$A15,'Care Plus'!$M$1:$M$1100,"Cancelado")+COUNTIFS(Medsenior!$A$1:$A$1100,$A15,Medsenior!$M$1:$M$1100,"Cancelado")+COUNTIFS('Omint Skill'!$A$1:$A$1100,$A15,'Omint Skill'!$M$1:$M$1100,"Cancelado")+COUNTIFS('Omint Premium'!$A$1:$A$1100,$A15,'Omint Premium'!$M$1:$M$1100,"Cancelado")+COUNTIFS('Convênio Creabily Especial'!$A$1:$A$1100,$A15,'Convênio Creabily Especial'!$M$1:$M$1100,"Cancelado")+COUNTIFS('Creabily Particular'!$A$1:$A$1100,$A15,'Creabily Particular'!$M$1:$M$1100,"Cancelado")+COUNTIFS('Omint Corporate'!$A$1:$A$1100,$A15,'Omint Corporate'!$M$1:$M$1100,"Cancelado")+COUNTIFS('SEM CONVÊNIO'!$A$1:$A$1100,$A15,'SEM CONVÊNIO'!$M$1:$M$1100,"Cancelado")+COUNTIFS('Total Pass'!$A$1:$A$1100,$A15,'Total Pass'!$M$1:$M$1100,"Cancelado")</f>
        <v>13</v>
      </c>
      <c r="G15" s="31">
        <f>COUNTIFS('Afresp Saúde'!$A$1:$A$1100,$A15,'Afresp Saúde'!$M$1:$M$1100,"Não se aplica")+COUNTIFS('Amil Black, Amil One, Lincx'!$A$1:$A$1100,$A15,'Amil Black, Amil One, Lincx'!$M$1:$M$1100,"Não se aplica")+COUNTIFS('Care Plus'!$A$1:$A$1100,$A15,'Care Plus'!$M$1:$M$1100,"Não se aplica")+COUNTIFS(Medsenior!$A$1:$A$1100,$A15,Medsenior!$M$1:$M$1100,"Não se aplica")+COUNTIFS('Omint Skill'!$A$1:$A$1100,$A15,'Omint Skill'!$M$1:$M$1100,"Não se aplica")+COUNTIFS('Omint Premium'!$A$1:$A$1100,$A15,'Omint Premium'!$M$1:$M$1100,"Não se aplica")+COUNTIFS('Convênio Creabily Especial'!$A$1:$A$1100,$A15,'Convênio Creabily Especial'!$M$1:$M$1100,"Não se aplica")+COUNTIFS('Creabily Particular'!$A$1:$A$1100,$A15,'Creabily Particular'!$M$1:$M$1100,"Não se aplica")+COUNTIFS('Omint Corporate'!$A$1:$A$1100,$A15,'Omint Corporate'!$M$1:$M$1100,"Não se aplica")+COUNTIFS('SEM CONVÊNIO'!$A$1:$A$1100,$A15,'SEM CONVÊNIO'!$M$1:$M$1100,"Não se aplica")+COUNTIFS('Total Pass'!$A$1:$A$1100,$A15,'Total Pass'!$M$1:$M$1100,"Não se aplica")</f>
        <v>0</v>
      </c>
      <c r="H15" s="31">
        <f>COUNTIFS('Afresp Saúde'!$A$1:$A$1100,$A15,'Afresp Saúde'!$D$1:$D$1100,"Não compareceu*")+COUNTIFS('Amil Black, Amil One, Lincx'!$A$1:$A$1100,$A15,'Amil Black, Amil One, Lincx'!$D$1:$D$1100,"Não compareceu*")+COUNTIFS('Care Plus'!$A$1:$A$1100,$A15,'Care Plus'!$D$1:$D$1100,"Não compareceu*")+COUNTIFS(Medsenior!$A$1:$A$1100,$A15,Medsenior!$D$1:$D$1100,"Não compareceu*")+COUNTIFS('Omint Skill'!$A$1:$A$1100,$A15,'Omint Skill'!$D$1:$D$1100,"Não compareceu*")+COUNTIFS('Omint Premium'!$A$1:$A$1100,$A15,'Omint Premium'!$D$1:$D$1100,"Não compareceu*")+COUNTIFS('Convênio Creabily Especial'!$A$1:$A$1100,$A15,'Convênio Creabily Especial'!$D$1:$D$1100,"Não compareceu*")+COUNTIFS('Creabily Particular'!$A$1:$A$1100,$A15,'Creabily Particular'!$D$1:$D$1100,"Não compareceu*")+COUNTIFS('Omint Corporate'!$A$1:$A$1100,$A15,'Omint Corporate'!$D$1:$D$1100,"Não compareceu*")+COUNTIFS('SEM CONVÊNIO'!$A$1:$A$1100,$A15,'SEM CONVÊNIO'!$D$1:$D$1100,"Não compareceu*")+COUNTIFS('Total Pass'!$A$1:$A$1100,$A15,'Total Pass'!$D$1:$D$1100,"Não compareceu*")</f>
        <v>0</v>
      </c>
      <c r="I15" s="31">
        <f>COUNTIFS('Afresp Saúde'!$A$1:$A$1100,$A15,'Afresp Saúde'!$D$1:$D$1100,"Falta Justificada*")+COUNTIFS('Amil Black, Amil One, Lincx'!$A$1:$A$1100,$A15,'Amil Black, Amil One, Lincx'!$D$1:$D$1100,"Falta Justificada*")+COUNTIFS('Care Plus'!$A$1:$A$1100,$A15,'Care Plus'!$D$1:$D$1100,"Falta Justificada*")+COUNTIFS(Medsenior!$A$1:$A$1100,$A15,Medsenior!$D$1:$D$1100,"Falta Justificada*")+COUNTIFS('Omint Skill'!$A$1:$A$1100,$A15,'Omint Skill'!$D$1:$D$1100,"Falta Justificada*")+COUNTIFS('Omint Premium'!$A$1:$A$1100,$A15,'Omint Premium'!$D$1:$D$1100,"Falta Justificada*")+COUNTIFS('Convênio Creabily Especial'!$A$1:$A$1100,$A15,'Convênio Creabily Especial'!$D$1:$D$1100,"Falta Justificada*")+COUNTIFS('Creabily Particular'!$A$1:$A$1100,$A15,'Creabily Particular'!$D$1:$D$1100,"Falta Justificada*")+COUNTIFS('Omint Corporate'!$A$1:$A$1100,$A15,'Omint Corporate'!$D$1:$D$1100,"Falta Justificada*")+COUNTIFS('SEM CONVÊNIO'!$A$1:$A$1100,$A15,'SEM CONVÊNIO'!$D$1:$D$1100,"Falta Justificada*")+COUNTIFS('Total Pass'!$A$1:$A$1100,$A15,'Total Pass'!$D$1:$D$1100,"Falta Justificada*")</f>
        <v>8</v>
      </c>
      <c r="J15" s="31">
        <f>COUNTIFS('Afresp Saúde'!$A$1:$A$1100,$A15,'Afresp Saúde'!$D$1:$D$1100,"Finalizado*")+COUNTIFS('Amil Black, Amil One, Lincx'!$A$1:$A$1100,$A15,'Amil Black, Amil One, Lincx'!$D$1:$D$1100,"Finalizado*")+COUNTIFS('Care Plus'!$A$1:$A$1100,$A15,'Care Plus'!$D$1:$D$1100,"Finalizado*")+COUNTIFS(Medsenior!$A$1:$A$1100,$A15,Medsenior!$D$1:$D$1100,"Finalizado*")+COUNTIFS('Omint Skill'!$A$1:$A$1100,$A15,'Omint Skill'!$D$1:$D$1100,"Finalizado*")+COUNTIFS('Omint Premium'!$A$1:$A$1100,$A15,'Omint Premium'!$D$1:$D$1100,"Finalizado*")+COUNTIFS('Convênio Creabily Especial'!$A$1:$A$1100,$A15,'Convênio Creabily Especial'!$D$1:$D$1100,"Finalizado*")+COUNTIFS('Creabily Particular'!$A$1:$A$1100,$A15,'Creabily Particular'!$D$1:$D$1100,"Finalizado*")+COUNTIFS('Omint Corporate'!$A$1:$A$1100,$A15,'Omint Corporate'!$D$1:$D$1100,"Finalizado*")+COUNTIFS('SEM CONVÊNIO'!$A$1:$A$1100,$A15,'SEM CONVÊNIO'!$D$1:$D$1100,"Finalizado*")+COUNTIFS('Total Pass'!$A$1:$A$1100,$A15,'Total Pass'!$D$1:$D$1100,"Finalizado*")</f>
        <v>5</v>
      </c>
    </row>
    <row r="16">
      <c r="A16" s="31" t="s">
        <v>978</v>
      </c>
      <c r="B16" s="31">
        <f>COUNTIF('Afresp Saúde'!$A$1:$A$1100,$A16)+COUNTIF('Amil Black, Amil One, Lincx'!$A$1:$A$1100,$A16)+COUNTIF('Care Plus'!$A$1:$A$1100,$A16)+COUNTIF(Medsenior!$A$1:$A$1100,$A16)+COUNTIF('Omint Skill'!$A$1:$A$1100,$A16)+COUNTIF('Omint Premium'!$A$1:$A$1100,$A16)+COUNTIF('Convênio Creabily Especial'!$A$1:$A$1100,$A16)+COUNTIF('Creabily Particular'!$A$1:$A$1100,$A16)+COUNTIF('Omint Corporate'!$A$1:$A$1100,$A16)+COUNTIF('SEM CONVÊNIO'!$A$1:$A$1100,$A16)+COUNTIF('Total Pass'!$A$1:$A$1100,$A16)</f>
        <v>144</v>
      </c>
      <c r="C16" s="31">
        <f>COUNTIFS('Afresp Saúde'!$A$1:$A$1100,$A16,'Afresp Saúde'!$M$1:$M$1100,"Finalizado")+COUNTIFS('Amil Black, Amil One, Lincx'!$A$1:$A$1100,$A16,'Amil Black, Amil One, Lincx'!$M$1:$M$1100,"Finalizado")+COUNTIFS('Care Plus'!$A$1:$A$1100,$A16,'Care Plus'!$M$1:$M$1100,"Finalizado")+COUNTIFS(Medsenior!$A$1:$A$1100,$A16,Medsenior!$M$1:$M$1100,"Finalizado")+COUNTIFS('Omint Skill'!$A$1:$A$1100,$A16,'Omint Skill'!$M$1:$M$1100,"Finalizado")+COUNTIFS('Omint Premium'!$A$1:$A$1100,$A16,'Omint Premium'!$M$1:$M$1100,"Finalizado")+COUNTIFS('Convênio Creabily Especial'!$A$1:$A$1100,$A16,'Convênio Creabily Especial'!$M$1:$M$1100,"Finalizado")+COUNTIFS('Creabily Particular'!$A$1:$A$1100,$A16,'Creabily Particular'!$M$1:$M$1100,"Finalizado")+COUNTIFS('Omint Corporate'!$A$1:$A$1100,$A16,'Omint Corporate'!$M$1:$M$1100,"Finalizado")+COUNTIFS('SEM CONVÊNIO'!$A$1:$A$1100,$A16,'SEM CONVÊNIO'!$M$1:$M$1100,"Finalizado")+COUNTIFS('Total Pass'!$A$1:$A$1100,$A16,'Total Pass'!$M$1:$M$1100,"Finalizado")</f>
        <v>0</v>
      </c>
      <c r="D16" s="31">
        <f>COUNTIFS('Afresp Saúde'!$A$1:$A$1100,$A16,'Afresp Saúde'!$M$1:$M$1100,"Validado")+COUNTIFS('Amil Black, Amil One, Lincx'!$A$1:$A$1100,$A16,'Amil Black, Amil One, Lincx'!$M$1:$M$1100,"Validado")+COUNTIFS('Care Plus'!$A$1:$A$1100,$A16,'Care Plus'!$M$1:$M$1100,"Validado")+COUNTIFS(Medsenior!$A$1:$A$1100,$A16,Medsenior!$M$1:$M$1100,"Validado")+COUNTIFS('Omint Skill'!$A$1:$A$1100,$A16,'Omint Skill'!$M$1:$M$1100,"Validado")+COUNTIFS('Omint Premium'!$A$1:$A$1100,$A16,'Omint Premium'!$M$1:$M$1100,"Validado")+COUNTIFS('Convênio Creabily Especial'!$A$1:$A$1100,$A16,'Convênio Creabily Especial'!$M$1:$M$1100,"Validado")+COUNTIFS('Creabily Particular'!$A$1:$A$1100,$A16,'Creabily Particular'!$M$1:$M$1100,"Validado")+COUNTIFS('Omint Corporate'!$A$1:$A$1100,$A16,'Omint Corporate'!$M$1:$M$1100,"Validado")+COUNTIFS('SEM CONVÊNIO'!$A$1:$A$1100,$A16,'SEM CONVÊNIO'!$M$1:$M$1100,"Validado")+COUNTIFS('Total Pass'!$A$1:$A$1100,$A16,'Total Pass'!$M$1:$M$1100,"Validado")</f>
        <v>91</v>
      </c>
      <c r="E16" s="31">
        <f>COUNTIFS('Afresp Saúde'!$A$1:$A$1100,$A16,'Afresp Saúde'!$M$1:$M$1100,"Pendente")+COUNTIFS('Amil Black, Amil One, Lincx'!$A$1:$A$1100,$A16,'Amil Black, Amil One, Lincx'!$M$1:$M$1100,"Pendente")+COUNTIFS('Care Plus'!$A$1:$A$1100,$A16,'Care Plus'!$M$1:$M$1100,"Pendente")+COUNTIFS(Medsenior!$A$1:$A$1100,$A16,Medsenior!$M$1:$M$1100,"Pendente")+COUNTIFS('Omint Skill'!$A$1:$A$1100,$A16,'Omint Skill'!$M$1:$M$1100,"Pendente")+COUNTIFS('Omint Premium'!$A$1:$A$1100,$A16,'Omint Premium'!$M$1:$M$1100,"Pendente")+COUNTIFS('Convênio Creabily Especial'!$A$1:$A$1100,$A16,'Convênio Creabily Especial'!$M$1:$M$1100,"Pendente")+COUNTIFS('Creabily Particular'!$A$1:$A$1100,$A16,'Creabily Particular'!$M$1:$M$1100,"Pendente")+COUNTIFS('Omint Corporate'!$A$1:$A$1100,$A16,'Omint Corporate'!$M$1:$M$1100,"Pendente")+COUNTIFS('SEM CONVÊNIO'!$A$1:$A$1100,$A16,'SEM CONVÊNIO'!$M$1:$M$1100,"Pendente")+COUNTIFS('Total Pass'!$A$1:$A$1100,$A16,'Total Pass'!$M$1:$M$1100,"Pendente")</f>
        <v>36</v>
      </c>
      <c r="F16" s="31">
        <f>COUNTIFS('Afresp Saúde'!$A$1:$A$1100,$A16,'Afresp Saúde'!$M$1:$M$1100,"Cancelado")+COUNTIFS('Amil Black, Amil One, Lincx'!$A$1:$A$1100,$A16,'Amil Black, Amil One, Lincx'!$M$1:$M$1100,"Cancelado")+COUNTIFS('Care Plus'!$A$1:$A$1100,$A16,'Care Plus'!$M$1:$M$1100,"Cancelado")+COUNTIFS(Medsenior!$A$1:$A$1100,$A16,Medsenior!$M$1:$M$1100,"Cancelado")+COUNTIFS('Omint Skill'!$A$1:$A$1100,$A16,'Omint Skill'!$M$1:$M$1100,"Cancelado")+COUNTIFS('Omint Premium'!$A$1:$A$1100,$A16,'Omint Premium'!$M$1:$M$1100,"Cancelado")+COUNTIFS('Convênio Creabily Especial'!$A$1:$A$1100,$A16,'Convênio Creabily Especial'!$M$1:$M$1100,"Cancelado")+COUNTIFS('Creabily Particular'!$A$1:$A$1100,$A16,'Creabily Particular'!$M$1:$M$1100,"Cancelado")+COUNTIFS('Omint Corporate'!$A$1:$A$1100,$A16,'Omint Corporate'!$M$1:$M$1100,"Cancelado")+COUNTIFS('SEM CONVÊNIO'!$A$1:$A$1100,$A16,'SEM CONVÊNIO'!$M$1:$M$1100,"Cancelado")+COUNTIFS('Total Pass'!$A$1:$A$1100,$A16,'Total Pass'!$M$1:$M$1100,"Cancelado")</f>
        <v>7</v>
      </c>
      <c r="G16" s="31">
        <f>COUNTIFS('Afresp Saúde'!$A$1:$A$1100,$A16,'Afresp Saúde'!$M$1:$M$1100,"Não se aplica")+COUNTIFS('Amil Black, Amil One, Lincx'!$A$1:$A$1100,$A16,'Amil Black, Amil One, Lincx'!$M$1:$M$1100,"Não se aplica")+COUNTIFS('Care Plus'!$A$1:$A$1100,$A16,'Care Plus'!$M$1:$M$1100,"Não se aplica")+COUNTIFS(Medsenior!$A$1:$A$1100,$A16,Medsenior!$M$1:$M$1100,"Não se aplica")+COUNTIFS('Omint Skill'!$A$1:$A$1100,$A16,'Omint Skill'!$M$1:$M$1100,"Não se aplica")+COUNTIFS('Omint Premium'!$A$1:$A$1100,$A16,'Omint Premium'!$M$1:$M$1100,"Não se aplica")+COUNTIFS('Convênio Creabily Especial'!$A$1:$A$1100,$A16,'Convênio Creabily Especial'!$M$1:$M$1100,"Não se aplica")+COUNTIFS('Creabily Particular'!$A$1:$A$1100,$A16,'Creabily Particular'!$M$1:$M$1100,"Não se aplica")+COUNTIFS('Omint Corporate'!$A$1:$A$1100,$A16,'Omint Corporate'!$M$1:$M$1100,"Não se aplica")+COUNTIFS('SEM CONVÊNIO'!$A$1:$A$1100,$A16,'SEM CONVÊNIO'!$M$1:$M$1100,"Não se aplica")+COUNTIFS('Total Pass'!$A$1:$A$1100,$A16,'Total Pass'!$M$1:$M$1100,"Não se aplica")</f>
        <v>0</v>
      </c>
      <c r="H16" s="31">
        <f>COUNTIFS('Afresp Saúde'!$A$1:$A$1100,$A16,'Afresp Saúde'!$D$1:$D$1100,"Não compareceu*")+COUNTIFS('Amil Black, Amil One, Lincx'!$A$1:$A$1100,$A16,'Amil Black, Amil One, Lincx'!$D$1:$D$1100,"Não compareceu*")+COUNTIFS('Care Plus'!$A$1:$A$1100,$A16,'Care Plus'!$D$1:$D$1100,"Não compareceu*")+COUNTIFS(Medsenior!$A$1:$A$1100,$A16,Medsenior!$D$1:$D$1100,"Não compareceu*")+COUNTIFS('Omint Skill'!$A$1:$A$1100,$A16,'Omint Skill'!$D$1:$D$1100,"Não compareceu*")+COUNTIFS('Omint Premium'!$A$1:$A$1100,$A16,'Omint Premium'!$D$1:$D$1100,"Não compareceu*")+COUNTIFS('Convênio Creabily Especial'!$A$1:$A$1100,$A16,'Convênio Creabily Especial'!$D$1:$D$1100,"Não compareceu*")+COUNTIFS('Creabily Particular'!$A$1:$A$1100,$A16,'Creabily Particular'!$D$1:$D$1100,"Não compareceu*")+COUNTIFS('Omint Corporate'!$A$1:$A$1100,$A16,'Omint Corporate'!$D$1:$D$1100,"Não compareceu*")+COUNTIFS('SEM CONVÊNIO'!$A$1:$A$1100,$A16,'SEM CONVÊNIO'!$D$1:$D$1100,"Não compareceu*")+COUNTIFS('Total Pass'!$A$1:$A$1100,$A16,'Total Pass'!$D$1:$D$1100,"Não compareceu*")</f>
        <v>0</v>
      </c>
      <c r="I16" s="31">
        <f>COUNTIFS('Afresp Saúde'!$A$1:$A$1100,$A16,'Afresp Saúde'!$D$1:$D$1100,"Falta Justificada*")+COUNTIFS('Amil Black, Amil One, Lincx'!$A$1:$A$1100,$A16,'Amil Black, Amil One, Lincx'!$D$1:$D$1100,"Falta Justificada*")+COUNTIFS('Care Plus'!$A$1:$A$1100,$A16,'Care Plus'!$D$1:$D$1100,"Falta Justificada*")+COUNTIFS(Medsenior!$A$1:$A$1100,$A16,Medsenior!$D$1:$D$1100,"Falta Justificada*")+COUNTIFS('Omint Skill'!$A$1:$A$1100,$A16,'Omint Skill'!$D$1:$D$1100,"Falta Justificada*")+COUNTIFS('Omint Premium'!$A$1:$A$1100,$A16,'Omint Premium'!$D$1:$D$1100,"Falta Justificada*")+COUNTIFS('Convênio Creabily Especial'!$A$1:$A$1100,$A16,'Convênio Creabily Especial'!$D$1:$D$1100,"Falta Justificada*")+COUNTIFS('Creabily Particular'!$A$1:$A$1100,$A16,'Creabily Particular'!$D$1:$D$1100,"Falta Justificada*")+COUNTIFS('Omint Corporate'!$A$1:$A$1100,$A16,'Omint Corporate'!$D$1:$D$1100,"Falta Justificada*")+COUNTIFS('SEM CONVÊNIO'!$A$1:$A$1100,$A16,'SEM CONVÊNIO'!$D$1:$D$1100,"Falta Justificada*")+COUNTIFS('Total Pass'!$A$1:$A$1100,$A16,'Total Pass'!$D$1:$D$1100,"Falta Justificada*")</f>
        <v>11</v>
      </c>
      <c r="J16" s="31">
        <f>COUNTIFS('Afresp Saúde'!$A$1:$A$1100,$A16,'Afresp Saúde'!$D$1:$D$1100,"Finalizado*")+COUNTIFS('Amil Black, Amil One, Lincx'!$A$1:$A$1100,$A16,'Amil Black, Amil One, Lincx'!$D$1:$D$1100,"Finalizado*")+COUNTIFS('Care Plus'!$A$1:$A$1100,$A16,'Care Plus'!$D$1:$D$1100,"Finalizado*")+COUNTIFS(Medsenior!$A$1:$A$1100,$A16,Medsenior!$D$1:$D$1100,"Finalizado*")+COUNTIFS('Omint Skill'!$A$1:$A$1100,$A16,'Omint Skill'!$D$1:$D$1100,"Finalizado*")+COUNTIFS('Omint Premium'!$A$1:$A$1100,$A16,'Omint Premium'!$D$1:$D$1100,"Finalizado*")+COUNTIFS('Convênio Creabily Especial'!$A$1:$A$1100,$A16,'Convênio Creabily Especial'!$D$1:$D$1100,"Finalizado*")+COUNTIFS('Creabily Particular'!$A$1:$A$1100,$A16,'Creabily Particular'!$D$1:$D$1100,"Finalizado*")+COUNTIFS('Omint Corporate'!$A$1:$A$1100,$A16,'Omint Corporate'!$D$1:$D$1100,"Finalizado*")+COUNTIFS('SEM CONVÊNIO'!$A$1:$A$1100,$A16,'SEM CONVÊNIO'!$D$1:$D$1100,"Finalizado*")+COUNTIFS('Total Pass'!$A$1:$A$1100,$A16,'Total Pass'!$D$1:$D$1100,"Finalizado*")</f>
        <v>2</v>
      </c>
    </row>
    <row r="17">
      <c r="A17" s="17" t="s">
        <v>1776</v>
      </c>
      <c r="B17" s="17">
        <f t="shared" ref="B17:J17" si="1">SUM(B4:B16)</f>
        <v>1658</v>
      </c>
      <c r="C17" s="17">
        <f t="shared" si="1"/>
        <v>664</v>
      </c>
      <c r="D17" s="17">
        <f t="shared" si="1"/>
        <v>870</v>
      </c>
      <c r="E17" s="17">
        <f t="shared" si="1"/>
        <v>192</v>
      </c>
      <c r="F17" s="17">
        <f t="shared" si="1"/>
        <v>206</v>
      </c>
      <c r="G17" s="17">
        <f t="shared" si="1"/>
        <v>162</v>
      </c>
      <c r="H17" s="17">
        <f t="shared" si="1"/>
        <v>141</v>
      </c>
      <c r="I17" s="17">
        <f t="shared" si="1"/>
        <v>185</v>
      </c>
      <c r="J17" s="17">
        <f t="shared" si="1"/>
        <v>409</v>
      </c>
    </row>
    <row r="20">
      <c r="A20" s="31" t="s">
        <v>1869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28.0"/>
    <col customWidth="1" min="4" max="6" width="22.0"/>
    <col customWidth="1" min="7" max="7" width="34.0"/>
  </cols>
  <sheetData>
    <row r="1">
      <c r="A1" s="16" t="s">
        <v>4</v>
      </c>
      <c r="B1" s="16" t="s">
        <v>1807</v>
      </c>
      <c r="C1" s="16" t="s">
        <v>1808</v>
      </c>
      <c r="D1" s="16" t="s">
        <v>7</v>
      </c>
      <c r="E1" s="16" t="s">
        <v>8</v>
      </c>
      <c r="F1" s="16" t="s">
        <v>17</v>
      </c>
      <c r="G1" s="16" t="s">
        <v>9</v>
      </c>
    </row>
    <row r="2">
      <c r="A2" s="6" t="s">
        <v>19</v>
      </c>
      <c r="B2" s="6" t="s">
        <v>1809</v>
      </c>
      <c r="C2" s="6" t="s">
        <v>1810</v>
      </c>
      <c r="D2" s="6" t="s">
        <v>43</v>
      </c>
      <c r="E2" s="6" t="s">
        <v>44</v>
      </c>
      <c r="F2" s="6" t="s">
        <v>30</v>
      </c>
      <c r="G2" s="6" t="s">
        <v>46</v>
      </c>
    </row>
    <row r="3">
      <c r="A3" s="6" t="s">
        <v>19</v>
      </c>
      <c r="B3" s="6" t="s">
        <v>1809</v>
      </c>
      <c r="C3" s="6" t="s">
        <v>1810</v>
      </c>
      <c r="D3" s="6" t="s">
        <v>62</v>
      </c>
      <c r="E3" s="6" t="s">
        <v>64</v>
      </c>
      <c r="F3" s="6" t="s">
        <v>30</v>
      </c>
      <c r="G3" s="6" t="s">
        <v>46</v>
      </c>
    </row>
    <row r="4">
      <c r="A4" s="6" t="s">
        <v>19</v>
      </c>
      <c r="B4" s="6" t="s">
        <v>1809</v>
      </c>
      <c r="C4" s="6" t="s">
        <v>1810</v>
      </c>
      <c r="D4" s="6" t="s">
        <v>50</v>
      </c>
      <c r="E4" s="6" t="s">
        <v>93</v>
      </c>
      <c r="F4" s="6" t="s">
        <v>30</v>
      </c>
      <c r="G4" s="6" t="s">
        <v>95</v>
      </c>
    </row>
    <row r="5">
      <c r="A5" s="6" t="s">
        <v>19</v>
      </c>
      <c r="B5" s="6" t="s">
        <v>1809</v>
      </c>
      <c r="C5" s="6" t="s">
        <v>1810</v>
      </c>
      <c r="D5" s="6" t="s">
        <v>62</v>
      </c>
      <c r="E5" s="6" t="s">
        <v>22</v>
      </c>
      <c r="F5" s="6" t="s">
        <v>30</v>
      </c>
      <c r="G5" s="6" t="s">
        <v>95</v>
      </c>
    </row>
    <row r="6">
      <c r="A6" s="6" t="s">
        <v>19</v>
      </c>
      <c r="B6" s="6" t="s">
        <v>1809</v>
      </c>
      <c r="C6" s="6" t="s">
        <v>1810</v>
      </c>
      <c r="D6" s="6" t="s">
        <v>127</v>
      </c>
      <c r="E6" s="6" t="s">
        <v>128</v>
      </c>
      <c r="F6" s="6" t="s">
        <v>30</v>
      </c>
      <c r="G6" s="6" t="s">
        <v>136</v>
      </c>
    </row>
    <row r="7">
      <c r="A7" s="6" t="s">
        <v>19</v>
      </c>
      <c r="B7" s="6" t="s">
        <v>1809</v>
      </c>
      <c r="C7" s="6" t="s">
        <v>1810</v>
      </c>
      <c r="D7" s="6" t="s">
        <v>111</v>
      </c>
      <c r="E7" s="6" t="s">
        <v>93</v>
      </c>
      <c r="F7" s="6" t="s">
        <v>30</v>
      </c>
      <c r="G7" s="6" t="s">
        <v>37</v>
      </c>
    </row>
    <row r="8">
      <c r="A8" s="6" t="s">
        <v>19</v>
      </c>
      <c r="B8" s="6" t="s">
        <v>1809</v>
      </c>
      <c r="C8" s="6" t="s">
        <v>1810</v>
      </c>
      <c r="D8" s="6" t="s">
        <v>50</v>
      </c>
      <c r="E8" s="6" t="s">
        <v>160</v>
      </c>
      <c r="F8" s="6" t="s">
        <v>30</v>
      </c>
      <c r="G8" s="6" t="s">
        <v>95</v>
      </c>
    </row>
    <row r="9">
      <c r="A9" s="6" t="s">
        <v>19</v>
      </c>
      <c r="B9" s="6" t="s">
        <v>1809</v>
      </c>
      <c r="C9" s="6" t="s">
        <v>1810</v>
      </c>
      <c r="D9" s="6" t="s">
        <v>62</v>
      </c>
      <c r="E9" s="6" t="s">
        <v>99</v>
      </c>
      <c r="F9" s="6" t="s">
        <v>30</v>
      </c>
      <c r="G9" s="6" t="s">
        <v>37</v>
      </c>
    </row>
    <row r="10">
      <c r="A10" s="6" t="s">
        <v>19</v>
      </c>
      <c r="B10" s="6" t="s">
        <v>1809</v>
      </c>
      <c r="C10" s="6" t="s">
        <v>1810</v>
      </c>
      <c r="D10" s="6" t="s">
        <v>124</v>
      </c>
      <c r="E10" s="6" t="s">
        <v>153</v>
      </c>
      <c r="F10" s="6" t="s">
        <v>30</v>
      </c>
      <c r="G10" s="6" t="s">
        <v>95</v>
      </c>
    </row>
    <row r="11">
      <c r="A11" s="6" t="s">
        <v>19</v>
      </c>
      <c r="B11" s="6" t="s">
        <v>1809</v>
      </c>
      <c r="C11" s="6" t="s">
        <v>1810</v>
      </c>
      <c r="D11" s="6" t="s">
        <v>35</v>
      </c>
      <c r="E11" s="6" t="s">
        <v>93</v>
      </c>
      <c r="F11" s="6" t="s">
        <v>30</v>
      </c>
      <c r="G11" s="6" t="s">
        <v>37</v>
      </c>
    </row>
    <row r="12">
      <c r="A12" s="6" t="s">
        <v>19</v>
      </c>
      <c r="B12" s="6" t="s">
        <v>1809</v>
      </c>
      <c r="C12" s="6" t="s">
        <v>1810</v>
      </c>
      <c r="D12" s="6" t="s">
        <v>133</v>
      </c>
      <c r="E12" s="6" t="s">
        <v>153</v>
      </c>
      <c r="F12" s="6" t="s">
        <v>30</v>
      </c>
      <c r="G12" s="6" t="s">
        <v>95</v>
      </c>
    </row>
    <row r="13">
      <c r="A13" s="6" t="s">
        <v>19</v>
      </c>
      <c r="B13" s="6" t="s">
        <v>1809</v>
      </c>
      <c r="C13" s="6" t="s">
        <v>1810</v>
      </c>
      <c r="D13" s="6" t="s">
        <v>133</v>
      </c>
      <c r="E13" s="6" t="s">
        <v>93</v>
      </c>
      <c r="F13" s="6" t="s">
        <v>30</v>
      </c>
      <c r="G13" s="6" t="s">
        <v>95</v>
      </c>
    </row>
    <row r="14">
      <c r="A14" s="6" t="s">
        <v>19</v>
      </c>
      <c r="B14" s="6" t="s">
        <v>1809</v>
      </c>
      <c r="C14" s="6" t="s">
        <v>1810</v>
      </c>
      <c r="D14" s="6" t="s">
        <v>177</v>
      </c>
      <c r="E14" s="6" t="s">
        <v>187</v>
      </c>
      <c r="F14" s="6" t="s">
        <v>30</v>
      </c>
      <c r="G14" s="6" t="s">
        <v>73</v>
      </c>
    </row>
    <row r="15">
      <c r="A15" s="6" t="s">
        <v>19</v>
      </c>
      <c r="B15" s="6" t="s">
        <v>1809</v>
      </c>
      <c r="C15" s="6" t="s">
        <v>1810</v>
      </c>
      <c r="D15" s="6" t="s">
        <v>238</v>
      </c>
      <c r="E15" s="6" t="s">
        <v>93</v>
      </c>
      <c r="F15" s="6" t="s">
        <v>30</v>
      </c>
      <c r="G15" s="6" t="s">
        <v>240</v>
      </c>
    </row>
    <row r="16">
      <c r="A16" s="6" t="s">
        <v>19</v>
      </c>
      <c r="B16" s="6" t="s">
        <v>1809</v>
      </c>
      <c r="C16" s="6" t="s">
        <v>1810</v>
      </c>
      <c r="D16" s="6" t="s">
        <v>238</v>
      </c>
      <c r="E16" s="6" t="s">
        <v>93</v>
      </c>
      <c r="F16" s="6" t="s">
        <v>30</v>
      </c>
      <c r="G16" s="6" t="s">
        <v>240</v>
      </c>
    </row>
    <row r="17">
      <c r="A17" s="6" t="s">
        <v>19</v>
      </c>
      <c r="B17" s="6" t="s">
        <v>1809</v>
      </c>
      <c r="C17" s="6" t="s">
        <v>1810</v>
      </c>
      <c r="D17" s="6" t="s">
        <v>124</v>
      </c>
      <c r="E17" s="6" t="s">
        <v>153</v>
      </c>
      <c r="F17" s="6" t="s">
        <v>30</v>
      </c>
      <c r="G17" s="6" t="s">
        <v>95</v>
      </c>
    </row>
    <row r="18">
      <c r="A18" s="6" t="s">
        <v>19</v>
      </c>
      <c r="B18" s="6" t="s">
        <v>1809</v>
      </c>
      <c r="C18" s="6" t="s">
        <v>1810</v>
      </c>
      <c r="D18" s="6" t="s">
        <v>145</v>
      </c>
      <c r="E18" s="6" t="s">
        <v>63</v>
      </c>
      <c r="F18" s="6" t="s">
        <v>30</v>
      </c>
      <c r="G18" s="6" t="s">
        <v>211</v>
      </c>
    </row>
    <row r="19">
      <c r="A19" s="6" t="s">
        <v>19</v>
      </c>
      <c r="B19" s="6" t="s">
        <v>1809</v>
      </c>
      <c r="C19" s="6" t="s">
        <v>1810</v>
      </c>
      <c r="D19" s="6" t="s">
        <v>142</v>
      </c>
      <c r="E19" s="6" t="s">
        <v>99</v>
      </c>
      <c r="F19" s="6" t="s">
        <v>30</v>
      </c>
      <c r="G19" s="6" t="s">
        <v>282</v>
      </c>
    </row>
    <row r="20">
      <c r="A20" s="6" t="s">
        <v>19</v>
      </c>
      <c r="B20" s="6" t="s">
        <v>1809</v>
      </c>
      <c r="C20" s="6" t="s">
        <v>1810</v>
      </c>
      <c r="D20" s="6" t="s">
        <v>94</v>
      </c>
      <c r="E20" s="6" t="s">
        <v>63</v>
      </c>
      <c r="F20" s="6" t="s">
        <v>30</v>
      </c>
      <c r="G20" s="6" t="s">
        <v>37</v>
      </c>
    </row>
    <row r="21" ht="15.75" customHeight="1">
      <c r="A21" s="6" t="s">
        <v>19</v>
      </c>
      <c r="B21" s="6" t="s">
        <v>1809</v>
      </c>
      <c r="C21" s="6" t="s">
        <v>1810</v>
      </c>
      <c r="D21" s="6" t="s">
        <v>61</v>
      </c>
      <c r="E21" s="6" t="s">
        <v>99</v>
      </c>
      <c r="F21" s="6" t="s">
        <v>30</v>
      </c>
      <c r="G21" s="6" t="s">
        <v>95</v>
      </c>
    </row>
    <row r="22" ht="15.75" customHeight="1">
      <c r="A22" s="6" t="s">
        <v>19</v>
      </c>
      <c r="B22" s="6" t="s">
        <v>1809</v>
      </c>
      <c r="C22" s="6" t="s">
        <v>1810</v>
      </c>
      <c r="D22" s="6" t="s">
        <v>62</v>
      </c>
      <c r="E22" s="6" t="s">
        <v>307</v>
      </c>
      <c r="F22" s="6" t="s">
        <v>30</v>
      </c>
      <c r="G22" s="6" t="s">
        <v>95</v>
      </c>
    </row>
    <row r="23" ht="15.75" customHeight="1">
      <c r="A23" s="6" t="s">
        <v>19</v>
      </c>
      <c r="B23" s="6" t="s">
        <v>1809</v>
      </c>
      <c r="C23" s="6" t="s">
        <v>1810</v>
      </c>
      <c r="D23" s="6" t="s">
        <v>124</v>
      </c>
      <c r="E23" s="6" t="s">
        <v>153</v>
      </c>
      <c r="F23" s="6" t="s">
        <v>30</v>
      </c>
      <c r="G23" s="6" t="s">
        <v>77</v>
      </c>
    </row>
    <row r="24" ht="15.75" customHeight="1">
      <c r="A24" s="6" t="s">
        <v>19</v>
      </c>
      <c r="B24" s="6" t="s">
        <v>1809</v>
      </c>
      <c r="C24" s="6" t="s">
        <v>1810</v>
      </c>
      <c r="D24" s="6" t="s">
        <v>133</v>
      </c>
      <c r="E24" s="6" t="s">
        <v>22</v>
      </c>
      <c r="F24" s="6" t="s">
        <v>30</v>
      </c>
      <c r="G24" s="6" t="s">
        <v>77</v>
      </c>
    </row>
    <row r="25" ht="15.75" customHeight="1">
      <c r="A25" s="6" t="s">
        <v>19</v>
      </c>
      <c r="B25" s="6" t="s">
        <v>1809</v>
      </c>
      <c r="C25" s="6" t="s">
        <v>1810</v>
      </c>
      <c r="D25" s="6" t="s">
        <v>21</v>
      </c>
      <c r="E25" s="6" t="s">
        <v>187</v>
      </c>
      <c r="F25" s="6" t="s">
        <v>30</v>
      </c>
      <c r="G25" s="6" t="s">
        <v>95</v>
      </c>
    </row>
    <row r="26" ht="15.75" customHeight="1">
      <c r="A26" s="6" t="s">
        <v>19</v>
      </c>
      <c r="B26" s="6" t="s">
        <v>1809</v>
      </c>
      <c r="C26" s="6" t="s">
        <v>1810</v>
      </c>
      <c r="D26" s="6" t="s">
        <v>50</v>
      </c>
      <c r="E26" s="6" t="s">
        <v>338</v>
      </c>
      <c r="F26" s="6" t="s">
        <v>30</v>
      </c>
      <c r="G26" s="6" t="s">
        <v>211</v>
      </c>
    </row>
    <row r="27" ht="15.75" customHeight="1">
      <c r="A27" s="6" t="s">
        <v>19</v>
      </c>
      <c r="B27" s="6" t="s">
        <v>1809</v>
      </c>
      <c r="C27" s="6" t="s">
        <v>1810</v>
      </c>
      <c r="D27" s="6" t="s">
        <v>50</v>
      </c>
      <c r="E27" s="6" t="s">
        <v>153</v>
      </c>
      <c r="F27" s="6" t="s">
        <v>30</v>
      </c>
      <c r="G27" s="6" t="s">
        <v>211</v>
      </c>
    </row>
    <row r="28" ht="15.75" customHeight="1">
      <c r="A28" s="6" t="s">
        <v>19</v>
      </c>
      <c r="B28" s="6" t="s">
        <v>1809</v>
      </c>
      <c r="C28" s="6" t="s">
        <v>1810</v>
      </c>
      <c r="D28" s="6" t="s">
        <v>124</v>
      </c>
      <c r="E28" s="6" t="s">
        <v>356</v>
      </c>
      <c r="F28" s="6" t="s">
        <v>30</v>
      </c>
      <c r="G28" s="6" t="s">
        <v>95</v>
      </c>
    </row>
    <row r="29" ht="15.75" customHeight="1">
      <c r="A29" s="6" t="s">
        <v>19</v>
      </c>
      <c r="B29" s="6" t="s">
        <v>1809</v>
      </c>
      <c r="C29" s="6" t="s">
        <v>1810</v>
      </c>
      <c r="D29" s="6" t="s">
        <v>145</v>
      </c>
      <c r="E29" s="6" t="s">
        <v>99</v>
      </c>
      <c r="F29" s="6" t="s">
        <v>30</v>
      </c>
      <c r="G29" s="6" t="s">
        <v>211</v>
      </c>
    </row>
    <row r="30" ht="15.75" customHeight="1">
      <c r="A30" s="6" t="s">
        <v>19</v>
      </c>
      <c r="B30" s="6" t="s">
        <v>1809</v>
      </c>
      <c r="C30" s="6" t="s">
        <v>1810</v>
      </c>
      <c r="D30" s="6" t="s">
        <v>177</v>
      </c>
      <c r="E30" s="6" t="s">
        <v>63</v>
      </c>
      <c r="F30" s="6" t="s">
        <v>30</v>
      </c>
      <c r="G30" s="6" t="s">
        <v>73</v>
      </c>
    </row>
    <row r="31" ht="15.75" customHeight="1">
      <c r="A31" s="6" t="s">
        <v>19</v>
      </c>
      <c r="B31" s="6" t="s">
        <v>1809</v>
      </c>
      <c r="C31" s="6" t="s">
        <v>1810</v>
      </c>
      <c r="D31" s="6" t="s">
        <v>43</v>
      </c>
      <c r="E31" s="6" t="s">
        <v>64</v>
      </c>
      <c r="F31" s="6" t="s">
        <v>30</v>
      </c>
      <c r="G31" s="6" t="s">
        <v>65</v>
      </c>
    </row>
    <row r="32" ht="15.75" customHeight="1">
      <c r="A32" s="6" t="s">
        <v>19</v>
      </c>
      <c r="B32" s="6" t="s">
        <v>1809</v>
      </c>
      <c r="C32" s="6" t="s">
        <v>1810</v>
      </c>
      <c r="D32" s="6" t="s">
        <v>94</v>
      </c>
      <c r="E32" s="6" t="s">
        <v>36</v>
      </c>
      <c r="F32" s="6" t="s">
        <v>30</v>
      </c>
      <c r="G32" s="6" t="s">
        <v>95</v>
      </c>
    </row>
    <row r="33" ht="15.75" customHeight="1">
      <c r="A33" s="6" t="s">
        <v>19</v>
      </c>
      <c r="B33" s="6" t="s">
        <v>1809</v>
      </c>
      <c r="C33" s="6" t="s">
        <v>1810</v>
      </c>
      <c r="D33" s="6" t="s">
        <v>50</v>
      </c>
      <c r="E33" s="6" t="s">
        <v>125</v>
      </c>
      <c r="F33" s="6" t="s">
        <v>30</v>
      </c>
      <c r="G33" s="6" t="s">
        <v>37</v>
      </c>
    </row>
    <row r="34" ht="15.75" customHeight="1">
      <c r="A34" s="6" t="s">
        <v>19</v>
      </c>
      <c r="B34" s="6" t="s">
        <v>1809</v>
      </c>
      <c r="C34" s="6" t="s">
        <v>1810</v>
      </c>
      <c r="D34" s="6" t="s">
        <v>61</v>
      </c>
      <c r="E34" s="6" t="s">
        <v>187</v>
      </c>
      <c r="F34" s="6" t="s">
        <v>30</v>
      </c>
      <c r="G34" s="6" t="s">
        <v>95</v>
      </c>
    </row>
    <row r="35" ht="15.75" customHeight="1">
      <c r="A35" s="6" t="s">
        <v>19</v>
      </c>
      <c r="B35" s="6" t="s">
        <v>1809</v>
      </c>
      <c r="C35" s="6" t="s">
        <v>1810</v>
      </c>
      <c r="D35" s="6" t="s">
        <v>62</v>
      </c>
      <c r="E35" s="6" t="s">
        <v>44</v>
      </c>
      <c r="F35" s="6" t="s">
        <v>30</v>
      </c>
      <c r="G35" s="6" t="s">
        <v>240</v>
      </c>
    </row>
    <row r="36" ht="15.75" customHeight="1">
      <c r="A36" s="6" t="s">
        <v>19</v>
      </c>
      <c r="B36" s="6" t="s">
        <v>1809</v>
      </c>
      <c r="C36" s="6" t="s">
        <v>1810</v>
      </c>
      <c r="D36" s="6" t="s">
        <v>62</v>
      </c>
      <c r="E36" s="6" t="s">
        <v>44</v>
      </c>
      <c r="F36" s="6" t="s">
        <v>30</v>
      </c>
      <c r="G36" s="6" t="s">
        <v>240</v>
      </c>
    </row>
    <row r="37" ht="15.75" customHeight="1">
      <c r="A37" s="6" t="s">
        <v>19</v>
      </c>
      <c r="B37" s="6" t="s">
        <v>1809</v>
      </c>
      <c r="C37" s="6" t="s">
        <v>1810</v>
      </c>
      <c r="D37" s="6" t="s">
        <v>112</v>
      </c>
      <c r="E37" s="6" t="s">
        <v>63</v>
      </c>
      <c r="F37" s="6" t="s">
        <v>30</v>
      </c>
      <c r="G37" s="6" t="s">
        <v>282</v>
      </c>
    </row>
    <row r="38" ht="15.75" customHeight="1">
      <c r="A38" s="6" t="s">
        <v>19</v>
      </c>
      <c r="B38" s="6" t="s">
        <v>1809</v>
      </c>
      <c r="C38" s="6" t="s">
        <v>1810</v>
      </c>
      <c r="D38" s="6" t="s">
        <v>35</v>
      </c>
      <c r="E38" s="6" t="s">
        <v>99</v>
      </c>
      <c r="F38" s="6" t="s">
        <v>30</v>
      </c>
      <c r="G38" s="6" t="s">
        <v>211</v>
      </c>
    </row>
    <row r="39" ht="15.75" customHeight="1">
      <c r="A39" s="6" t="s">
        <v>19</v>
      </c>
      <c r="B39" s="6" t="s">
        <v>1809</v>
      </c>
      <c r="C39" s="6" t="s">
        <v>1810</v>
      </c>
      <c r="D39" s="6" t="s">
        <v>61</v>
      </c>
      <c r="E39" s="6" t="s">
        <v>36</v>
      </c>
      <c r="F39" s="6" t="s">
        <v>30</v>
      </c>
      <c r="G39" s="6" t="s">
        <v>95</v>
      </c>
    </row>
    <row r="40" ht="15.75" customHeight="1">
      <c r="A40" s="6" t="s">
        <v>183</v>
      </c>
      <c r="B40" s="6" t="s">
        <v>1809</v>
      </c>
      <c r="C40" s="6" t="s">
        <v>1810</v>
      </c>
      <c r="D40" s="6" t="s">
        <v>262</v>
      </c>
      <c r="E40" s="6" t="s">
        <v>84</v>
      </c>
      <c r="F40" s="6" t="s">
        <v>30</v>
      </c>
      <c r="G40" s="6" t="s">
        <v>311</v>
      </c>
    </row>
    <row r="41" ht="15.75" customHeight="1">
      <c r="A41" s="6" t="s">
        <v>183</v>
      </c>
      <c r="B41" s="6" t="s">
        <v>1809</v>
      </c>
      <c r="C41" s="6" t="s">
        <v>1810</v>
      </c>
      <c r="D41" s="6" t="s">
        <v>262</v>
      </c>
      <c r="E41" s="6" t="s">
        <v>99</v>
      </c>
      <c r="F41" s="6" t="s">
        <v>30</v>
      </c>
      <c r="G41" s="6" t="s">
        <v>311</v>
      </c>
    </row>
    <row r="42" ht="15.75" customHeight="1">
      <c r="A42" s="6" t="s">
        <v>183</v>
      </c>
      <c r="B42" s="6" t="s">
        <v>1809</v>
      </c>
      <c r="C42" s="6" t="s">
        <v>1810</v>
      </c>
      <c r="D42" s="6" t="s">
        <v>21</v>
      </c>
      <c r="E42" s="6" t="s">
        <v>153</v>
      </c>
      <c r="F42" s="6" t="s">
        <v>30</v>
      </c>
      <c r="G42" s="6" t="s">
        <v>211</v>
      </c>
    </row>
    <row r="43" ht="15.75" customHeight="1">
      <c r="A43" s="6" t="s">
        <v>183</v>
      </c>
      <c r="B43" s="6" t="s">
        <v>1809</v>
      </c>
      <c r="C43" s="6" t="s">
        <v>1810</v>
      </c>
      <c r="D43" s="6" t="s">
        <v>50</v>
      </c>
      <c r="E43" s="6" t="s">
        <v>44</v>
      </c>
      <c r="F43" s="6" t="s">
        <v>30</v>
      </c>
      <c r="G43" s="6" t="s">
        <v>73</v>
      </c>
    </row>
    <row r="44" ht="15.75" customHeight="1">
      <c r="A44" s="6" t="s">
        <v>183</v>
      </c>
      <c r="B44" s="6" t="s">
        <v>1809</v>
      </c>
      <c r="C44" s="6" t="s">
        <v>1810</v>
      </c>
      <c r="D44" s="6" t="s">
        <v>61</v>
      </c>
      <c r="E44" s="6" t="s">
        <v>485</v>
      </c>
      <c r="F44" s="6" t="s">
        <v>59</v>
      </c>
      <c r="G44" s="6" t="s">
        <v>311</v>
      </c>
    </row>
    <row r="45" ht="15.75" customHeight="1">
      <c r="A45" s="6" t="s">
        <v>183</v>
      </c>
      <c r="B45" s="6" t="s">
        <v>1809</v>
      </c>
      <c r="C45" s="6" t="s">
        <v>1810</v>
      </c>
      <c r="D45" s="6" t="s">
        <v>111</v>
      </c>
      <c r="E45" s="6" t="s">
        <v>99</v>
      </c>
      <c r="F45" s="6" t="s">
        <v>30</v>
      </c>
      <c r="G45" s="6" t="s">
        <v>37</v>
      </c>
    </row>
    <row r="46" ht="15.75" customHeight="1">
      <c r="A46" s="6" t="s">
        <v>183</v>
      </c>
      <c r="B46" s="6" t="s">
        <v>1809</v>
      </c>
      <c r="C46" s="6" t="s">
        <v>1810</v>
      </c>
      <c r="D46" s="6" t="s">
        <v>43</v>
      </c>
      <c r="E46" s="6" t="s">
        <v>44</v>
      </c>
      <c r="F46" s="6" t="s">
        <v>30</v>
      </c>
      <c r="G46" s="6" t="s">
        <v>37</v>
      </c>
    </row>
    <row r="47" ht="15.75" customHeight="1">
      <c r="A47" s="6" t="s">
        <v>183</v>
      </c>
      <c r="B47" s="6" t="s">
        <v>1809</v>
      </c>
      <c r="C47" s="6" t="s">
        <v>1810</v>
      </c>
      <c r="D47" s="6" t="s">
        <v>62</v>
      </c>
      <c r="E47" s="6" t="s">
        <v>36</v>
      </c>
      <c r="F47" s="6" t="s">
        <v>30</v>
      </c>
      <c r="G47" s="6" t="s">
        <v>280</v>
      </c>
    </row>
    <row r="48" ht="15.75" customHeight="1">
      <c r="A48" s="6" t="s">
        <v>183</v>
      </c>
      <c r="B48" s="6" t="s">
        <v>1809</v>
      </c>
      <c r="C48" s="6" t="s">
        <v>1810</v>
      </c>
      <c r="D48" s="6" t="s">
        <v>133</v>
      </c>
      <c r="E48" s="6" t="s">
        <v>44</v>
      </c>
      <c r="F48" s="6" t="s">
        <v>30</v>
      </c>
      <c r="G48" s="6" t="s">
        <v>196</v>
      </c>
    </row>
    <row r="49" ht="15.75" customHeight="1">
      <c r="A49" s="6" t="s">
        <v>183</v>
      </c>
      <c r="B49" s="6" t="s">
        <v>1809</v>
      </c>
      <c r="C49" s="6" t="s">
        <v>1810</v>
      </c>
      <c r="D49" s="6" t="s">
        <v>262</v>
      </c>
      <c r="E49" s="6" t="s">
        <v>525</v>
      </c>
      <c r="F49" s="6" t="s">
        <v>30</v>
      </c>
      <c r="G49" s="6" t="s">
        <v>280</v>
      </c>
    </row>
    <row r="50" ht="15.75" customHeight="1">
      <c r="A50" s="6" t="s">
        <v>183</v>
      </c>
      <c r="B50" s="6" t="s">
        <v>1809</v>
      </c>
      <c r="C50" s="6" t="s">
        <v>1810</v>
      </c>
      <c r="D50" s="6" t="s">
        <v>61</v>
      </c>
      <c r="E50" s="6" t="s">
        <v>187</v>
      </c>
      <c r="F50" s="6" t="s">
        <v>30</v>
      </c>
      <c r="G50" s="6" t="s">
        <v>211</v>
      </c>
    </row>
    <row r="51" ht="15.75" customHeight="1">
      <c r="A51" s="6" t="s">
        <v>183</v>
      </c>
      <c r="B51" s="6" t="s">
        <v>1809</v>
      </c>
      <c r="C51" s="6" t="s">
        <v>1810</v>
      </c>
      <c r="D51" s="6" t="s">
        <v>133</v>
      </c>
      <c r="E51" s="6" t="s">
        <v>93</v>
      </c>
      <c r="F51" s="6" t="s">
        <v>30</v>
      </c>
      <c r="G51" s="6" t="s">
        <v>280</v>
      </c>
    </row>
    <row r="52" ht="15.75" customHeight="1">
      <c r="A52" s="6" t="s">
        <v>183</v>
      </c>
      <c r="B52" s="6" t="s">
        <v>1809</v>
      </c>
      <c r="C52" s="6" t="s">
        <v>1810</v>
      </c>
      <c r="D52" s="6" t="s">
        <v>62</v>
      </c>
      <c r="E52" s="6" t="s">
        <v>52</v>
      </c>
      <c r="F52" s="6" t="s">
        <v>30</v>
      </c>
      <c r="G52" s="6" t="s">
        <v>280</v>
      </c>
    </row>
    <row r="53" ht="15.75" customHeight="1">
      <c r="A53" s="6" t="s">
        <v>183</v>
      </c>
      <c r="B53" s="6" t="s">
        <v>1809</v>
      </c>
      <c r="C53" s="6" t="s">
        <v>1810</v>
      </c>
      <c r="D53" s="6" t="s">
        <v>124</v>
      </c>
      <c r="E53" s="6" t="s">
        <v>125</v>
      </c>
      <c r="F53" s="6" t="s">
        <v>30</v>
      </c>
      <c r="G53" s="6" t="s">
        <v>280</v>
      </c>
    </row>
    <row r="54" ht="15.75" customHeight="1">
      <c r="A54" s="6" t="s">
        <v>183</v>
      </c>
      <c r="B54" s="6" t="s">
        <v>1809</v>
      </c>
      <c r="C54" s="6" t="s">
        <v>1810</v>
      </c>
      <c r="D54" s="6" t="s">
        <v>133</v>
      </c>
      <c r="E54" s="6" t="s">
        <v>36</v>
      </c>
      <c r="F54" s="6" t="s">
        <v>30</v>
      </c>
      <c r="G54" s="6" t="s">
        <v>280</v>
      </c>
    </row>
    <row r="55" ht="15.75" customHeight="1">
      <c r="A55" s="6" t="s">
        <v>183</v>
      </c>
      <c r="B55" s="6" t="s">
        <v>1809</v>
      </c>
      <c r="C55" s="6" t="s">
        <v>1810</v>
      </c>
      <c r="D55" s="6" t="s">
        <v>21</v>
      </c>
      <c r="E55" s="6" t="s">
        <v>36</v>
      </c>
      <c r="F55" s="6" t="s">
        <v>30</v>
      </c>
      <c r="G55" s="6" t="s">
        <v>280</v>
      </c>
    </row>
    <row r="56" ht="15.75" customHeight="1">
      <c r="A56" s="6" t="s">
        <v>183</v>
      </c>
      <c r="B56" s="6" t="s">
        <v>1809</v>
      </c>
      <c r="C56" s="6" t="s">
        <v>1810</v>
      </c>
      <c r="D56" s="6" t="s">
        <v>61</v>
      </c>
      <c r="E56" s="6" t="s">
        <v>153</v>
      </c>
      <c r="F56" s="6" t="s">
        <v>30</v>
      </c>
      <c r="G56" s="6" t="s">
        <v>280</v>
      </c>
    </row>
    <row r="57" ht="15.75" customHeight="1">
      <c r="A57" s="6" t="s">
        <v>183</v>
      </c>
      <c r="B57" s="6" t="s">
        <v>1809</v>
      </c>
      <c r="C57" s="6" t="s">
        <v>1810</v>
      </c>
      <c r="D57" s="6" t="s">
        <v>43</v>
      </c>
      <c r="E57" s="6" t="s">
        <v>63</v>
      </c>
      <c r="F57" s="6" t="s">
        <v>30</v>
      </c>
      <c r="G57" s="6" t="s">
        <v>211</v>
      </c>
    </row>
    <row r="58" ht="15.75" customHeight="1">
      <c r="A58" s="6" t="s">
        <v>183</v>
      </c>
      <c r="B58" s="6" t="s">
        <v>1809</v>
      </c>
      <c r="C58" s="6" t="s">
        <v>1810</v>
      </c>
      <c r="D58" s="6" t="s">
        <v>177</v>
      </c>
      <c r="E58" s="6" t="s">
        <v>44</v>
      </c>
      <c r="F58" s="6" t="s">
        <v>30</v>
      </c>
      <c r="G58" s="6" t="s">
        <v>37</v>
      </c>
    </row>
    <row r="59" ht="15.75" customHeight="1">
      <c r="A59" s="6" t="s">
        <v>183</v>
      </c>
      <c r="B59" s="6" t="s">
        <v>1809</v>
      </c>
      <c r="C59" s="6" t="s">
        <v>1810</v>
      </c>
      <c r="D59" s="6" t="s">
        <v>94</v>
      </c>
      <c r="E59" s="6" t="s">
        <v>125</v>
      </c>
      <c r="F59" s="6" t="s">
        <v>30</v>
      </c>
      <c r="G59" s="6" t="s">
        <v>280</v>
      </c>
    </row>
    <row r="60" ht="15.75" customHeight="1">
      <c r="A60" s="6" t="s">
        <v>183</v>
      </c>
      <c r="B60" s="6" t="s">
        <v>1809</v>
      </c>
      <c r="C60" s="6" t="s">
        <v>1810</v>
      </c>
      <c r="D60" s="6" t="s">
        <v>43</v>
      </c>
      <c r="E60" s="6" t="s">
        <v>99</v>
      </c>
      <c r="F60" s="6" t="s">
        <v>30</v>
      </c>
      <c r="G60" s="6" t="s">
        <v>280</v>
      </c>
    </row>
    <row r="61" ht="15.75" customHeight="1">
      <c r="A61" s="6" t="s">
        <v>183</v>
      </c>
      <c r="B61" s="6" t="s">
        <v>1809</v>
      </c>
      <c r="C61" s="6" t="s">
        <v>1810</v>
      </c>
      <c r="D61" s="6" t="s">
        <v>94</v>
      </c>
      <c r="E61" s="6" t="s">
        <v>153</v>
      </c>
      <c r="F61" s="6" t="s">
        <v>30</v>
      </c>
      <c r="G61" s="6" t="s">
        <v>73</v>
      </c>
    </row>
    <row r="62" ht="15.75" customHeight="1">
      <c r="A62" s="6" t="s">
        <v>183</v>
      </c>
      <c r="B62" s="6" t="s">
        <v>1809</v>
      </c>
      <c r="C62" s="6" t="s">
        <v>1810</v>
      </c>
      <c r="D62" s="6" t="s">
        <v>177</v>
      </c>
      <c r="E62" s="6" t="s">
        <v>187</v>
      </c>
      <c r="F62" s="6" t="s">
        <v>30</v>
      </c>
      <c r="G62" s="6" t="s">
        <v>37</v>
      </c>
    </row>
    <row r="63" ht="15.75" customHeight="1">
      <c r="A63" s="6" t="s">
        <v>183</v>
      </c>
      <c r="B63" s="6" t="s">
        <v>1809</v>
      </c>
      <c r="C63" s="6" t="s">
        <v>1810</v>
      </c>
      <c r="D63" s="6" t="s">
        <v>124</v>
      </c>
      <c r="E63" s="6" t="s">
        <v>187</v>
      </c>
      <c r="F63" s="6" t="s">
        <v>30</v>
      </c>
      <c r="G63" s="6" t="s">
        <v>280</v>
      </c>
    </row>
    <row r="64" ht="15.75" customHeight="1">
      <c r="A64" s="6" t="s">
        <v>183</v>
      </c>
      <c r="B64" s="6" t="s">
        <v>1809</v>
      </c>
      <c r="C64" s="6" t="s">
        <v>1810</v>
      </c>
      <c r="D64" s="6" t="s">
        <v>62</v>
      </c>
      <c r="E64" s="6" t="s">
        <v>187</v>
      </c>
      <c r="F64" s="6" t="s">
        <v>30</v>
      </c>
      <c r="G64" s="6" t="s">
        <v>37</v>
      </c>
    </row>
    <row r="65" ht="15.75" customHeight="1">
      <c r="A65" s="6" t="s">
        <v>183</v>
      </c>
      <c r="B65" s="6" t="s">
        <v>1809</v>
      </c>
      <c r="C65" s="6" t="s">
        <v>1810</v>
      </c>
      <c r="D65" s="6" t="s">
        <v>62</v>
      </c>
      <c r="E65" s="6" t="s">
        <v>187</v>
      </c>
      <c r="F65" s="6" t="s">
        <v>30</v>
      </c>
      <c r="G65" s="6" t="s">
        <v>196</v>
      </c>
    </row>
    <row r="66" ht="15.75" customHeight="1">
      <c r="A66" s="6" t="s">
        <v>183</v>
      </c>
      <c r="B66" s="6" t="s">
        <v>1809</v>
      </c>
      <c r="C66" s="6" t="s">
        <v>1810</v>
      </c>
      <c r="D66" s="6" t="s">
        <v>71</v>
      </c>
      <c r="E66" s="6" t="s">
        <v>64</v>
      </c>
      <c r="F66" s="6" t="s">
        <v>30</v>
      </c>
      <c r="G66" s="6" t="s">
        <v>196</v>
      </c>
    </row>
    <row r="67" ht="15.75" customHeight="1">
      <c r="A67" s="6" t="s">
        <v>297</v>
      </c>
      <c r="B67" s="6" t="s">
        <v>1822</v>
      </c>
      <c r="C67" s="6" t="s">
        <v>1810</v>
      </c>
      <c r="D67" s="6" t="s">
        <v>43</v>
      </c>
      <c r="E67" s="6" t="s">
        <v>153</v>
      </c>
      <c r="F67" s="6" t="s">
        <v>30</v>
      </c>
      <c r="G67" s="6" t="s">
        <v>677</v>
      </c>
    </row>
    <row r="68" ht="15.75" customHeight="1">
      <c r="A68" s="6" t="s">
        <v>297</v>
      </c>
      <c r="B68" s="6" t="s">
        <v>1809</v>
      </c>
      <c r="C68" s="6" t="s">
        <v>1810</v>
      </c>
      <c r="D68" s="6" t="s">
        <v>262</v>
      </c>
      <c r="E68" s="6" t="s">
        <v>22</v>
      </c>
      <c r="F68" s="6" t="s">
        <v>30</v>
      </c>
      <c r="G68" s="6" t="s">
        <v>37</v>
      </c>
    </row>
    <row r="69" ht="15.75" customHeight="1">
      <c r="A69" s="6" t="s">
        <v>297</v>
      </c>
      <c r="B69" s="6" t="s">
        <v>1809</v>
      </c>
      <c r="C69" s="6" t="s">
        <v>1810</v>
      </c>
      <c r="D69" s="6" t="s">
        <v>71</v>
      </c>
      <c r="E69" s="6" t="s">
        <v>401</v>
      </c>
      <c r="F69" s="6" t="s">
        <v>59</v>
      </c>
      <c r="G69" s="6" t="s">
        <v>224</v>
      </c>
    </row>
    <row r="70" ht="15.75" customHeight="1">
      <c r="A70" s="6" t="s">
        <v>297</v>
      </c>
      <c r="B70" s="6" t="s">
        <v>1809</v>
      </c>
      <c r="C70" s="6" t="s">
        <v>1810</v>
      </c>
      <c r="D70" s="6" t="s">
        <v>262</v>
      </c>
      <c r="E70" s="6" t="s">
        <v>125</v>
      </c>
      <c r="F70" s="6" t="s">
        <v>30</v>
      </c>
      <c r="G70" s="6" t="s">
        <v>311</v>
      </c>
    </row>
    <row r="71" ht="15.75" customHeight="1">
      <c r="A71" s="6" t="s">
        <v>297</v>
      </c>
      <c r="B71" s="6" t="s">
        <v>1809</v>
      </c>
      <c r="C71" s="6" t="s">
        <v>1810</v>
      </c>
      <c r="D71" s="6" t="s">
        <v>71</v>
      </c>
      <c r="E71" s="6" t="s">
        <v>331</v>
      </c>
      <c r="F71" s="6" t="s">
        <v>59</v>
      </c>
      <c r="G71" s="6" t="s">
        <v>37</v>
      </c>
    </row>
    <row r="72" ht="15.75" customHeight="1">
      <c r="A72" s="6" t="s">
        <v>297</v>
      </c>
      <c r="B72" s="6" t="s">
        <v>1809</v>
      </c>
      <c r="C72" s="6" t="s">
        <v>1810</v>
      </c>
      <c r="D72" s="6" t="s">
        <v>35</v>
      </c>
      <c r="E72" s="6" t="s">
        <v>731</v>
      </c>
      <c r="F72" s="6" t="s">
        <v>59</v>
      </c>
      <c r="G72" s="6" t="s">
        <v>73</v>
      </c>
    </row>
    <row r="73" ht="15.75" customHeight="1">
      <c r="A73" s="6" t="s">
        <v>297</v>
      </c>
      <c r="B73" s="6" t="s">
        <v>1809</v>
      </c>
      <c r="C73" s="6" t="s">
        <v>1810</v>
      </c>
      <c r="D73" s="6" t="s">
        <v>133</v>
      </c>
      <c r="E73" s="6" t="s">
        <v>526</v>
      </c>
      <c r="F73" s="6" t="s">
        <v>59</v>
      </c>
      <c r="G73" s="6" t="s">
        <v>311</v>
      </c>
    </row>
    <row r="74" ht="15.75" customHeight="1">
      <c r="A74" s="6" t="s">
        <v>297</v>
      </c>
      <c r="B74" s="6" t="s">
        <v>1809</v>
      </c>
      <c r="C74" s="6" t="s">
        <v>1810</v>
      </c>
      <c r="D74" s="6" t="s">
        <v>94</v>
      </c>
      <c r="E74" s="6" t="s">
        <v>731</v>
      </c>
      <c r="F74" s="6" t="s">
        <v>59</v>
      </c>
      <c r="G74" s="6" t="s">
        <v>325</v>
      </c>
    </row>
    <row r="75" ht="15.75" customHeight="1">
      <c r="A75" s="6" t="s">
        <v>297</v>
      </c>
      <c r="B75" s="6" t="s">
        <v>1809</v>
      </c>
      <c r="C75" s="6" t="s">
        <v>1810</v>
      </c>
      <c r="D75" s="6" t="s">
        <v>177</v>
      </c>
      <c r="E75" s="6" t="s">
        <v>361</v>
      </c>
      <c r="F75" s="6" t="s">
        <v>30</v>
      </c>
      <c r="G75" s="6" t="s">
        <v>280</v>
      </c>
    </row>
    <row r="76" ht="15.75" customHeight="1">
      <c r="A76" s="6" t="s">
        <v>297</v>
      </c>
      <c r="B76" s="6" t="s">
        <v>1809</v>
      </c>
      <c r="C76" s="6" t="s">
        <v>1810</v>
      </c>
      <c r="D76" s="6" t="s">
        <v>94</v>
      </c>
      <c r="E76" s="6" t="s">
        <v>443</v>
      </c>
      <c r="F76" s="6" t="s">
        <v>30</v>
      </c>
      <c r="G76" s="6" t="s">
        <v>224</v>
      </c>
    </row>
    <row r="77" ht="15.75" customHeight="1">
      <c r="A77" s="6" t="s">
        <v>297</v>
      </c>
      <c r="B77" s="6" t="s">
        <v>1809</v>
      </c>
      <c r="C77" s="6" t="s">
        <v>1810</v>
      </c>
      <c r="D77" s="6" t="s">
        <v>111</v>
      </c>
      <c r="E77" s="6" t="s">
        <v>331</v>
      </c>
      <c r="F77" s="6" t="s">
        <v>59</v>
      </c>
      <c r="G77" s="6" t="s">
        <v>211</v>
      </c>
    </row>
    <row r="78" ht="15.75" customHeight="1">
      <c r="A78" s="6" t="s">
        <v>297</v>
      </c>
      <c r="B78" s="6" t="s">
        <v>1809</v>
      </c>
      <c r="C78" s="6" t="s">
        <v>1810</v>
      </c>
      <c r="D78" s="6" t="s">
        <v>43</v>
      </c>
      <c r="E78" s="6" t="s">
        <v>36</v>
      </c>
      <c r="F78" s="6" t="s">
        <v>30</v>
      </c>
      <c r="G78" s="6" t="s">
        <v>37</v>
      </c>
    </row>
    <row r="79" ht="15.75" customHeight="1">
      <c r="A79" s="6" t="s">
        <v>297</v>
      </c>
      <c r="B79" s="6" t="s">
        <v>1809</v>
      </c>
      <c r="C79" s="6" t="s">
        <v>1810</v>
      </c>
      <c r="D79" s="6" t="s">
        <v>262</v>
      </c>
      <c r="E79" s="6" t="s">
        <v>443</v>
      </c>
      <c r="F79" s="6" t="s">
        <v>59</v>
      </c>
      <c r="G79" s="6" t="s">
        <v>280</v>
      </c>
    </row>
    <row r="80" ht="15.75" customHeight="1">
      <c r="A80" s="6" t="s">
        <v>297</v>
      </c>
      <c r="B80" s="6" t="s">
        <v>1809</v>
      </c>
      <c r="C80" s="6" t="s">
        <v>1810</v>
      </c>
      <c r="D80" s="6" t="s">
        <v>145</v>
      </c>
      <c r="E80" s="6" t="s">
        <v>790</v>
      </c>
      <c r="F80" s="6" t="s">
        <v>59</v>
      </c>
      <c r="G80" s="6" t="s">
        <v>136</v>
      </c>
    </row>
    <row r="81" ht="15.75" customHeight="1">
      <c r="A81" s="6" t="s">
        <v>297</v>
      </c>
      <c r="B81" s="6" t="s">
        <v>1809</v>
      </c>
      <c r="C81" s="6" t="s">
        <v>1810</v>
      </c>
      <c r="D81" s="6" t="s">
        <v>71</v>
      </c>
      <c r="E81" s="6" t="s">
        <v>365</v>
      </c>
      <c r="F81" s="6" t="s">
        <v>373</v>
      </c>
      <c r="G81" s="6" t="s">
        <v>95</v>
      </c>
    </row>
    <row r="82" ht="15.75" customHeight="1">
      <c r="A82" s="6" t="s">
        <v>297</v>
      </c>
      <c r="B82" s="6" t="s">
        <v>1809</v>
      </c>
      <c r="C82" s="6" t="s">
        <v>1810</v>
      </c>
      <c r="D82" s="6" t="s">
        <v>235</v>
      </c>
      <c r="E82" s="6" t="s">
        <v>365</v>
      </c>
      <c r="F82" s="6" t="s">
        <v>59</v>
      </c>
      <c r="G82" s="6" t="s">
        <v>95</v>
      </c>
    </row>
    <row r="83" ht="15.75" customHeight="1">
      <c r="A83" s="6" t="s">
        <v>297</v>
      </c>
      <c r="B83" s="6" t="s">
        <v>1809</v>
      </c>
      <c r="C83" s="6" t="s">
        <v>1810</v>
      </c>
      <c r="D83" s="6" t="s">
        <v>133</v>
      </c>
      <c r="E83" s="6" t="s">
        <v>817</v>
      </c>
      <c r="F83" s="6" t="s">
        <v>59</v>
      </c>
      <c r="G83" s="6" t="s">
        <v>311</v>
      </c>
    </row>
    <row r="84" ht="15.75" customHeight="1">
      <c r="A84" s="6" t="s">
        <v>297</v>
      </c>
      <c r="B84" s="6" t="s">
        <v>1809</v>
      </c>
      <c r="C84" s="6" t="s">
        <v>1810</v>
      </c>
      <c r="D84" s="6" t="s">
        <v>71</v>
      </c>
      <c r="E84" s="6" t="s">
        <v>299</v>
      </c>
      <c r="F84" s="6" t="s">
        <v>30</v>
      </c>
      <c r="G84" s="6" t="s">
        <v>95</v>
      </c>
    </row>
    <row r="85" ht="15.75" customHeight="1">
      <c r="A85" s="6" t="s">
        <v>297</v>
      </c>
      <c r="B85" s="6" t="s">
        <v>1809</v>
      </c>
      <c r="C85" s="6" t="s">
        <v>1810</v>
      </c>
      <c r="D85" s="6" t="s">
        <v>177</v>
      </c>
      <c r="E85" s="6" t="s">
        <v>499</v>
      </c>
      <c r="F85" s="6" t="s">
        <v>59</v>
      </c>
      <c r="G85" s="6" t="s">
        <v>311</v>
      </c>
    </row>
    <row r="86" ht="15.75" customHeight="1">
      <c r="A86" s="6" t="s">
        <v>297</v>
      </c>
      <c r="B86" s="6" t="s">
        <v>1809</v>
      </c>
      <c r="C86" s="6" t="s">
        <v>1810</v>
      </c>
      <c r="D86" s="6" t="s">
        <v>94</v>
      </c>
      <c r="E86" s="6" t="s">
        <v>443</v>
      </c>
      <c r="F86" s="6" t="s">
        <v>59</v>
      </c>
      <c r="G86" s="6" t="s">
        <v>311</v>
      </c>
    </row>
    <row r="87" ht="15.75" customHeight="1">
      <c r="A87" s="6" t="s">
        <v>297</v>
      </c>
      <c r="B87" s="6" t="s">
        <v>1809</v>
      </c>
      <c r="C87" s="6" t="s">
        <v>1810</v>
      </c>
      <c r="D87" s="6" t="s">
        <v>262</v>
      </c>
      <c r="E87" s="6" t="s">
        <v>365</v>
      </c>
      <c r="F87" s="6" t="s">
        <v>59</v>
      </c>
      <c r="G87" s="6" t="s">
        <v>280</v>
      </c>
    </row>
    <row r="88" ht="15.75" customHeight="1">
      <c r="A88" s="6" t="s">
        <v>297</v>
      </c>
      <c r="B88" s="6" t="s">
        <v>1809</v>
      </c>
      <c r="C88" s="6" t="s">
        <v>1810</v>
      </c>
      <c r="D88" s="6" t="s">
        <v>71</v>
      </c>
      <c r="E88" s="6" t="s">
        <v>401</v>
      </c>
      <c r="F88" s="6" t="s">
        <v>30</v>
      </c>
      <c r="G88" s="6" t="s">
        <v>95</v>
      </c>
    </row>
    <row r="89" ht="15.75" customHeight="1">
      <c r="A89" s="6" t="s">
        <v>297</v>
      </c>
      <c r="B89" s="6" t="s">
        <v>1809</v>
      </c>
      <c r="C89" s="6" t="s">
        <v>1810</v>
      </c>
      <c r="D89" s="6" t="s">
        <v>21</v>
      </c>
      <c r="E89" s="6" t="s">
        <v>857</v>
      </c>
      <c r="F89" s="6" t="s">
        <v>59</v>
      </c>
      <c r="G89" s="6" t="s">
        <v>280</v>
      </c>
    </row>
    <row r="90" ht="15.75" customHeight="1">
      <c r="A90" s="6" t="s">
        <v>297</v>
      </c>
      <c r="B90" s="6" t="s">
        <v>1809</v>
      </c>
      <c r="C90" s="6" t="s">
        <v>1810</v>
      </c>
      <c r="D90" s="6" t="s">
        <v>124</v>
      </c>
      <c r="E90" s="6" t="s">
        <v>526</v>
      </c>
      <c r="F90" s="6" t="s">
        <v>59</v>
      </c>
      <c r="G90" s="6" t="s">
        <v>280</v>
      </c>
    </row>
    <row r="91" ht="15.75" customHeight="1">
      <c r="A91" s="6" t="s">
        <v>297</v>
      </c>
      <c r="B91" s="6" t="s">
        <v>1809</v>
      </c>
      <c r="C91" s="6" t="s">
        <v>1810</v>
      </c>
      <c r="D91" s="6" t="s">
        <v>62</v>
      </c>
      <c r="E91" s="6" t="s">
        <v>499</v>
      </c>
      <c r="F91" s="6" t="s">
        <v>59</v>
      </c>
      <c r="G91" s="6" t="s">
        <v>280</v>
      </c>
    </row>
    <row r="92" ht="15.75" customHeight="1">
      <c r="A92" s="6" t="s">
        <v>297</v>
      </c>
      <c r="B92" s="6" t="s">
        <v>1809</v>
      </c>
      <c r="C92" s="6" t="s">
        <v>1810</v>
      </c>
      <c r="D92" s="6" t="s">
        <v>133</v>
      </c>
      <c r="E92" s="6" t="s">
        <v>499</v>
      </c>
      <c r="F92" s="6" t="s">
        <v>59</v>
      </c>
      <c r="G92" s="6" t="s">
        <v>282</v>
      </c>
    </row>
    <row r="93" ht="15.75" customHeight="1">
      <c r="A93" s="6" t="s">
        <v>297</v>
      </c>
      <c r="B93" s="6" t="s">
        <v>1809</v>
      </c>
      <c r="C93" s="6" t="s">
        <v>1810</v>
      </c>
      <c r="D93" s="6" t="s">
        <v>235</v>
      </c>
      <c r="E93" s="6" t="s">
        <v>401</v>
      </c>
      <c r="F93" s="6" t="s">
        <v>59</v>
      </c>
      <c r="G93" s="6" t="s">
        <v>311</v>
      </c>
    </row>
    <row r="94" ht="15.75" customHeight="1">
      <c r="A94" s="6" t="s">
        <v>297</v>
      </c>
      <c r="B94" s="6" t="s">
        <v>1809</v>
      </c>
      <c r="C94" s="6" t="s">
        <v>1810</v>
      </c>
      <c r="D94" s="6" t="s">
        <v>177</v>
      </c>
      <c r="E94" s="6" t="s">
        <v>299</v>
      </c>
      <c r="F94" s="6" t="s">
        <v>59</v>
      </c>
      <c r="G94" s="6" t="s">
        <v>37</v>
      </c>
    </row>
    <row r="95" ht="15.75" customHeight="1">
      <c r="A95" s="6" t="s">
        <v>297</v>
      </c>
      <c r="B95" s="6" t="s">
        <v>1809</v>
      </c>
      <c r="C95" s="6" t="s">
        <v>1810</v>
      </c>
      <c r="D95" s="6" t="s">
        <v>235</v>
      </c>
      <c r="E95" s="6" t="s">
        <v>731</v>
      </c>
      <c r="F95" s="6" t="s">
        <v>59</v>
      </c>
      <c r="G95" s="6" t="s">
        <v>53</v>
      </c>
    </row>
    <row r="96" ht="15.75" customHeight="1">
      <c r="A96" s="6" t="s">
        <v>297</v>
      </c>
      <c r="B96" s="6" t="s">
        <v>1809</v>
      </c>
      <c r="C96" s="6" t="s">
        <v>1810</v>
      </c>
      <c r="D96" s="6" t="s">
        <v>124</v>
      </c>
      <c r="E96" s="6" t="s">
        <v>894</v>
      </c>
      <c r="F96" s="6" t="s">
        <v>59</v>
      </c>
      <c r="G96" s="6" t="s">
        <v>343</v>
      </c>
    </row>
    <row r="97" ht="15.75" customHeight="1">
      <c r="A97" s="6" t="s">
        <v>297</v>
      </c>
      <c r="B97" s="6" t="s">
        <v>1809</v>
      </c>
      <c r="C97" s="6" t="s">
        <v>1810</v>
      </c>
      <c r="D97" s="6" t="s">
        <v>235</v>
      </c>
      <c r="E97" s="6" t="s">
        <v>365</v>
      </c>
      <c r="F97" s="6" t="s">
        <v>373</v>
      </c>
      <c r="G97" s="6" t="s">
        <v>343</v>
      </c>
    </row>
    <row r="98" ht="15.75" customHeight="1">
      <c r="A98" s="6" t="s">
        <v>297</v>
      </c>
      <c r="B98" s="6" t="s">
        <v>1809</v>
      </c>
      <c r="C98" s="6" t="s">
        <v>1810</v>
      </c>
      <c r="D98" s="6" t="s">
        <v>43</v>
      </c>
      <c r="E98" s="6" t="s">
        <v>499</v>
      </c>
      <c r="F98" s="6" t="s">
        <v>59</v>
      </c>
      <c r="G98" s="6" t="s">
        <v>280</v>
      </c>
    </row>
    <row r="99" ht="15.75" customHeight="1">
      <c r="A99" s="6" t="s">
        <v>297</v>
      </c>
      <c r="B99" s="6" t="s">
        <v>1809</v>
      </c>
      <c r="C99" s="6" t="s">
        <v>1810</v>
      </c>
      <c r="D99" s="6" t="s">
        <v>43</v>
      </c>
      <c r="E99" s="6" t="s">
        <v>731</v>
      </c>
      <c r="F99" s="6" t="s">
        <v>59</v>
      </c>
      <c r="G99" s="6" t="s">
        <v>280</v>
      </c>
    </row>
    <row r="100" ht="15.75" customHeight="1">
      <c r="A100" s="6" t="s">
        <v>297</v>
      </c>
      <c r="B100" s="6" t="s">
        <v>1809</v>
      </c>
      <c r="C100" s="6" t="s">
        <v>1810</v>
      </c>
      <c r="D100" s="6" t="s">
        <v>61</v>
      </c>
      <c r="E100" s="6" t="s">
        <v>443</v>
      </c>
      <c r="F100" s="6" t="s">
        <v>59</v>
      </c>
      <c r="G100" s="6" t="s">
        <v>280</v>
      </c>
    </row>
    <row r="101" ht="15.75" customHeight="1">
      <c r="A101" s="6" t="s">
        <v>297</v>
      </c>
      <c r="B101" s="6" t="s">
        <v>1809</v>
      </c>
      <c r="C101" s="6" t="s">
        <v>1810</v>
      </c>
      <c r="D101" s="6" t="s">
        <v>43</v>
      </c>
      <c r="E101" s="6" t="s">
        <v>299</v>
      </c>
      <c r="F101" s="6" t="s">
        <v>59</v>
      </c>
      <c r="G101" s="6" t="s">
        <v>280</v>
      </c>
    </row>
    <row r="102" ht="15.75" customHeight="1">
      <c r="A102" s="6" t="s">
        <v>297</v>
      </c>
      <c r="B102" s="6" t="s">
        <v>1809</v>
      </c>
      <c r="C102" s="6" t="s">
        <v>1810</v>
      </c>
      <c r="D102" s="6" t="s">
        <v>133</v>
      </c>
      <c r="E102" s="6" t="s">
        <v>331</v>
      </c>
      <c r="F102" s="6" t="s">
        <v>59</v>
      </c>
      <c r="G102" s="6" t="s">
        <v>211</v>
      </c>
    </row>
    <row r="103" ht="15.75" customHeight="1">
      <c r="A103" s="6" t="s">
        <v>297</v>
      </c>
      <c r="B103" s="6" t="s">
        <v>1809</v>
      </c>
      <c r="C103" s="6" t="s">
        <v>1810</v>
      </c>
      <c r="D103" s="6" t="s">
        <v>112</v>
      </c>
      <c r="E103" s="6" t="s">
        <v>925</v>
      </c>
      <c r="F103" s="6" t="s">
        <v>59</v>
      </c>
      <c r="G103" s="6" t="s">
        <v>343</v>
      </c>
    </row>
    <row r="104" ht="15.75" customHeight="1">
      <c r="A104" s="6" t="s">
        <v>297</v>
      </c>
      <c r="B104" s="6" t="s">
        <v>1809</v>
      </c>
      <c r="C104" s="6" t="s">
        <v>1810</v>
      </c>
      <c r="D104" s="6" t="s">
        <v>21</v>
      </c>
      <c r="E104" s="6" t="s">
        <v>931</v>
      </c>
      <c r="F104" s="6" t="s">
        <v>59</v>
      </c>
      <c r="G104" s="6" t="s">
        <v>280</v>
      </c>
    </row>
    <row r="105" ht="15.75" customHeight="1">
      <c r="A105" s="6" t="s">
        <v>424</v>
      </c>
      <c r="B105" s="6" t="s">
        <v>1809</v>
      </c>
      <c r="C105" s="6" t="s">
        <v>1810</v>
      </c>
      <c r="D105" s="6" t="s">
        <v>565</v>
      </c>
      <c r="E105" s="6" t="s">
        <v>429</v>
      </c>
      <c r="F105" s="6" t="s">
        <v>30</v>
      </c>
      <c r="G105" s="6" t="s">
        <v>946</v>
      </c>
    </row>
    <row r="106" ht="15.75" customHeight="1">
      <c r="A106" s="6" t="s">
        <v>424</v>
      </c>
      <c r="B106" s="6" t="s">
        <v>1809</v>
      </c>
      <c r="C106" s="6" t="s">
        <v>1810</v>
      </c>
      <c r="D106" s="6" t="s">
        <v>616</v>
      </c>
      <c r="E106" s="6" t="s">
        <v>429</v>
      </c>
      <c r="F106" s="6" t="s">
        <v>30</v>
      </c>
      <c r="G106" s="6" t="s">
        <v>946</v>
      </c>
    </row>
    <row r="107" ht="15.75" customHeight="1">
      <c r="A107" s="6" t="s">
        <v>424</v>
      </c>
      <c r="B107" s="6" t="s">
        <v>1809</v>
      </c>
      <c r="C107" s="6" t="s">
        <v>1810</v>
      </c>
      <c r="D107" s="6" t="s">
        <v>596</v>
      </c>
      <c r="E107" s="6" t="s">
        <v>429</v>
      </c>
      <c r="F107" s="6" t="s">
        <v>30</v>
      </c>
      <c r="G107" s="6" t="s">
        <v>438</v>
      </c>
    </row>
    <row r="108" ht="15.75" customHeight="1">
      <c r="A108" s="6" t="s">
        <v>424</v>
      </c>
      <c r="B108" s="6" t="s">
        <v>1809</v>
      </c>
      <c r="C108" s="6" t="s">
        <v>1810</v>
      </c>
      <c r="D108" s="6" t="s">
        <v>588</v>
      </c>
      <c r="E108" s="6" t="s">
        <v>429</v>
      </c>
      <c r="F108" s="6" t="s">
        <v>59</v>
      </c>
      <c r="G108" s="6" t="s">
        <v>430</v>
      </c>
    </row>
    <row r="109" ht="15.75" customHeight="1">
      <c r="A109" s="6" t="s">
        <v>424</v>
      </c>
      <c r="B109" s="6" t="s">
        <v>1809</v>
      </c>
      <c r="C109" s="6" t="s">
        <v>1810</v>
      </c>
      <c r="D109" s="6" t="s">
        <v>482</v>
      </c>
      <c r="E109" s="6" t="s">
        <v>429</v>
      </c>
      <c r="F109" s="6" t="s">
        <v>30</v>
      </c>
      <c r="G109" s="6" t="s">
        <v>136</v>
      </c>
    </row>
    <row r="110" ht="15.75" customHeight="1">
      <c r="A110" s="6" t="s">
        <v>424</v>
      </c>
      <c r="B110" s="6" t="s">
        <v>1809</v>
      </c>
      <c r="C110" s="6" t="s">
        <v>1810</v>
      </c>
      <c r="D110" s="6" t="s">
        <v>501</v>
      </c>
      <c r="E110" s="6" t="s">
        <v>429</v>
      </c>
      <c r="F110" s="6" t="s">
        <v>30</v>
      </c>
      <c r="G110" s="6" t="s">
        <v>438</v>
      </c>
    </row>
    <row r="111" ht="15.75" customHeight="1">
      <c r="A111" s="6" t="s">
        <v>424</v>
      </c>
      <c r="B111" s="6" t="s">
        <v>1809</v>
      </c>
      <c r="C111" s="6" t="s">
        <v>1810</v>
      </c>
      <c r="D111" s="6" t="s">
        <v>596</v>
      </c>
      <c r="E111" s="6" t="s">
        <v>429</v>
      </c>
      <c r="F111" s="6" t="s">
        <v>30</v>
      </c>
      <c r="G111" s="6" t="s">
        <v>438</v>
      </c>
    </row>
    <row r="112" ht="15.75" customHeight="1">
      <c r="A112" s="6" t="s">
        <v>424</v>
      </c>
      <c r="B112" s="6" t="s">
        <v>1809</v>
      </c>
      <c r="C112" s="6" t="s">
        <v>1810</v>
      </c>
      <c r="D112" s="6" t="s">
        <v>973</v>
      </c>
      <c r="E112" s="6" t="s">
        <v>429</v>
      </c>
      <c r="F112" s="6" t="s">
        <v>30</v>
      </c>
      <c r="G112" s="6" t="s">
        <v>430</v>
      </c>
    </row>
    <row r="113" ht="15.75" customHeight="1">
      <c r="A113" s="6" t="s">
        <v>424</v>
      </c>
      <c r="B113" s="6" t="s">
        <v>1809</v>
      </c>
      <c r="C113" s="6" t="s">
        <v>1810</v>
      </c>
      <c r="D113" s="6" t="s">
        <v>639</v>
      </c>
      <c r="E113" s="6" t="s">
        <v>429</v>
      </c>
      <c r="F113" s="6" t="s">
        <v>30</v>
      </c>
      <c r="G113" s="6" t="s">
        <v>430</v>
      </c>
    </row>
    <row r="114" ht="15.75" customHeight="1">
      <c r="A114" s="6" t="s">
        <v>424</v>
      </c>
      <c r="B114" s="6" t="s">
        <v>1809</v>
      </c>
      <c r="C114" s="6" t="s">
        <v>1810</v>
      </c>
      <c r="D114" s="6" t="s">
        <v>979</v>
      </c>
      <c r="E114" s="6" t="s">
        <v>429</v>
      </c>
      <c r="F114" s="6" t="s">
        <v>30</v>
      </c>
      <c r="G114" s="6" t="s">
        <v>240</v>
      </c>
    </row>
    <row r="115" ht="15.75" customHeight="1">
      <c r="A115" s="6" t="s">
        <v>424</v>
      </c>
      <c r="B115" s="6" t="s">
        <v>1809</v>
      </c>
      <c r="C115" s="6" t="s">
        <v>1810</v>
      </c>
      <c r="D115" s="6" t="s">
        <v>979</v>
      </c>
      <c r="E115" s="6" t="s">
        <v>429</v>
      </c>
      <c r="F115" s="6" t="s">
        <v>30</v>
      </c>
      <c r="G115" s="6" t="s">
        <v>240</v>
      </c>
    </row>
    <row r="116" ht="15.75" customHeight="1">
      <c r="A116" s="6" t="s">
        <v>424</v>
      </c>
      <c r="B116" s="6" t="s">
        <v>1809</v>
      </c>
      <c r="C116" s="6" t="s">
        <v>1810</v>
      </c>
      <c r="D116" s="6" t="s">
        <v>445</v>
      </c>
      <c r="E116" s="6" t="s">
        <v>429</v>
      </c>
      <c r="F116" s="6" t="s">
        <v>30</v>
      </c>
      <c r="G116" s="6" t="s">
        <v>430</v>
      </c>
    </row>
    <row r="117" ht="15.75" customHeight="1">
      <c r="A117" s="6" t="s">
        <v>424</v>
      </c>
      <c r="B117" s="6" t="s">
        <v>1809</v>
      </c>
      <c r="C117" s="6" t="s">
        <v>1810</v>
      </c>
      <c r="D117" s="6" t="s">
        <v>639</v>
      </c>
      <c r="E117" s="6" t="s">
        <v>429</v>
      </c>
      <c r="F117" s="6" t="s">
        <v>30</v>
      </c>
      <c r="G117" s="6" t="s">
        <v>459</v>
      </c>
    </row>
    <row r="118" ht="15.75" customHeight="1">
      <c r="A118" s="6" t="s">
        <v>424</v>
      </c>
      <c r="B118" s="6" t="s">
        <v>1809</v>
      </c>
      <c r="C118" s="6" t="s">
        <v>1810</v>
      </c>
      <c r="D118" s="6" t="s">
        <v>596</v>
      </c>
      <c r="E118" s="6" t="s">
        <v>429</v>
      </c>
      <c r="F118" s="6" t="s">
        <v>30</v>
      </c>
      <c r="G118" s="6" t="s">
        <v>438</v>
      </c>
    </row>
    <row r="119" ht="15.75" customHeight="1">
      <c r="A119" s="6" t="s">
        <v>424</v>
      </c>
      <c r="B119" s="6" t="s">
        <v>1809</v>
      </c>
      <c r="C119" s="6" t="s">
        <v>1810</v>
      </c>
      <c r="D119" s="6" t="s">
        <v>457</v>
      </c>
      <c r="E119" s="6" t="s">
        <v>429</v>
      </c>
      <c r="F119" s="6" t="s">
        <v>30</v>
      </c>
      <c r="G119" s="6" t="s">
        <v>946</v>
      </c>
    </row>
    <row r="120" ht="15.75" customHeight="1">
      <c r="A120" s="6" t="s">
        <v>424</v>
      </c>
      <c r="B120" s="6" t="s">
        <v>1809</v>
      </c>
      <c r="C120" s="6" t="s">
        <v>1810</v>
      </c>
      <c r="D120" s="6" t="s">
        <v>996</v>
      </c>
      <c r="E120" s="6" t="s">
        <v>553</v>
      </c>
      <c r="F120" s="6" t="s">
        <v>561</v>
      </c>
      <c r="G120" s="6" t="s">
        <v>240</v>
      </c>
    </row>
    <row r="121" ht="15.75" customHeight="1">
      <c r="A121" s="6" t="s">
        <v>424</v>
      </c>
      <c r="B121" s="6" t="s">
        <v>1809</v>
      </c>
      <c r="C121" s="6" t="s">
        <v>1810</v>
      </c>
      <c r="D121" s="6" t="s">
        <v>996</v>
      </c>
      <c r="E121" s="6" t="s">
        <v>553</v>
      </c>
      <c r="F121" s="6" t="s">
        <v>561</v>
      </c>
      <c r="G121" s="6" t="s">
        <v>240</v>
      </c>
    </row>
    <row r="122" ht="15.75" customHeight="1">
      <c r="A122" s="6" t="s">
        <v>424</v>
      </c>
      <c r="B122" s="6" t="s">
        <v>1809</v>
      </c>
      <c r="C122" s="6" t="s">
        <v>1810</v>
      </c>
      <c r="D122" s="6" t="s">
        <v>596</v>
      </c>
      <c r="E122" s="6" t="s">
        <v>429</v>
      </c>
      <c r="F122" s="6" t="s">
        <v>30</v>
      </c>
      <c r="G122" s="6" t="s">
        <v>508</v>
      </c>
    </row>
    <row r="123" ht="15.75" customHeight="1">
      <c r="A123" s="6" t="s">
        <v>424</v>
      </c>
      <c r="B123" s="6" t="s">
        <v>1809</v>
      </c>
      <c r="C123" s="6" t="s">
        <v>1810</v>
      </c>
      <c r="D123" s="6" t="s">
        <v>501</v>
      </c>
      <c r="E123" s="6" t="s">
        <v>429</v>
      </c>
      <c r="F123" s="6" t="s">
        <v>30</v>
      </c>
      <c r="G123" s="6" t="s">
        <v>459</v>
      </c>
    </row>
    <row r="124" ht="15.75" customHeight="1">
      <c r="A124" s="6" t="s">
        <v>424</v>
      </c>
      <c r="B124" s="6" t="s">
        <v>1809</v>
      </c>
      <c r="C124" s="6" t="s">
        <v>1810</v>
      </c>
      <c r="D124" s="6" t="s">
        <v>596</v>
      </c>
      <c r="E124" s="6" t="s">
        <v>429</v>
      </c>
      <c r="F124" s="6" t="s">
        <v>30</v>
      </c>
      <c r="G124" s="6" t="s">
        <v>438</v>
      </c>
    </row>
    <row r="125" ht="15.75" customHeight="1">
      <c r="A125" s="6" t="s">
        <v>424</v>
      </c>
      <c r="B125" s="6" t="s">
        <v>1809</v>
      </c>
      <c r="C125" s="6" t="s">
        <v>1810</v>
      </c>
      <c r="D125" s="6" t="s">
        <v>639</v>
      </c>
      <c r="E125" s="6" t="s">
        <v>429</v>
      </c>
      <c r="F125" s="6" t="s">
        <v>30</v>
      </c>
      <c r="G125" s="6" t="s">
        <v>438</v>
      </c>
    </row>
    <row r="126" ht="15.75" customHeight="1">
      <c r="A126" s="6" t="s">
        <v>424</v>
      </c>
      <c r="B126" s="6" t="s">
        <v>1809</v>
      </c>
      <c r="C126" s="6" t="s">
        <v>1810</v>
      </c>
      <c r="D126" s="6" t="s">
        <v>1013</v>
      </c>
      <c r="E126" s="6" t="s">
        <v>429</v>
      </c>
      <c r="F126" s="6" t="s">
        <v>373</v>
      </c>
      <c r="G126" s="6" t="s">
        <v>240</v>
      </c>
    </row>
    <row r="127" ht="15.75" customHeight="1">
      <c r="A127" s="6" t="s">
        <v>424</v>
      </c>
      <c r="B127" s="6" t="s">
        <v>1809</v>
      </c>
      <c r="C127" s="6" t="s">
        <v>1810</v>
      </c>
      <c r="D127" s="6" t="s">
        <v>1013</v>
      </c>
      <c r="E127" s="6" t="s">
        <v>429</v>
      </c>
      <c r="F127" s="6" t="s">
        <v>373</v>
      </c>
      <c r="G127" s="6" t="s">
        <v>240</v>
      </c>
    </row>
    <row r="128" ht="15.75" customHeight="1">
      <c r="A128" s="6" t="s">
        <v>424</v>
      </c>
      <c r="B128" s="6" t="s">
        <v>1809</v>
      </c>
      <c r="C128" s="6" t="s">
        <v>1810</v>
      </c>
      <c r="D128" s="6" t="s">
        <v>539</v>
      </c>
      <c r="E128" s="6" t="s">
        <v>30</v>
      </c>
      <c r="F128" s="6" t="s">
        <v>30</v>
      </c>
      <c r="G128" s="6" t="s">
        <v>541</v>
      </c>
    </row>
    <row r="129" ht="15.75" customHeight="1">
      <c r="A129" s="6" t="s">
        <v>424</v>
      </c>
      <c r="B129" s="6" t="s">
        <v>1809</v>
      </c>
      <c r="C129" s="6" t="s">
        <v>1810</v>
      </c>
      <c r="D129" s="6" t="s">
        <v>539</v>
      </c>
      <c r="E129" s="6" t="s">
        <v>30</v>
      </c>
      <c r="F129" s="6" t="s">
        <v>30</v>
      </c>
      <c r="G129" s="6" t="s">
        <v>541</v>
      </c>
    </row>
    <row r="130" ht="15.75" customHeight="1">
      <c r="A130" s="6" t="s">
        <v>424</v>
      </c>
      <c r="B130" s="6" t="s">
        <v>1809</v>
      </c>
      <c r="C130" s="6" t="s">
        <v>1810</v>
      </c>
      <c r="D130" s="6" t="s">
        <v>596</v>
      </c>
      <c r="E130" s="6" t="s">
        <v>429</v>
      </c>
      <c r="F130" s="6" t="s">
        <v>30</v>
      </c>
      <c r="G130" s="6" t="s">
        <v>224</v>
      </c>
    </row>
    <row r="131" ht="15.75" customHeight="1">
      <c r="A131" s="6" t="s">
        <v>424</v>
      </c>
      <c r="B131" s="6" t="s">
        <v>1809</v>
      </c>
      <c r="C131" s="6" t="s">
        <v>1810</v>
      </c>
      <c r="D131" s="6" t="s">
        <v>482</v>
      </c>
      <c r="E131" s="6" t="s">
        <v>429</v>
      </c>
      <c r="F131" s="6" t="s">
        <v>30</v>
      </c>
      <c r="G131" s="6" t="s">
        <v>508</v>
      </c>
    </row>
    <row r="132" ht="15.75" customHeight="1">
      <c r="A132" s="6" t="s">
        <v>424</v>
      </c>
      <c r="B132" s="6" t="s">
        <v>1809</v>
      </c>
      <c r="C132" s="6" t="s">
        <v>1810</v>
      </c>
      <c r="D132" s="6" t="s">
        <v>588</v>
      </c>
      <c r="E132" s="6" t="s">
        <v>429</v>
      </c>
      <c r="F132" s="6" t="s">
        <v>30</v>
      </c>
      <c r="G132" s="6" t="s">
        <v>438</v>
      </c>
    </row>
    <row r="133" ht="15.75" customHeight="1">
      <c r="A133" s="6" t="s">
        <v>424</v>
      </c>
      <c r="B133" s="6" t="s">
        <v>1809</v>
      </c>
      <c r="C133" s="6" t="s">
        <v>1810</v>
      </c>
      <c r="D133" s="6" t="s">
        <v>616</v>
      </c>
      <c r="E133" s="6" t="s">
        <v>429</v>
      </c>
      <c r="F133" s="6" t="s">
        <v>30</v>
      </c>
      <c r="G133" s="6" t="s">
        <v>438</v>
      </c>
    </row>
    <row r="134" ht="15.75" customHeight="1">
      <c r="A134" s="6" t="s">
        <v>424</v>
      </c>
      <c r="B134" s="6" t="s">
        <v>1809</v>
      </c>
      <c r="C134" s="6" t="s">
        <v>1810</v>
      </c>
      <c r="D134" s="6" t="s">
        <v>501</v>
      </c>
      <c r="E134" s="6" t="s">
        <v>429</v>
      </c>
      <c r="F134" s="6" t="s">
        <v>373</v>
      </c>
      <c r="G134" s="6" t="s">
        <v>438</v>
      </c>
    </row>
    <row r="135" ht="15.75" customHeight="1">
      <c r="A135" s="6" t="s">
        <v>424</v>
      </c>
      <c r="B135" s="6" t="s">
        <v>1809</v>
      </c>
      <c r="C135" s="6" t="s">
        <v>1810</v>
      </c>
      <c r="D135" s="6" t="s">
        <v>457</v>
      </c>
      <c r="E135" s="6" t="s">
        <v>429</v>
      </c>
      <c r="F135" s="6" t="s">
        <v>30</v>
      </c>
      <c r="G135" s="6" t="s">
        <v>541</v>
      </c>
    </row>
    <row r="136" ht="15.75" customHeight="1">
      <c r="A136" s="6" t="s">
        <v>424</v>
      </c>
      <c r="B136" s="6" t="s">
        <v>1809</v>
      </c>
      <c r="C136" s="6" t="s">
        <v>1810</v>
      </c>
      <c r="D136" s="6" t="s">
        <v>445</v>
      </c>
      <c r="E136" s="6" t="s">
        <v>429</v>
      </c>
      <c r="F136" s="6" t="s">
        <v>30</v>
      </c>
      <c r="G136" s="6" t="s">
        <v>541</v>
      </c>
    </row>
    <row r="137" ht="15.75" customHeight="1">
      <c r="A137" s="6" t="s">
        <v>424</v>
      </c>
      <c r="B137" s="6" t="s">
        <v>1809</v>
      </c>
      <c r="C137" s="6" t="s">
        <v>1810</v>
      </c>
      <c r="D137" s="6" t="s">
        <v>428</v>
      </c>
      <c r="E137" s="6" t="s">
        <v>429</v>
      </c>
      <c r="F137" s="6" t="s">
        <v>30</v>
      </c>
      <c r="G137" s="6" t="s">
        <v>438</v>
      </c>
    </row>
    <row r="138" ht="15.75" customHeight="1">
      <c r="A138" s="6" t="s">
        <v>424</v>
      </c>
      <c r="B138" s="6" t="s">
        <v>1809</v>
      </c>
      <c r="C138" s="6" t="s">
        <v>1810</v>
      </c>
      <c r="D138" s="6" t="s">
        <v>596</v>
      </c>
      <c r="E138" s="6" t="s">
        <v>429</v>
      </c>
      <c r="F138" s="6" t="s">
        <v>30</v>
      </c>
      <c r="G138" s="6" t="s">
        <v>430</v>
      </c>
    </row>
    <row r="139" ht="15.75" customHeight="1">
      <c r="A139" s="6" t="s">
        <v>424</v>
      </c>
      <c r="B139" s="6" t="s">
        <v>1809</v>
      </c>
      <c r="C139" s="6" t="s">
        <v>1810</v>
      </c>
      <c r="D139" s="6" t="s">
        <v>596</v>
      </c>
      <c r="E139" s="6" t="s">
        <v>429</v>
      </c>
      <c r="F139" s="6" t="s">
        <v>30</v>
      </c>
      <c r="G139" s="6" t="s">
        <v>430</v>
      </c>
    </row>
    <row r="140" ht="15.75" customHeight="1">
      <c r="A140" s="6" t="s">
        <v>424</v>
      </c>
      <c r="B140" s="6" t="s">
        <v>1809</v>
      </c>
      <c r="C140" s="6" t="s">
        <v>1810</v>
      </c>
      <c r="D140" s="6" t="s">
        <v>482</v>
      </c>
      <c r="E140" s="6" t="s">
        <v>429</v>
      </c>
      <c r="F140" s="6" t="s">
        <v>30</v>
      </c>
      <c r="G140" s="6" t="s">
        <v>438</v>
      </c>
    </row>
    <row r="141" ht="15.75" customHeight="1">
      <c r="A141" s="6" t="s">
        <v>424</v>
      </c>
      <c r="B141" s="6" t="s">
        <v>1809</v>
      </c>
      <c r="C141" s="6" t="s">
        <v>1810</v>
      </c>
      <c r="D141" s="6" t="s">
        <v>445</v>
      </c>
      <c r="E141" s="6" t="s">
        <v>429</v>
      </c>
      <c r="F141" s="6" t="s">
        <v>30</v>
      </c>
      <c r="G141" s="6" t="s">
        <v>438</v>
      </c>
    </row>
    <row r="142" ht="15.75" customHeight="1">
      <c r="A142" s="6" t="s">
        <v>424</v>
      </c>
      <c r="B142" s="6" t="s">
        <v>1809</v>
      </c>
      <c r="C142" s="6" t="s">
        <v>1810</v>
      </c>
      <c r="D142" s="6" t="s">
        <v>428</v>
      </c>
      <c r="E142" s="6" t="s">
        <v>429</v>
      </c>
      <c r="F142" s="6" t="s">
        <v>30</v>
      </c>
      <c r="G142" s="6" t="s">
        <v>430</v>
      </c>
    </row>
    <row r="143" ht="15.75" customHeight="1">
      <c r="A143" s="6" t="s">
        <v>424</v>
      </c>
      <c r="B143" s="6" t="s">
        <v>1809</v>
      </c>
      <c r="C143" s="6" t="s">
        <v>1810</v>
      </c>
      <c r="D143" s="6" t="s">
        <v>616</v>
      </c>
      <c r="E143" s="6" t="s">
        <v>429</v>
      </c>
      <c r="F143" s="6" t="s">
        <v>30</v>
      </c>
      <c r="G143" s="6" t="s">
        <v>438</v>
      </c>
    </row>
    <row r="144" ht="15.75" customHeight="1">
      <c r="A144" s="6" t="s">
        <v>424</v>
      </c>
      <c r="B144" s="6" t="s">
        <v>1809</v>
      </c>
      <c r="C144" s="6" t="s">
        <v>1810</v>
      </c>
      <c r="D144" s="6" t="s">
        <v>591</v>
      </c>
      <c r="E144" s="6" t="s">
        <v>429</v>
      </c>
      <c r="F144" s="6" t="s">
        <v>30</v>
      </c>
      <c r="G144" s="6" t="s">
        <v>343</v>
      </c>
    </row>
    <row r="145" ht="15.75" customHeight="1">
      <c r="A145" s="6" t="s">
        <v>424</v>
      </c>
      <c r="B145" s="6" t="s">
        <v>1809</v>
      </c>
      <c r="C145" s="6" t="s">
        <v>1810</v>
      </c>
      <c r="D145" s="6" t="s">
        <v>539</v>
      </c>
      <c r="E145" s="6" t="s">
        <v>429</v>
      </c>
      <c r="F145" s="6" t="s">
        <v>30</v>
      </c>
      <c r="G145" s="6" t="s">
        <v>459</v>
      </c>
    </row>
    <row r="146" ht="15.75" customHeight="1">
      <c r="A146" s="6" t="s">
        <v>424</v>
      </c>
      <c r="B146" s="6" t="s">
        <v>1809</v>
      </c>
      <c r="C146" s="6" t="s">
        <v>1810</v>
      </c>
      <c r="D146" s="6" t="s">
        <v>501</v>
      </c>
      <c r="E146" s="6" t="s">
        <v>429</v>
      </c>
      <c r="F146" s="6" t="s">
        <v>30</v>
      </c>
      <c r="G146" s="6" t="s">
        <v>946</v>
      </c>
    </row>
    <row r="147" ht="15.75" customHeight="1">
      <c r="A147" s="6" t="s">
        <v>424</v>
      </c>
      <c r="B147" s="6" t="s">
        <v>1809</v>
      </c>
      <c r="C147" s="6" t="s">
        <v>1810</v>
      </c>
      <c r="D147" s="6" t="s">
        <v>445</v>
      </c>
      <c r="E147" s="6" t="s">
        <v>429</v>
      </c>
      <c r="F147" s="6" t="s">
        <v>30</v>
      </c>
      <c r="G147" s="6" t="s">
        <v>946</v>
      </c>
    </row>
    <row r="148" ht="15.75" customHeight="1">
      <c r="A148" s="6" t="s">
        <v>424</v>
      </c>
      <c r="B148" s="6" t="s">
        <v>1809</v>
      </c>
      <c r="C148" s="6" t="s">
        <v>1810</v>
      </c>
      <c r="D148" s="6" t="s">
        <v>435</v>
      </c>
      <c r="E148" s="6" t="s">
        <v>429</v>
      </c>
      <c r="F148" s="6" t="s">
        <v>30</v>
      </c>
      <c r="G148" s="6" t="s">
        <v>438</v>
      </c>
    </row>
    <row r="149" ht="15.75" customHeight="1">
      <c r="A149" s="6" t="s">
        <v>424</v>
      </c>
      <c r="B149" s="6" t="s">
        <v>1809</v>
      </c>
      <c r="C149" s="6" t="s">
        <v>1810</v>
      </c>
      <c r="D149" s="6" t="s">
        <v>565</v>
      </c>
      <c r="E149" s="6" t="s">
        <v>30</v>
      </c>
      <c r="F149" s="6" t="s">
        <v>30</v>
      </c>
      <c r="G149" s="6" t="s">
        <v>556</v>
      </c>
    </row>
    <row r="150" ht="15.75" customHeight="1">
      <c r="A150" s="6" t="s">
        <v>424</v>
      </c>
      <c r="B150" s="6" t="s">
        <v>1809</v>
      </c>
      <c r="C150" s="6" t="s">
        <v>1810</v>
      </c>
      <c r="D150" s="6" t="s">
        <v>616</v>
      </c>
      <c r="E150" s="6" t="s">
        <v>429</v>
      </c>
      <c r="F150" s="6" t="s">
        <v>30</v>
      </c>
      <c r="G150" s="6" t="s">
        <v>438</v>
      </c>
    </row>
    <row r="151" ht="15.75" customHeight="1">
      <c r="A151" s="6" t="s">
        <v>521</v>
      </c>
      <c r="B151" s="6" t="s">
        <v>1809</v>
      </c>
      <c r="C151" s="6" t="s">
        <v>1810</v>
      </c>
      <c r="D151" s="6" t="s">
        <v>539</v>
      </c>
      <c r="E151" s="6" t="s">
        <v>429</v>
      </c>
      <c r="F151" s="6" t="s">
        <v>30</v>
      </c>
      <c r="G151" s="6" t="s">
        <v>459</v>
      </c>
    </row>
    <row r="152" ht="15.75" customHeight="1">
      <c r="A152" s="6" t="s">
        <v>521</v>
      </c>
      <c r="B152" s="6" t="s">
        <v>1809</v>
      </c>
      <c r="C152" s="6" t="s">
        <v>1810</v>
      </c>
      <c r="D152" s="6" t="s">
        <v>591</v>
      </c>
      <c r="E152" s="6" t="s">
        <v>429</v>
      </c>
      <c r="F152" s="6" t="s">
        <v>373</v>
      </c>
      <c r="G152" s="6" t="s">
        <v>524</v>
      </c>
    </row>
    <row r="153" ht="15.75" customHeight="1">
      <c r="A153" s="6" t="s">
        <v>521</v>
      </c>
      <c r="B153" s="6" t="s">
        <v>1809</v>
      </c>
      <c r="C153" s="6" t="s">
        <v>1810</v>
      </c>
      <c r="D153" s="6" t="s">
        <v>482</v>
      </c>
      <c r="E153" s="6" t="s">
        <v>429</v>
      </c>
      <c r="F153" s="6" t="s">
        <v>30</v>
      </c>
      <c r="G153" s="6" t="s">
        <v>224</v>
      </c>
    </row>
    <row r="154" ht="15.75" customHeight="1">
      <c r="A154" s="6" t="s">
        <v>521</v>
      </c>
      <c r="B154" s="6" t="s">
        <v>1809</v>
      </c>
      <c r="C154" s="6" t="s">
        <v>1810</v>
      </c>
      <c r="D154" s="6" t="s">
        <v>482</v>
      </c>
      <c r="E154" s="6" t="s">
        <v>429</v>
      </c>
      <c r="F154" s="6" t="s">
        <v>30</v>
      </c>
      <c r="G154" s="6" t="s">
        <v>524</v>
      </c>
    </row>
    <row r="155" ht="15.75" customHeight="1">
      <c r="A155" s="6" t="s">
        <v>521</v>
      </c>
      <c r="B155" s="6" t="s">
        <v>1809</v>
      </c>
      <c r="C155" s="6" t="s">
        <v>1810</v>
      </c>
      <c r="D155" s="6" t="s">
        <v>588</v>
      </c>
      <c r="E155" s="6" t="s">
        <v>429</v>
      </c>
      <c r="F155" s="6" t="s">
        <v>30</v>
      </c>
      <c r="G155" s="6" t="s">
        <v>714</v>
      </c>
    </row>
    <row r="156" ht="15.75" customHeight="1">
      <c r="A156" s="6" t="s">
        <v>521</v>
      </c>
      <c r="B156" s="6" t="s">
        <v>1809</v>
      </c>
      <c r="C156" s="6" t="s">
        <v>1810</v>
      </c>
      <c r="D156" s="6" t="s">
        <v>588</v>
      </c>
      <c r="E156" s="6" t="s">
        <v>429</v>
      </c>
      <c r="F156" s="6" t="s">
        <v>30</v>
      </c>
      <c r="G156" s="6" t="s">
        <v>714</v>
      </c>
    </row>
    <row r="157" ht="15.75" customHeight="1">
      <c r="A157" s="6" t="s">
        <v>521</v>
      </c>
      <c r="B157" s="6" t="s">
        <v>1809</v>
      </c>
      <c r="C157" s="6" t="s">
        <v>1810</v>
      </c>
      <c r="D157" s="6" t="s">
        <v>445</v>
      </c>
      <c r="E157" s="6" t="s">
        <v>429</v>
      </c>
      <c r="F157" s="6" t="s">
        <v>30</v>
      </c>
      <c r="G157" s="6" t="s">
        <v>714</v>
      </c>
    </row>
    <row r="158" ht="15.75" customHeight="1">
      <c r="A158" s="6" t="s">
        <v>521</v>
      </c>
      <c r="B158" s="6" t="s">
        <v>1809</v>
      </c>
      <c r="C158" s="6" t="s">
        <v>1810</v>
      </c>
      <c r="D158" s="6" t="s">
        <v>608</v>
      </c>
      <c r="E158" s="6" t="s">
        <v>429</v>
      </c>
      <c r="F158" s="6" t="s">
        <v>30</v>
      </c>
      <c r="G158" s="6" t="s">
        <v>430</v>
      </c>
    </row>
    <row r="159" ht="15.75" customHeight="1">
      <c r="A159" s="6" t="s">
        <v>521</v>
      </c>
      <c r="B159" s="6" t="s">
        <v>1809</v>
      </c>
      <c r="C159" s="6" t="s">
        <v>1810</v>
      </c>
      <c r="D159" s="6" t="s">
        <v>565</v>
      </c>
      <c r="E159" s="6" t="s">
        <v>429</v>
      </c>
      <c r="F159" s="6" t="s">
        <v>30</v>
      </c>
      <c r="G159" s="6" t="s">
        <v>459</v>
      </c>
    </row>
    <row r="160" ht="15.75" customHeight="1">
      <c r="A160" s="6" t="s">
        <v>521</v>
      </c>
      <c r="B160" s="6" t="s">
        <v>1809</v>
      </c>
      <c r="C160" s="6" t="s">
        <v>1810</v>
      </c>
      <c r="D160" s="6" t="s">
        <v>469</v>
      </c>
      <c r="E160" s="6" t="s">
        <v>429</v>
      </c>
      <c r="F160" s="6" t="s">
        <v>30</v>
      </c>
      <c r="G160" s="6" t="s">
        <v>438</v>
      </c>
    </row>
    <row r="161" ht="15.75" customHeight="1">
      <c r="A161" s="6" t="s">
        <v>521</v>
      </c>
      <c r="B161" s="6" t="s">
        <v>1809</v>
      </c>
      <c r="C161" s="6" t="s">
        <v>1810</v>
      </c>
      <c r="D161" s="6" t="s">
        <v>445</v>
      </c>
      <c r="E161" s="6" t="s">
        <v>429</v>
      </c>
      <c r="F161" s="6" t="s">
        <v>30</v>
      </c>
      <c r="G161" s="6" t="s">
        <v>592</v>
      </c>
    </row>
    <row r="162" ht="15.75" customHeight="1">
      <c r="A162" s="6" t="s">
        <v>521</v>
      </c>
      <c r="B162" s="6" t="s">
        <v>1809</v>
      </c>
      <c r="C162" s="6" t="s">
        <v>1810</v>
      </c>
      <c r="D162" s="6" t="s">
        <v>428</v>
      </c>
      <c r="E162" s="6" t="s">
        <v>429</v>
      </c>
      <c r="F162" s="6" t="s">
        <v>30</v>
      </c>
      <c r="G162" s="6" t="s">
        <v>282</v>
      </c>
    </row>
    <row r="163" ht="15.75" customHeight="1">
      <c r="A163" s="6" t="s">
        <v>521</v>
      </c>
      <c r="B163" s="6" t="s">
        <v>1809</v>
      </c>
      <c r="C163" s="6" t="s">
        <v>1810</v>
      </c>
      <c r="D163" s="6" t="s">
        <v>639</v>
      </c>
      <c r="E163" s="6" t="s">
        <v>429</v>
      </c>
      <c r="F163" s="6" t="s">
        <v>30</v>
      </c>
      <c r="G163" s="6" t="s">
        <v>592</v>
      </c>
    </row>
    <row r="164" ht="15.75" customHeight="1">
      <c r="A164" s="6" t="s">
        <v>521</v>
      </c>
      <c r="B164" s="6" t="s">
        <v>1809</v>
      </c>
      <c r="C164" s="6" t="s">
        <v>1810</v>
      </c>
      <c r="D164" s="6" t="s">
        <v>596</v>
      </c>
      <c r="E164" s="6" t="s">
        <v>429</v>
      </c>
      <c r="F164" s="6" t="s">
        <v>30</v>
      </c>
      <c r="G164" s="6" t="s">
        <v>592</v>
      </c>
    </row>
    <row r="165" ht="15.75" customHeight="1">
      <c r="A165" s="6" t="s">
        <v>521</v>
      </c>
      <c r="B165" s="6" t="s">
        <v>1809</v>
      </c>
      <c r="C165" s="6" t="s">
        <v>1810</v>
      </c>
      <c r="D165" s="6" t="s">
        <v>445</v>
      </c>
      <c r="E165" s="6" t="s">
        <v>429</v>
      </c>
      <c r="F165" s="6" t="s">
        <v>30</v>
      </c>
      <c r="G165" s="6" t="s">
        <v>430</v>
      </c>
    </row>
    <row r="166" ht="15.75" customHeight="1">
      <c r="A166" s="6" t="s">
        <v>521</v>
      </c>
      <c r="B166" s="6" t="s">
        <v>1809</v>
      </c>
      <c r="C166" s="6" t="s">
        <v>1810</v>
      </c>
      <c r="D166" s="6" t="s">
        <v>482</v>
      </c>
      <c r="E166" s="6" t="s">
        <v>429</v>
      </c>
      <c r="F166" s="6" t="s">
        <v>30</v>
      </c>
      <c r="G166" s="6" t="s">
        <v>438</v>
      </c>
    </row>
    <row r="167" ht="15.75" customHeight="1">
      <c r="A167" s="6" t="s">
        <v>521</v>
      </c>
      <c r="B167" s="6" t="s">
        <v>1809</v>
      </c>
      <c r="C167" s="6" t="s">
        <v>1810</v>
      </c>
      <c r="D167" s="6" t="s">
        <v>428</v>
      </c>
      <c r="E167" s="6" t="s">
        <v>429</v>
      </c>
      <c r="F167" s="6" t="s">
        <v>30</v>
      </c>
      <c r="G167" s="6" t="s">
        <v>714</v>
      </c>
    </row>
    <row r="168" ht="15.75" customHeight="1">
      <c r="A168" s="6" t="s">
        <v>521</v>
      </c>
      <c r="B168" s="6" t="s">
        <v>1809</v>
      </c>
      <c r="C168" s="6" t="s">
        <v>1810</v>
      </c>
      <c r="D168" s="6" t="s">
        <v>445</v>
      </c>
      <c r="E168" s="6" t="s">
        <v>678</v>
      </c>
      <c r="F168" s="6" t="s">
        <v>373</v>
      </c>
      <c r="G168" s="6" t="s">
        <v>714</v>
      </c>
    </row>
    <row r="169" ht="15.75" customHeight="1">
      <c r="A169" s="6" t="s">
        <v>521</v>
      </c>
      <c r="B169" s="6" t="s">
        <v>1809</v>
      </c>
      <c r="C169" s="6" t="s">
        <v>1810</v>
      </c>
      <c r="D169" s="6" t="s">
        <v>445</v>
      </c>
      <c r="E169" s="6" t="s">
        <v>429</v>
      </c>
      <c r="F169" s="6" t="s">
        <v>30</v>
      </c>
      <c r="G169" s="6" t="s">
        <v>714</v>
      </c>
    </row>
    <row r="170" ht="15.75" customHeight="1">
      <c r="A170" s="6" t="s">
        <v>521</v>
      </c>
      <c r="B170" s="6" t="s">
        <v>1809</v>
      </c>
      <c r="C170" s="6" t="s">
        <v>1810</v>
      </c>
      <c r="D170" s="6" t="s">
        <v>576</v>
      </c>
      <c r="E170" s="6" t="s">
        <v>429</v>
      </c>
      <c r="F170" s="6" t="s">
        <v>30</v>
      </c>
      <c r="G170" s="6" t="s">
        <v>224</v>
      </c>
    </row>
    <row r="171" ht="15.75" customHeight="1">
      <c r="A171" s="6" t="s">
        <v>521</v>
      </c>
      <c r="B171" s="6" t="s">
        <v>1809</v>
      </c>
      <c r="C171" s="6" t="s">
        <v>1810</v>
      </c>
      <c r="D171" s="6" t="s">
        <v>996</v>
      </c>
      <c r="E171" s="6" t="s">
        <v>429</v>
      </c>
      <c r="F171" s="6" t="s">
        <v>30</v>
      </c>
      <c r="G171" s="6" t="s">
        <v>136</v>
      </c>
    </row>
    <row r="172" ht="15.75" customHeight="1">
      <c r="A172" s="6" t="s">
        <v>521</v>
      </c>
      <c r="B172" s="6" t="s">
        <v>1809</v>
      </c>
      <c r="C172" s="6" t="s">
        <v>1810</v>
      </c>
      <c r="D172" s="6" t="s">
        <v>428</v>
      </c>
      <c r="E172" s="6" t="s">
        <v>429</v>
      </c>
      <c r="F172" s="6" t="s">
        <v>30</v>
      </c>
      <c r="G172" s="6" t="s">
        <v>714</v>
      </c>
    </row>
    <row r="173" ht="15.75" customHeight="1">
      <c r="A173" s="6" t="s">
        <v>521</v>
      </c>
      <c r="B173" s="6" t="s">
        <v>1809</v>
      </c>
      <c r="C173" s="6" t="s">
        <v>1810</v>
      </c>
      <c r="D173" s="6" t="s">
        <v>616</v>
      </c>
      <c r="E173" s="6" t="s">
        <v>429</v>
      </c>
      <c r="F173" s="6" t="s">
        <v>30</v>
      </c>
      <c r="G173" s="6" t="s">
        <v>714</v>
      </c>
    </row>
    <row r="174" ht="15.75" customHeight="1">
      <c r="A174" s="6" t="s">
        <v>521</v>
      </c>
      <c r="B174" s="6" t="s">
        <v>1809</v>
      </c>
      <c r="C174" s="6" t="s">
        <v>1810</v>
      </c>
      <c r="D174" s="6" t="s">
        <v>616</v>
      </c>
      <c r="E174" s="6" t="s">
        <v>429</v>
      </c>
      <c r="F174" s="6" t="s">
        <v>30</v>
      </c>
      <c r="G174" s="6" t="s">
        <v>714</v>
      </c>
    </row>
    <row r="175" ht="15.75" customHeight="1">
      <c r="A175" s="6" t="s">
        <v>521</v>
      </c>
      <c r="B175" s="6" t="s">
        <v>1809</v>
      </c>
      <c r="C175" s="6" t="s">
        <v>1810</v>
      </c>
      <c r="D175" s="6" t="s">
        <v>539</v>
      </c>
      <c r="E175" s="6" t="s">
        <v>429</v>
      </c>
      <c r="F175" s="6" t="s">
        <v>30</v>
      </c>
      <c r="G175" s="6" t="s">
        <v>282</v>
      </c>
    </row>
    <row r="176" ht="15.75" customHeight="1">
      <c r="A176" s="6" t="s">
        <v>521</v>
      </c>
      <c r="B176" s="6" t="s">
        <v>1809</v>
      </c>
      <c r="C176" s="6" t="s">
        <v>1810</v>
      </c>
      <c r="D176" s="6" t="s">
        <v>565</v>
      </c>
      <c r="E176" s="6" t="s">
        <v>429</v>
      </c>
      <c r="F176" s="6" t="s">
        <v>30</v>
      </c>
      <c r="G176" s="6" t="s">
        <v>714</v>
      </c>
    </row>
    <row r="177" ht="15.75" customHeight="1">
      <c r="A177" s="6" t="s">
        <v>521</v>
      </c>
      <c r="B177" s="6" t="s">
        <v>1809</v>
      </c>
      <c r="C177" s="6" t="s">
        <v>1810</v>
      </c>
      <c r="D177" s="6" t="s">
        <v>576</v>
      </c>
      <c r="E177" s="6" t="s">
        <v>429</v>
      </c>
      <c r="F177" s="6" t="s">
        <v>30</v>
      </c>
      <c r="G177" s="6" t="s">
        <v>438</v>
      </c>
    </row>
    <row r="178" ht="15.75" customHeight="1">
      <c r="A178" s="6" t="s">
        <v>521</v>
      </c>
      <c r="B178" s="6" t="s">
        <v>1809</v>
      </c>
      <c r="C178" s="6" t="s">
        <v>1810</v>
      </c>
      <c r="D178" s="6" t="s">
        <v>576</v>
      </c>
      <c r="E178" s="6" t="s">
        <v>429</v>
      </c>
      <c r="F178" s="6" t="s">
        <v>30</v>
      </c>
      <c r="G178" s="6" t="s">
        <v>438</v>
      </c>
    </row>
    <row r="179" ht="15.75" customHeight="1">
      <c r="A179" s="6" t="s">
        <v>521</v>
      </c>
      <c r="B179" s="6" t="s">
        <v>1809</v>
      </c>
      <c r="C179" s="6" t="s">
        <v>1810</v>
      </c>
      <c r="D179" s="6" t="s">
        <v>608</v>
      </c>
      <c r="E179" s="6" t="s">
        <v>429</v>
      </c>
      <c r="F179" s="6" t="s">
        <v>30</v>
      </c>
      <c r="G179" s="6" t="s">
        <v>714</v>
      </c>
    </row>
    <row r="180" ht="15.75" customHeight="1">
      <c r="A180" s="6" t="s">
        <v>521</v>
      </c>
      <c r="B180" s="6" t="s">
        <v>1809</v>
      </c>
      <c r="C180" s="6" t="s">
        <v>1810</v>
      </c>
      <c r="D180" s="6" t="s">
        <v>539</v>
      </c>
      <c r="E180" s="6" t="s">
        <v>429</v>
      </c>
      <c r="F180" s="6" t="s">
        <v>30</v>
      </c>
      <c r="G180" s="6" t="s">
        <v>430</v>
      </c>
    </row>
    <row r="181" ht="15.75" customHeight="1">
      <c r="A181" s="6" t="s">
        <v>521</v>
      </c>
      <c r="B181" s="6" t="s">
        <v>1809</v>
      </c>
      <c r="C181" s="6" t="s">
        <v>1810</v>
      </c>
      <c r="D181" s="6" t="s">
        <v>616</v>
      </c>
      <c r="E181" s="6" t="s">
        <v>429</v>
      </c>
      <c r="F181" s="6" t="s">
        <v>30</v>
      </c>
      <c r="G181" s="6" t="s">
        <v>714</v>
      </c>
    </row>
    <row r="182" ht="15.75" customHeight="1">
      <c r="A182" s="6" t="s">
        <v>521</v>
      </c>
      <c r="B182" s="6" t="s">
        <v>1809</v>
      </c>
      <c r="C182" s="6" t="s">
        <v>1810</v>
      </c>
      <c r="D182" s="6" t="s">
        <v>565</v>
      </c>
      <c r="E182" s="6" t="s">
        <v>429</v>
      </c>
      <c r="F182" s="6" t="s">
        <v>30</v>
      </c>
      <c r="G182" s="6" t="s">
        <v>714</v>
      </c>
    </row>
    <row r="183" ht="15.75" customHeight="1">
      <c r="A183" s="6" t="s">
        <v>521</v>
      </c>
      <c r="B183" s="6" t="s">
        <v>1809</v>
      </c>
      <c r="C183" s="6" t="s">
        <v>1810</v>
      </c>
      <c r="D183" s="6" t="s">
        <v>482</v>
      </c>
      <c r="E183" s="6" t="s">
        <v>553</v>
      </c>
      <c r="F183" s="6" t="s">
        <v>373</v>
      </c>
      <c r="G183" s="6" t="s">
        <v>438</v>
      </c>
    </row>
    <row r="184" ht="15.75" customHeight="1">
      <c r="A184" s="6" t="s">
        <v>521</v>
      </c>
      <c r="B184" s="6" t="s">
        <v>1809</v>
      </c>
      <c r="C184" s="6" t="s">
        <v>1810</v>
      </c>
      <c r="D184" s="6" t="s">
        <v>639</v>
      </c>
      <c r="E184" s="6" t="s">
        <v>429</v>
      </c>
      <c r="F184" s="6" t="s">
        <v>30</v>
      </c>
      <c r="G184" s="6" t="s">
        <v>524</v>
      </c>
    </row>
    <row r="185" ht="15.75" customHeight="1">
      <c r="A185" s="6" t="s">
        <v>521</v>
      </c>
      <c r="B185" s="6" t="s">
        <v>1809</v>
      </c>
      <c r="C185" s="6" t="s">
        <v>1810</v>
      </c>
      <c r="D185" s="6" t="s">
        <v>616</v>
      </c>
      <c r="E185" s="6" t="s">
        <v>429</v>
      </c>
      <c r="F185" s="6" t="s">
        <v>373</v>
      </c>
      <c r="G185" s="6" t="s">
        <v>714</v>
      </c>
    </row>
    <row r="186" ht="15.75" customHeight="1">
      <c r="A186" s="6" t="s">
        <v>521</v>
      </c>
      <c r="B186" s="6" t="s">
        <v>1809</v>
      </c>
      <c r="C186" s="6" t="s">
        <v>1810</v>
      </c>
      <c r="D186" s="6" t="s">
        <v>428</v>
      </c>
      <c r="E186" s="6" t="s">
        <v>429</v>
      </c>
      <c r="F186" s="6" t="s">
        <v>30</v>
      </c>
      <c r="G186" s="6" t="s">
        <v>714</v>
      </c>
    </row>
    <row r="187" ht="15.75" customHeight="1">
      <c r="A187" s="6" t="s">
        <v>521</v>
      </c>
      <c r="B187" s="6" t="s">
        <v>1809</v>
      </c>
      <c r="C187" s="6" t="s">
        <v>1810</v>
      </c>
      <c r="D187" s="6" t="s">
        <v>501</v>
      </c>
      <c r="E187" s="6" t="s">
        <v>429</v>
      </c>
      <c r="F187" s="6" t="s">
        <v>30</v>
      </c>
      <c r="G187" s="6" t="s">
        <v>459</v>
      </c>
    </row>
    <row r="188" ht="15.75" customHeight="1">
      <c r="A188" s="6" t="s">
        <v>521</v>
      </c>
      <c r="B188" s="6" t="s">
        <v>1809</v>
      </c>
      <c r="C188" s="6" t="s">
        <v>1810</v>
      </c>
      <c r="D188" s="6" t="s">
        <v>591</v>
      </c>
      <c r="E188" s="6" t="s">
        <v>429</v>
      </c>
      <c r="F188" s="6" t="s">
        <v>373</v>
      </c>
      <c r="G188" s="6" t="s">
        <v>438</v>
      </c>
    </row>
    <row r="189" ht="15.75" customHeight="1">
      <c r="A189" s="6" t="s">
        <v>521</v>
      </c>
      <c r="B189" s="6" t="s">
        <v>1809</v>
      </c>
      <c r="C189" s="6" t="s">
        <v>1810</v>
      </c>
      <c r="D189" s="6" t="s">
        <v>565</v>
      </c>
      <c r="E189" s="6" t="s">
        <v>429</v>
      </c>
      <c r="F189" s="6" t="s">
        <v>30</v>
      </c>
      <c r="G189" s="6" t="s">
        <v>282</v>
      </c>
    </row>
    <row r="190" ht="15.75" customHeight="1">
      <c r="A190" s="6" t="s">
        <v>521</v>
      </c>
      <c r="B190" s="6" t="s">
        <v>1822</v>
      </c>
      <c r="C190" s="6" t="s">
        <v>1810</v>
      </c>
      <c r="D190" s="6" t="s">
        <v>565</v>
      </c>
      <c r="E190" s="6" t="s">
        <v>44</v>
      </c>
      <c r="F190" s="6" t="s">
        <v>30</v>
      </c>
      <c r="G190" s="6" t="s">
        <v>1113</v>
      </c>
    </row>
    <row r="191" ht="15.75" customHeight="1">
      <c r="A191" s="6" t="s">
        <v>613</v>
      </c>
      <c r="B191" s="6" t="s">
        <v>1809</v>
      </c>
      <c r="C191" s="6" t="s">
        <v>1810</v>
      </c>
      <c r="D191" s="6" t="s">
        <v>596</v>
      </c>
      <c r="E191" s="6" t="s">
        <v>331</v>
      </c>
      <c r="F191" s="6" t="s">
        <v>59</v>
      </c>
      <c r="G191" s="6" t="s">
        <v>438</v>
      </c>
    </row>
    <row r="192" ht="15.75" customHeight="1">
      <c r="A192" s="6" t="s">
        <v>613</v>
      </c>
      <c r="B192" s="6" t="s">
        <v>1809</v>
      </c>
      <c r="C192" s="6" t="s">
        <v>1810</v>
      </c>
      <c r="D192" s="6" t="s">
        <v>996</v>
      </c>
      <c r="E192" s="6" t="s">
        <v>1114</v>
      </c>
      <c r="F192" s="6" t="s">
        <v>59</v>
      </c>
      <c r="G192" s="6" t="s">
        <v>136</v>
      </c>
    </row>
    <row r="193" ht="15.75" customHeight="1">
      <c r="A193" s="6" t="s">
        <v>613</v>
      </c>
      <c r="B193" s="6" t="s">
        <v>1809</v>
      </c>
      <c r="C193" s="6" t="s">
        <v>1810</v>
      </c>
      <c r="D193" s="6" t="s">
        <v>501</v>
      </c>
      <c r="E193" s="6" t="s">
        <v>299</v>
      </c>
      <c r="F193" s="6" t="s">
        <v>59</v>
      </c>
      <c r="G193" s="6" t="s">
        <v>438</v>
      </c>
    </row>
    <row r="194" ht="15.75" customHeight="1">
      <c r="A194" s="6" t="s">
        <v>613</v>
      </c>
      <c r="B194" s="6" t="s">
        <v>1809</v>
      </c>
      <c r="C194" s="6" t="s">
        <v>1810</v>
      </c>
      <c r="D194" s="6" t="s">
        <v>596</v>
      </c>
      <c r="E194" s="6" t="s">
        <v>1116</v>
      </c>
      <c r="F194" s="6" t="s">
        <v>59</v>
      </c>
      <c r="G194" s="6" t="s">
        <v>438</v>
      </c>
    </row>
    <row r="195" ht="15.75" customHeight="1">
      <c r="A195" s="6" t="s">
        <v>613</v>
      </c>
      <c r="B195" s="6" t="s">
        <v>1809</v>
      </c>
      <c r="C195" s="6" t="s">
        <v>1810</v>
      </c>
      <c r="D195" s="6" t="s">
        <v>501</v>
      </c>
      <c r="E195" s="6" t="s">
        <v>821</v>
      </c>
      <c r="F195" s="6" t="s">
        <v>59</v>
      </c>
      <c r="G195" s="6" t="s">
        <v>459</v>
      </c>
    </row>
    <row r="196" ht="15.75" customHeight="1">
      <c r="A196" s="6" t="s">
        <v>613</v>
      </c>
      <c r="B196" s="6" t="s">
        <v>1809</v>
      </c>
      <c r="C196" s="6" t="s">
        <v>1810</v>
      </c>
      <c r="D196" s="6" t="s">
        <v>457</v>
      </c>
      <c r="E196" s="6" t="s">
        <v>731</v>
      </c>
      <c r="F196" s="6" t="s">
        <v>59</v>
      </c>
      <c r="G196" s="6" t="s">
        <v>438</v>
      </c>
    </row>
    <row r="197" ht="15.75" customHeight="1">
      <c r="A197" s="6" t="s">
        <v>613</v>
      </c>
      <c r="B197" s="6" t="s">
        <v>1809</v>
      </c>
      <c r="C197" s="6" t="s">
        <v>1810</v>
      </c>
      <c r="D197" s="6" t="s">
        <v>482</v>
      </c>
      <c r="E197" s="6" t="s">
        <v>1117</v>
      </c>
      <c r="F197" s="6" t="s">
        <v>59</v>
      </c>
      <c r="G197" s="6" t="s">
        <v>136</v>
      </c>
    </row>
    <row r="198" ht="15.75" customHeight="1">
      <c r="A198" s="6" t="s">
        <v>613</v>
      </c>
      <c r="B198" s="6" t="s">
        <v>1809</v>
      </c>
      <c r="C198" s="6" t="s">
        <v>1810</v>
      </c>
      <c r="D198" s="6" t="s">
        <v>596</v>
      </c>
      <c r="E198" s="6" t="s">
        <v>731</v>
      </c>
      <c r="F198" s="6" t="s">
        <v>59</v>
      </c>
      <c r="G198" s="6" t="s">
        <v>438</v>
      </c>
    </row>
    <row r="199" ht="15.75" customHeight="1">
      <c r="A199" s="6" t="s">
        <v>613</v>
      </c>
      <c r="B199" s="6" t="s">
        <v>1809</v>
      </c>
      <c r="C199" s="6" t="s">
        <v>1810</v>
      </c>
      <c r="D199" s="6" t="s">
        <v>596</v>
      </c>
      <c r="E199" s="6" t="s">
        <v>401</v>
      </c>
      <c r="F199" s="6" t="s">
        <v>373</v>
      </c>
      <c r="G199" s="6" t="s">
        <v>508</v>
      </c>
    </row>
    <row r="200" ht="15.75" customHeight="1">
      <c r="A200" s="6" t="s">
        <v>613</v>
      </c>
      <c r="B200" s="6" t="s">
        <v>1809</v>
      </c>
      <c r="C200" s="6" t="s">
        <v>1810</v>
      </c>
      <c r="D200" s="6" t="s">
        <v>445</v>
      </c>
      <c r="E200" s="6" t="s">
        <v>365</v>
      </c>
      <c r="F200" s="6" t="s">
        <v>59</v>
      </c>
      <c r="G200" s="6" t="s">
        <v>438</v>
      </c>
    </row>
    <row r="201" ht="15.75" customHeight="1">
      <c r="A201" s="6" t="s">
        <v>613</v>
      </c>
      <c r="B201" s="6" t="s">
        <v>1809</v>
      </c>
      <c r="C201" s="6" t="s">
        <v>1810</v>
      </c>
      <c r="D201" s="6" t="s">
        <v>588</v>
      </c>
      <c r="E201" s="6" t="s">
        <v>821</v>
      </c>
      <c r="F201" s="6" t="s">
        <v>59</v>
      </c>
      <c r="G201" s="6" t="s">
        <v>282</v>
      </c>
    </row>
    <row r="202" ht="15.75" customHeight="1">
      <c r="A202" s="6" t="s">
        <v>613</v>
      </c>
      <c r="B202" s="6" t="s">
        <v>1809</v>
      </c>
      <c r="C202" s="6" t="s">
        <v>1810</v>
      </c>
      <c r="D202" s="6" t="s">
        <v>639</v>
      </c>
      <c r="E202" s="6" t="s">
        <v>499</v>
      </c>
      <c r="F202" s="6" t="s">
        <v>59</v>
      </c>
      <c r="G202" s="6" t="s">
        <v>524</v>
      </c>
    </row>
    <row r="203" ht="15.75" customHeight="1">
      <c r="A203" s="6" t="s">
        <v>613</v>
      </c>
      <c r="B203" s="6" t="s">
        <v>1809</v>
      </c>
      <c r="C203" s="6" t="s">
        <v>1810</v>
      </c>
      <c r="D203" s="6" t="s">
        <v>457</v>
      </c>
      <c r="E203" s="6" t="s">
        <v>731</v>
      </c>
      <c r="F203" s="6" t="s">
        <v>30</v>
      </c>
      <c r="G203" s="6" t="s">
        <v>438</v>
      </c>
    </row>
    <row r="204" ht="15.75" customHeight="1">
      <c r="A204" s="6" t="s">
        <v>613</v>
      </c>
      <c r="B204" s="6" t="s">
        <v>1809</v>
      </c>
      <c r="C204" s="6" t="s">
        <v>1810</v>
      </c>
      <c r="D204" s="6" t="s">
        <v>973</v>
      </c>
      <c r="E204" s="6" t="s">
        <v>299</v>
      </c>
      <c r="F204" s="6" t="s">
        <v>30</v>
      </c>
      <c r="G204" s="6" t="s">
        <v>430</v>
      </c>
    </row>
    <row r="205" ht="15.75" customHeight="1">
      <c r="A205" s="6" t="s">
        <v>613</v>
      </c>
      <c r="B205" s="6" t="s">
        <v>1809</v>
      </c>
      <c r="C205" s="6" t="s">
        <v>1810</v>
      </c>
      <c r="D205" s="6" t="s">
        <v>435</v>
      </c>
      <c r="E205" s="6" t="s">
        <v>331</v>
      </c>
      <c r="F205" s="6" t="s">
        <v>59</v>
      </c>
      <c r="G205" s="6" t="s">
        <v>282</v>
      </c>
    </row>
    <row r="206" ht="15.75" customHeight="1">
      <c r="A206" s="6" t="s">
        <v>613</v>
      </c>
      <c r="B206" s="6" t="s">
        <v>1809</v>
      </c>
      <c r="C206" s="6" t="s">
        <v>1810</v>
      </c>
      <c r="D206" s="6" t="s">
        <v>588</v>
      </c>
      <c r="E206" s="6" t="s">
        <v>365</v>
      </c>
      <c r="F206" s="6" t="s">
        <v>59</v>
      </c>
      <c r="G206" s="6" t="s">
        <v>459</v>
      </c>
    </row>
    <row r="207" ht="15.75" customHeight="1">
      <c r="A207" s="6" t="s">
        <v>613</v>
      </c>
      <c r="B207" s="6" t="s">
        <v>1809</v>
      </c>
      <c r="C207" s="6" t="s">
        <v>1810</v>
      </c>
      <c r="D207" s="6" t="s">
        <v>596</v>
      </c>
      <c r="E207" s="6" t="s">
        <v>499</v>
      </c>
      <c r="F207" s="6" t="s">
        <v>59</v>
      </c>
      <c r="G207" s="6" t="s">
        <v>438</v>
      </c>
    </row>
    <row r="208" ht="15.75" customHeight="1">
      <c r="A208" s="6" t="s">
        <v>613</v>
      </c>
      <c r="B208" s="6" t="s">
        <v>1809</v>
      </c>
      <c r="C208" s="6" t="s">
        <v>1810</v>
      </c>
      <c r="D208" s="6" t="s">
        <v>616</v>
      </c>
      <c r="E208" s="6" t="s">
        <v>821</v>
      </c>
      <c r="F208" s="6" t="s">
        <v>59</v>
      </c>
      <c r="G208" s="6" t="s">
        <v>438</v>
      </c>
    </row>
    <row r="209" ht="15.75" customHeight="1">
      <c r="A209" s="6" t="s">
        <v>613</v>
      </c>
      <c r="B209" s="6" t="s">
        <v>1809</v>
      </c>
      <c r="C209" s="6" t="s">
        <v>1810</v>
      </c>
      <c r="D209" s="6" t="s">
        <v>501</v>
      </c>
      <c r="E209" s="6" t="s">
        <v>854</v>
      </c>
      <c r="F209" s="6" t="s">
        <v>373</v>
      </c>
      <c r="G209" s="6" t="s">
        <v>438</v>
      </c>
    </row>
    <row r="210" ht="15.75" customHeight="1">
      <c r="A210" s="6" t="s">
        <v>613</v>
      </c>
      <c r="B210" s="6" t="s">
        <v>1809</v>
      </c>
      <c r="C210" s="6" t="s">
        <v>1810</v>
      </c>
      <c r="D210" s="6" t="s">
        <v>596</v>
      </c>
      <c r="E210" s="6" t="s">
        <v>299</v>
      </c>
      <c r="F210" s="6" t="s">
        <v>59</v>
      </c>
      <c r="G210" s="6" t="s">
        <v>541</v>
      </c>
    </row>
    <row r="211" ht="15.75" customHeight="1">
      <c r="A211" s="6" t="s">
        <v>613</v>
      </c>
      <c r="B211" s="6" t="s">
        <v>1809</v>
      </c>
      <c r="C211" s="6" t="s">
        <v>1810</v>
      </c>
      <c r="D211" s="6" t="s">
        <v>482</v>
      </c>
      <c r="E211" s="6" t="s">
        <v>526</v>
      </c>
      <c r="F211" s="6" t="s">
        <v>59</v>
      </c>
      <c r="G211" s="6" t="s">
        <v>438</v>
      </c>
    </row>
    <row r="212" ht="15.75" customHeight="1">
      <c r="A212" s="6" t="s">
        <v>613</v>
      </c>
      <c r="B212" s="6" t="s">
        <v>1809</v>
      </c>
      <c r="C212" s="6" t="s">
        <v>1810</v>
      </c>
      <c r="D212" s="6" t="s">
        <v>596</v>
      </c>
      <c r="E212" s="6" t="s">
        <v>925</v>
      </c>
      <c r="F212" s="6" t="s">
        <v>59</v>
      </c>
      <c r="G212" s="6" t="s">
        <v>430</v>
      </c>
    </row>
    <row r="213" ht="15.75" customHeight="1">
      <c r="A213" s="6" t="s">
        <v>613</v>
      </c>
      <c r="B213" s="6" t="s">
        <v>1809</v>
      </c>
      <c r="C213" s="6" t="s">
        <v>1810</v>
      </c>
      <c r="D213" s="6" t="s">
        <v>596</v>
      </c>
      <c r="E213" s="6" t="s">
        <v>731</v>
      </c>
      <c r="F213" s="6" t="s">
        <v>59</v>
      </c>
      <c r="G213" s="6" t="s">
        <v>430</v>
      </c>
    </row>
    <row r="214" ht="15.75" customHeight="1">
      <c r="A214" s="6" t="s">
        <v>613</v>
      </c>
      <c r="B214" s="6" t="s">
        <v>1809</v>
      </c>
      <c r="C214" s="6" t="s">
        <v>1810</v>
      </c>
      <c r="D214" s="6" t="s">
        <v>482</v>
      </c>
      <c r="E214" s="6" t="s">
        <v>401</v>
      </c>
      <c r="F214" s="6" t="s">
        <v>59</v>
      </c>
      <c r="G214" s="6" t="s">
        <v>438</v>
      </c>
    </row>
    <row r="215" ht="15.75" customHeight="1">
      <c r="A215" s="6" t="s">
        <v>613</v>
      </c>
      <c r="B215" s="6" t="s">
        <v>1809</v>
      </c>
      <c r="C215" s="6" t="s">
        <v>1810</v>
      </c>
      <c r="D215" s="6" t="s">
        <v>457</v>
      </c>
      <c r="E215" s="6" t="s">
        <v>1117</v>
      </c>
      <c r="F215" s="6" t="s">
        <v>59</v>
      </c>
      <c r="G215" s="6" t="s">
        <v>438</v>
      </c>
    </row>
    <row r="216" ht="15.75" customHeight="1">
      <c r="A216" s="6" t="s">
        <v>613</v>
      </c>
      <c r="B216" s="6" t="s">
        <v>1809</v>
      </c>
      <c r="C216" s="6" t="s">
        <v>1810</v>
      </c>
      <c r="D216" s="6" t="s">
        <v>973</v>
      </c>
      <c r="E216" s="6" t="s">
        <v>499</v>
      </c>
      <c r="F216" s="6" t="s">
        <v>59</v>
      </c>
      <c r="G216" s="6" t="s">
        <v>430</v>
      </c>
    </row>
    <row r="217" ht="15.75" customHeight="1">
      <c r="A217" s="6" t="s">
        <v>613</v>
      </c>
      <c r="B217" s="6" t="s">
        <v>1809</v>
      </c>
      <c r="C217" s="6" t="s">
        <v>1810</v>
      </c>
      <c r="D217" s="6" t="s">
        <v>639</v>
      </c>
      <c r="E217" s="6" t="s">
        <v>731</v>
      </c>
      <c r="F217" s="6" t="s">
        <v>59</v>
      </c>
      <c r="G217" s="6" t="s">
        <v>524</v>
      </c>
    </row>
    <row r="218" ht="15.75" customHeight="1">
      <c r="A218" s="6" t="s">
        <v>613</v>
      </c>
      <c r="B218" s="6" t="s">
        <v>1809</v>
      </c>
      <c r="C218" s="6" t="s">
        <v>1810</v>
      </c>
      <c r="D218" s="6" t="s">
        <v>565</v>
      </c>
      <c r="E218" s="6" t="s">
        <v>401</v>
      </c>
      <c r="F218" s="6" t="s">
        <v>373</v>
      </c>
      <c r="G218" s="6" t="s">
        <v>556</v>
      </c>
    </row>
    <row r="219" ht="15.75" customHeight="1">
      <c r="A219" s="6" t="s">
        <v>613</v>
      </c>
      <c r="B219" s="6" t="s">
        <v>1809</v>
      </c>
      <c r="C219" s="6" t="s">
        <v>1810</v>
      </c>
      <c r="D219" s="6" t="s">
        <v>588</v>
      </c>
      <c r="E219" s="6" t="s">
        <v>443</v>
      </c>
      <c r="F219" s="6" t="s">
        <v>59</v>
      </c>
      <c r="G219" s="6" t="s">
        <v>438</v>
      </c>
    </row>
    <row r="220" ht="15.75" customHeight="1">
      <c r="A220" s="6" t="s">
        <v>613</v>
      </c>
      <c r="B220" s="6" t="s">
        <v>1809</v>
      </c>
      <c r="C220" s="6" t="s">
        <v>1810</v>
      </c>
      <c r="D220" s="6" t="s">
        <v>596</v>
      </c>
      <c r="E220" s="6" t="s">
        <v>821</v>
      </c>
      <c r="F220" s="6" t="s">
        <v>59</v>
      </c>
      <c r="G220" s="6" t="s">
        <v>459</v>
      </c>
    </row>
    <row r="221" ht="15.75" customHeight="1">
      <c r="A221" s="6" t="s">
        <v>613</v>
      </c>
      <c r="B221" s="6" t="s">
        <v>1809</v>
      </c>
      <c r="C221" s="6" t="s">
        <v>1810</v>
      </c>
      <c r="D221" s="6" t="s">
        <v>616</v>
      </c>
      <c r="E221" s="6" t="s">
        <v>526</v>
      </c>
      <c r="F221" s="6" t="s">
        <v>59</v>
      </c>
      <c r="G221" s="6" t="s">
        <v>438</v>
      </c>
    </row>
    <row r="222" ht="15.75" customHeight="1">
      <c r="A222" s="6" t="s">
        <v>613</v>
      </c>
      <c r="B222" s="6" t="s">
        <v>1809</v>
      </c>
      <c r="C222" s="6" t="s">
        <v>1810</v>
      </c>
      <c r="D222" s="6" t="s">
        <v>591</v>
      </c>
      <c r="E222" s="6" t="s">
        <v>499</v>
      </c>
      <c r="F222" s="6" t="s">
        <v>59</v>
      </c>
      <c r="G222" s="6" t="s">
        <v>438</v>
      </c>
    </row>
    <row r="223" ht="15.75" customHeight="1">
      <c r="A223" s="6" t="s">
        <v>613</v>
      </c>
      <c r="B223" s="6" t="s">
        <v>1809</v>
      </c>
      <c r="C223" s="6" t="s">
        <v>1810</v>
      </c>
      <c r="D223" s="6" t="s">
        <v>576</v>
      </c>
      <c r="E223" s="6" t="s">
        <v>299</v>
      </c>
      <c r="F223" s="6" t="s">
        <v>59</v>
      </c>
      <c r="G223" s="6" t="s">
        <v>282</v>
      </c>
    </row>
    <row r="224" ht="15.75" customHeight="1">
      <c r="A224" s="6" t="s">
        <v>613</v>
      </c>
      <c r="B224" s="6" t="s">
        <v>1809</v>
      </c>
      <c r="C224" s="6" t="s">
        <v>1810</v>
      </c>
      <c r="D224" s="6" t="s">
        <v>591</v>
      </c>
      <c r="E224" s="6" t="s">
        <v>331</v>
      </c>
      <c r="F224" s="6" t="s">
        <v>59</v>
      </c>
      <c r="G224" s="6" t="s">
        <v>430</v>
      </c>
    </row>
    <row r="225" ht="15.75" customHeight="1">
      <c r="A225" s="6" t="s">
        <v>613</v>
      </c>
      <c r="B225" s="6" t="s">
        <v>1809</v>
      </c>
      <c r="C225" s="6" t="s">
        <v>1810</v>
      </c>
      <c r="D225" s="6" t="s">
        <v>435</v>
      </c>
      <c r="E225" s="6" t="s">
        <v>821</v>
      </c>
      <c r="F225" s="6" t="s">
        <v>59</v>
      </c>
      <c r="G225" s="6" t="s">
        <v>438</v>
      </c>
    </row>
    <row r="226" ht="15.75" customHeight="1">
      <c r="A226" s="6" t="s">
        <v>613</v>
      </c>
      <c r="B226" s="6" t="s">
        <v>1809</v>
      </c>
      <c r="C226" s="6" t="s">
        <v>1810</v>
      </c>
      <c r="D226" s="6" t="s">
        <v>616</v>
      </c>
      <c r="E226" s="6" t="s">
        <v>401</v>
      </c>
      <c r="F226" s="6" t="s">
        <v>59</v>
      </c>
      <c r="G226" s="6" t="s">
        <v>438</v>
      </c>
    </row>
    <row r="227" ht="15.75" customHeight="1">
      <c r="A227" s="6" t="s">
        <v>613</v>
      </c>
      <c r="B227" s="6" t="s">
        <v>1809</v>
      </c>
      <c r="C227" s="6" t="s">
        <v>1810</v>
      </c>
      <c r="D227" s="6" t="s">
        <v>1013</v>
      </c>
      <c r="E227" s="6" t="s">
        <v>361</v>
      </c>
      <c r="F227" s="6" t="s">
        <v>59</v>
      </c>
      <c r="G227" s="6" t="s">
        <v>240</v>
      </c>
    </row>
    <row r="228" ht="15.75" customHeight="1">
      <c r="A228" s="6" t="s">
        <v>613</v>
      </c>
      <c r="B228" s="6" t="s">
        <v>1809</v>
      </c>
      <c r="C228" s="6" t="s">
        <v>1810</v>
      </c>
      <c r="D228" s="6" t="s">
        <v>1013</v>
      </c>
      <c r="E228" s="6" t="s">
        <v>361</v>
      </c>
      <c r="F228" s="6" t="s">
        <v>59</v>
      </c>
      <c r="G228" s="6" t="s">
        <v>240</v>
      </c>
    </row>
    <row r="229" ht="15.75" customHeight="1">
      <c r="A229" s="6" t="s">
        <v>669</v>
      </c>
      <c r="B229" s="6" t="s">
        <v>1809</v>
      </c>
      <c r="C229" s="6" t="s">
        <v>1810</v>
      </c>
      <c r="D229" s="6" t="s">
        <v>700</v>
      </c>
      <c r="E229" s="6" t="s">
        <v>429</v>
      </c>
      <c r="F229" s="6" t="s">
        <v>59</v>
      </c>
      <c r="G229" s="6" t="s">
        <v>714</v>
      </c>
    </row>
    <row r="230" ht="15.75" customHeight="1">
      <c r="A230" s="6" t="s">
        <v>669</v>
      </c>
      <c r="B230" s="6" t="s">
        <v>1809</v>
      </c>
      <c r="C230" s="6" t="s">
        <v>1810</v>
      </c>
      <c r="D230" s="6" t="s">
        <v>1126</v>
      </c>
      <c r="E230" s="6" t="s">
        <v>553</v>
      </c>
      <c r="G230" s="6" t="s">
        <v>240</v>
      </c>
    </row>
    <row r="231" ht="15.75" customHeight="1">
      <c r="A231" s="6" t="s">
        <v>669</v>
      </c>
      <c r="B231" s="6" t="s">
        <v>1809</v>
      </c>
      <c r="C231" s="6" t="s">
        <v>1810</v>
      </c>
      <c r="D231" s="6" t="s">
        <v>825</v>
      </c>
      <c r="E231" s="6" t="s">
        <v>429</v>
      </c>
      <c r="F231" s="6" t="s">
        <v>59</v>
      </c>
      <c r="G231" s="6" t="s">
        <v>592</v>
      </c>
    </row>
    <row r="232" ht="15.75" customHeight="1">
      <c r="A232" s="6" t="s">
        <v>669</v>
      </c>
      <c r="B232" s="6" t="s">
        <v>1809</v>
      </c>
      <c r="C232" s="6" t="s">
        <v>1810</v>
      </c>
      <c r="D232" s="6" t="s">
        <v>750</v>
      </c>
      <c r="E232" s="6" t="s">
        <v>429</v>
      </c>
      <c r="F232" s="6" t="s">
        <v>59</v>
      </c>
      <c r="G232" s="6" t="s">
        <v>430</v>
      </c>
    </row>
    <row r="233" ht="15.75" customHeight="1">
      <c r="A233" s="6" t="s">
        <v>669</v>
      </c>
      <c r="B233" s="6" t="s">
        <v>1809</v>
      </c>
      <c r="C233" s="6" t="s">
        <v>1810</v>
      </c>
      <c r="D233" s="6" t="s">
        <v>825</v>
      </c>
      <c r="E233" s="6" t="s">
        <v>429</v>
      </c>
      <c r="F233" s="6" t="s">
        <v>59</v>
      </c>
      <c r="G233" s="6" t="s">
        <v>459</v>
      </c>
    </row>
    <row r="234" ht="15.75" customHeight="1">
      <c r="A234" s="6" t="s">
        <v>669</v>
      </c>
      <c r="B234" s="6" t="s">
        <v>1809</v>
      </c>
      <c r="C234" s="6" t="s">
        <v>1810</v>
      </c>
      <c r="D234" s="6" t="s">
        <v>848</v>
      </c>
      <c r="E234" s="6" t="s">
        <v>429</v>
      </c>
      <c r="F234" s="6" t="s">
        <v>59</v>
      </c>
      <c r="G234" s="6" t="s">
        <v>592</v>
      </c>
    </row>
    <row r="235" ht="15.75" customHeight="1">
      <c r="A235" s="6" t="s">
        <v>669</v>
      </c>
      <c r="B235" s="6" t="s">
        <v>1809</v>
      </c>
      <c r="C235" s="6" t="s">
        <v>1810</v>
      </c>
      <c r="D235" s="6" t="s">
        <v>670</v>
      </c>
      <c r="E235" s="6" t="s">
        <v>553</v>
      </c>
      <c r="G235" s="6" t="s">
        <v>430</v>
      </c>
    </row>
    <row r="236" ht="15.75" customHeight="1">
      <c r="A236" s="6" t="s">
        <v>669</v>
      </c>
      <c r="B236" s="6" t="s">
        <v>1809</v>
      </c>
      <c r="C236" s="6" t="s">
        <v>1810</v>
      </c>
      <c r="D236" s="6" t="s">
        <v>837</v>
      </c>
      <c r="E236" s="6" t="s">
        <v>429</v>
      </c>
      <c r="F236" s="6" t="s">
        <v>59</v>
      </c>
      <c r="G236" s="6" t="s">
        <v>459</v>
      </c>
    </row>
    <row r="237" ht="15.75" customHeight="1">
      <c r="A237" s="6" t="s">
        <v>669</v>
      </c>
      <c r="B237" s="6" t="s">
        <v>1809</v>
      </c>
      <c r="C237" s="6" t="s">
        <v>1810</v>
      </c>
      <c r="D237" s="6" t="s">
        <v>840</v>
      </c>
      <c r="E237" s="6" t="s">
        <v>429</v>
      </c>
      <c r="F237" s="6" t="s">
        <v>59</v>
      </c>
      <c r="G237" s="6" t="s">
        <v>459</v>
      </c>
    </row>
    <row r="238" ht="15.75" customHeight="1">
      <c r="A238" s="6" t="s">
        <v>669</v>
      </c>
      <c r="B238" s="6" t="s">
        <v>1809</v>
      </c>
      <c r="C238" s="6" t="s">
        <v>1810</v>
      </c>
      <c r="D238" s="6" t="s">
        <v>764</v>
      </c>
      <c r="E238" s="6" t="s">
        <v>429</v>
      </c>
      <c r="F238" s="6" t="s">
        <v>59</v>
      </c>
      <c r="G238" s="6" t="s">
        <v>196</v>
      </c>
    </row>
    <row r="239" ht="15.75" customHeight="1">
      <c r="A239" s="6" t="s">
        <v>669</v>
      </c>
      <c r="B239" s="6" t="s">
        <v>1809</v>
      </c>
      <c r="C239" s="6" t="s">
        <v>1810</v>
      </c>
      <c r="D239" s="6" t="s">
        <v>825</v>
      </c>
      <c r="E239" s="6" t="s">
        <v>429</v>
      </c>
      <c r="F239" s="6" t="s">
        <v>59</v>
      </c>
      <c r="G239" s="6" t="s">
        <v>714</v>
      </c>
    </row>
    <row r="240" ht="15.75" customHeight="1">
      <c r="A240" s="6" t="s">
        <v>669</v>
      </c>
      <c r="B240" s="6" t="s">
        <v>1809</v>
      </c>
      <c r="C240" s="6" t="s">
        <v>1810</v>
      </c>
      <c r="D240" s="6" t="s">
        <v>848</v>
      </c>
      <c r="E240" s="6" t="s">
        <v>429</v>
      </c>
      <c r="F240" s="6" t="s">
        <v>59</v>
      </c>
      <c r="G240" s="6" t="s">
        <v>430</v>
      </c>
    </row>
    <row r="241" ht="15.75" customHeight="1">
      <c r="A241" s="6" t="s">
        <v>669</v>
      </c>
      <c r="B241" s="6" t="s">
        <v>1809</v>
      </c>
      <c r="C241" s="6" t="s">
        <v>1810</v>
      </c>
      <c r="D241" s="6" t="s">
        <v>764</v>
      </c>
      <c r="E241" s="6" t="s">
        <v>429</v>
      </c>
      <c r="F241" s="6" t="s">
        <v>561</v>
      </c>
      <c r="G241" s="6" t="s">
        <v>714</v>
      </c>
    </row>
    <row r="242" ht="15.75" customHeight="1">
      <c r="A242" s="6" t="s">
        <v>669</v>
      </c>
      <c r="B242" s="6" t="s">
        <v>1809</v>
      </c>
      <c r="C242" s="6" t="s">
        <v>1810</v>
      </c>
      <c r="D242" s="6" t="s">
        <v>799</v>
      </c>
      <c r="E242" s="6" t="s">
        <v>429</v>
      </c>
      <c r="F242" s="6" t="s">
        <v>59</v>
      </c>
      <c r="G242" s="6" t="s">
        <v>240</v>
      </c>
    </row>
    <row r="243" ht="15.75" customHeight="1">
      <c r="A243" s="6" t="s">
        <v>669</v>
      </c>
      <c r="B243" s="6" t="s">
        <v>1809</v>
      </c>
      <c r="C243" s="6" t="s">
        <v>1810</v>
      </c>
      <c r="D243" s="6" t="s">
        <v>679</v>
      </c>
      <c r="E243" s="6" t="s">
        <v>429</v>
      </c>
      <c r="F243" s="6" t="s">
        <v>373</v>
      </c>
      <c r="G243" s="6" t="s">
        <v>714</v>
      </c>
    </row>
    <row r="244" ht="15.75" customHeight="1">
      <c r="A244" s="6" t="s">
        <v>669</v>
      </c>
      <c r="B244" s="6" t="s">
        <v>1809</v>
      </c>
      <c r="C244" s="6" t="s">
        <v>1810</v>
      </c>
      <c r="D244" s="6" t="s">
        <v>825</v>
      </c>
      <c r="E244" s="6" t="s">
        <v>429</v>
      </c>
      <c r="F244" s="6" t="s">
        <v>30</v>
      </c>
      <c r="G244" s="6" t="s">
        <v>541</v>
      </c>
    </row>
    <row r="245" ht="15.75" customHeight="1">
      <c r="A245" s="6" t="s">
        <v>669</v>
      </c>
      <c r="B245" s="6" t="s">
        <v>1809</v>
      </c>
      <c r="C245" s="6" t="s">
        <v>1810</v>
      </c>
      <c r="D245" s="6" t="s">
        <v>764</v>
      </c>
      <c r="E245" s="6" t="s">
        <v>429</v>
      </c>
      <c r="F245" s="6" t="s">
        <v>59</v>
      </c>
      <c r="G245" s="6" t="s">
        <v>714</v>
      </c>
    </row>
    <row r="246" ht="15.75" customHeight="1">
      <c r="A246" s="6" t="s">
        <v>669</v>
      </c>
      <c r="B246" s="6" t="s">
        <v>1809</v>
      </c>
      <c r="C246" s="6" t="s">
        <v>1810</v>
      </c>
      <c r="D246" s="6" t="s">
        <v>672</v>
      </c>
      <c r="E246" s="6" t="s">
        <v>429</v>
      </c>
      <c r="F246" s="6" t="s">
        <v>59</v>
      </c>
      <c r="G246" s="6" t="s">
        <v>714</v>
      </c>
    </row>
    <row r="247" ht="15.75" customHeight="1">
      <c r="A247" s="6" t="s">
        <v>669</v>
      </c>
      <c r="B247" s="6" t="s">
        <v>1809</v>
      </c>
      <c r="C247" s="6" t="s">
        <v>1810</v>
      </c>
      <c r="D247" s="6" t="s">
        <v>848</v>
      </c>
      <c r="E247" s="6" t="s">
        <v>429</v>
      </c>
      <c r="F247" s="6" t="s">
        <v>59</v>
      </c>
      <c r="G247" s="6" t="s">
        <v>714</v>
      </c>
    </row>
    <row r="248" ht="15.75" customHeight="1">
      <c r="A248" s="6" t="s">
        <v>669</v>
      </c>
      <c r="B248" s="6" t="s">
        <v>1809</v>
      </c>
      <c r="C248" s="6" t="s">
        <v>1810</v>
      </c>
      <c r="D248" s="6" t="s">
        <v>684</v>
      </c>
      <c r="E248" s="6" t="s">
        <v>429</v>
      </c>
      <c r="F248" s="6" t="s">
        <v>59</v>
      </c>
      <c r="G248" s="6" t="s">
        <v>714</v>
      </c>
    </row>
    <row r="249" ht="15.75" customHeight="1">
      <c r="A249" s="6" t="s">
        <v>669</v>
      </c>
      <c r="B249" s="6" t="s">
        <v>1809</v>
      </c>
      <c r="C249" s="6" t="s">
        <v>1810</v>
      </c>
      <c r="D249" s="6" t="s">
        <v>1130</v>
      </c>
      <c r="E249" s="6" t="s">
        <v>429</v>
      </c>
      <c r="F249" s="6" t="s">
        <v>59</v>
      </c>
      <c r="G249" s="6" t="s">
        <v>714</v>
      </c>
    </row>
    <row r="250" ht="15.75" customHeight="1">
      <c r="A250" s="6" t="s">
        <v>669</v>
      </c>
      <c r="B250" s="6" t="s">
        <v>1809</v>
      </c>
      <c r="C250" s="6" t="s">
        <v>1810</v>
      </c>
      <c r="D250" s="6" t="s">
        <v>1131</v>
      </c>
      <c r="E250" s="6" t="s">
        <v>429</v>
      </c>
      <c r="F250" s="6" t="s">
        <v>59</v>
      </c>
      <c r="G250" s="6" t="s">
        <v>430</v>
      </c>
    </row>
    <row r="251" ht="15.75" customHeight="1">
      <c r="A251" s="6" t="s">
        <v>669</v>
      </c>
      <c r="B251" s="6" t="s">
        <v>1809</v>
      </c>
      <c r="C251" s="6" t="s">
        <v>1810</v>
      </c>
      <c r="D251" s="6" t="s">
        <v>870</v>
      </c>
      <c r="E251" s="6" t="s">
        <v>429</v>
      </c>
      <c r="F251" s="6" t="s">
        <v>59</v>
      </c>
      <c r="G251" s="6" t="s">
        <v>459</v>
      </c>
    </row>
    <row r="252" ht="15.75" customHeight="1">
      <c r="A252" s="6" t="s">
        <v>669</v>
      </c>
      <c r="B252" s="6" t="s">
        <v>1809</v>
      </c>
      <c r="C252" s="6" t="s">
        <v>1810</v>
      </c>
      <c r="D252" s="6" t="s">
        <v>700</v>
      </c>
      <c r="E252" s="6" t="s">
        <v>429</v>
      </c>
      <c r="F252" s="6" t="s">
        <v>59</v>
      </c>
      <c r="G252" s="6" t="s">
        <v>714</v>
      </c>
    </row>
    <row r="253" ht="15.75" customHeight="1">
      <c r="A253" s="6" t="s">
        <v>669</v>
      </c>
      <c r="B253" s="6" t="s">
        <v>1809</v>
      </c>
      <c r="C253" s="6" t="s">
        <v>1810</v>
      </c>
      <c r="D253" s="6" t="s">
        <v>837</v>
      </c>
      <c r="E253" s="6" t="s">
        <v>429</v>
      </c>
      <c r="F253" s="6" t="s">
        <v>59</v>
      </c>
      <c r="G253" s="6" t="s">
        <v>714</v>
      </c>
    </row>
    <row r="254" ht="15.75" customHeight="1">
      <c r="A254" s="6" t="s">
        <v>669</v>
      </c>
      <c r="B254" s="6" t="s">
        <v>1809</v>
      </c>
      <c r="C254" s="6" t="s">
        <v>1810</v>
      </c>
      <c r="D254" s="6" t="s">
        <v>870</v>
      </c>
      <c r="E254" s="6" t="s">
        <v>429</v>
      </c>
      <c r="F254" s="6" t="s">
        <v>59</v>
      </c>
      <c r="G254" s="6" t="s">
        <v>459</v>
      </c>
    </row>
    <row r="255" ht="15.75" customHeight="1">
      <c r="A255" s="6" t="s">
        <v>669</v>
      </c>
      <c r="B255" s="6" t="s">
        <v>1809</v>
      </c>
      <c r="C255" s="6" t="s">
        <v>1810</v>
      </c>
      <c r="D255" s="6" t="s">
        <v>684</v>
      </c>
      <c r="E255" s="6" t="s">
        <v>429</v>
      </c>
      <c r="F255" s="6" t="s">
        <v>59</v>
      </c>
      <c r="G255" s="6" t="s">
        <v>714</v>
      </c>
    </row>
    <row r="256" ht="15.75" customHeight="1">
      <c r="A256" s="6" t="s">
        <v>669</v>
      </c>
      <c r="B256" s="6" t="s">
        <v>1809</v>
      </c>
      <c r="C256" s="6" t="s">
        <v>1810</v>
      </c>
      <c r="D256" s="6" t="s">
        <v>825</v>
      </c>
      <c r="E256" s="6" t="s">
        <v>429</v>
      </c>
      <c r="F256" s="6" t="s">
        <v>59</v>
      </c>
      <c r="G256" s="6" t="s">
        <v>714</v>
      </c>
    </row>
    <row r="257" ht="15.75" customHeight="1">
      <c r="A257" s="6" t="s">
        <v>669</v>
      </c>
      <c r="B257" s="6" t="s">
        <v>1809</v>
      </c>
      <c r="C257" s="6" t="s">
        <v>1810</v>
      </c>
      <c r="D257" s="6" t="s">
        <v>721</v>
      </c>
      <c r="E257" s="6" t="s">
        <v>429</v>
      </c>
      <c r="F257" s="6" t="s">
        <v>373</v>
      </c>
      <c r="G257" s="6" t="s">
        <v>714</v>
      </c>
    </row>
    <row r="258" ht="15.75" customHeight="1">
      <c r="A258" s="6" t="s">
        <v>669</v>
      </c>
      <c r="B258" s="6" t="s">
        <v>1809</v>
      </c>
      <c r="C258" s="6" t="s">
        <v>1810</v>
      </c>
      <c r="D258" s="6" t="s">
        <v>781</v>
      </c>
      <c r="E258" s="6" t="s">
        <v>429</v>
      </c>
      <c r="F258" s="6" t="s">
        <v>59</v>
      </c>
      <c r="G258" s="6" t="s">
        <v>459</v>
      </c>
    </row>
    <row r="259" ht="15.75" customHeight="1">
      <c r="A259" s="6" t="s">
        <v>669</v>
      </c>
      <c r="B259" s="6" t="s">
        <v>1809</v>
      </c>
      <c r="C259" s="6" t="s">
        <v>1810</v>
      </c>
      <c r="D259" s="6" t="s">
        <v>781</v>
      </c>
      <c r="E259" s="6" t="s">
        <v>429</v>
      </c>
      <c r="F259" s="6" t="s">
        <v>59</v>
      </c>
      <c r="G259" s="6" t="s">
        <v>196</v>
      </c>
    </row>
    <row r="260" ht="15.75" customHeight="1">
      <c r="A260" s="6" t="s">
        <v>669</v>
      </c>
      <c r="B260" s="6" t="s">
        <v>1809</v>
      </c>
      <c r="C260" s="6" t="s">
        <v>1810</v>
      </c>
      <c r="D260" s="6" t="s">
        <v>747</v>
      </c>
      <c r="E260" s="6" t="s">
        <v>429</v>
      </c>
      <c r="F260" s="6" t="s">
        <v>59</v>
      </c>
      <c r="G260" s="6" t="s">
        <v>196</v>
      </c>
    </row>
    <row r="261" ht="15.75" customHeight="1">
      <c r="A261" s="6" t="s">
        <v>669</v>
      </c>
      <c r="B261" s="6" t="s">
        <v>1809</v>
      </c>
      <c r="C261" s="6" t="s">
        <v>1810</v>
      </c>
      <c r="D261" s="6" t="s">
        <v>848</v>
      </c>
      <c r="E261" s="6" t="s">
        <v>429</v>
      </c>
      <c r="F261" s="6" t="s">
        <v>59</v>
      </c>
      <c r="G261" s="6" t="s">
        <v>541</v>
      </c>
    </row>
    <row r="262" ht="15.75" customHeight="1">
      <c r="A262" s="6" t="s">
        <v>745</v>
      </c>
      <c r="B262" s="6" t="s">
        <v>1809</v>
      </c>
      <c r="C262" s="6" t="s">
        <v>1810</v>
      </c>
      <c r="D262" s="6" t="s">
        <v>837</v>
      </c>
      <c r="E262" s="6" t="s">
        <v>429</v>
      </c>
      <c r="F262" s="6" t="s">
        <v>59</v>
      </c>
      <c r="G262" s="6" t="s">
        <v>946</v>
      </c>
    </row>
    <row r="263" ht="15.75" customHeight="1">
      <c r="A263" s="6" t="s">
        <v>745</v>
      </c>
      <c r="B263" s="6" t="s">
        <v>1809</v>
      </c>
      <c r="C263" s="6" t="s">
        <v>1810</v>
      </c>
      <c r="D263" s="6" t="s">
        <v>848</v>
      </c>
      <c r="E263" s="6" t="s">
        <v>429</v>
      </c>
      <c r="F263" s="6" t="s">
        <v>59</v>
      </c>
      <c r="G263" s="6" t="s">
        <v>946</v>
      </c>
    </row>
    <row r="264" ht="15.75" customHeight="1">
      <c r="A264" s="6" t="s">
        <v>745</v>
      </c>
      <c r="B264" s="6" t="s">
        <v>1809</v>
      </c>
      <c r="C264" s="6" t="s">
        <v>1810</v>
      </c>
      <c r="D264" s="6" t="s">
        <v>840</v>
      </c>
      <c r="E264" s="6" t="s">
        <v>429</v>
      </c>
      <c r="F264" s="6" t="s">
        <v>59</v>
      </c>
      <c r="G264" s="6" t="s">
        <v>438</v>
      </c>
    </row>
    <row r="265" ht="15.75" customHeight="1">
      <c r="A265" s="6" t="s">
        <v>745</v>
      </c>
      <c r="B265" s="6" t="s">
        <v>1809</v>
      </c>
      <c r="C265" s="6" t="s">
        <v>1810</v>
      </c>
      <c r="D265" s="6" t="s">
        <v>1136</v>
      </c>
      <c r="E265" s="6" t="s">
        <v>429</v>
      </c>
      <c r="F265" s="6" t="s">
        <v>59</v>
      </c>
      <c r="G265" s="6" t="s">
        <v>430</v>
      </c>
    </row>
    <row r="266" ht="15.75" customHeight="1">
      <c r="A266" s="6" t="s">
        <v>745</v>
      </c>
      <c r="B266" s="6" t="s">
        <v>1809</v>
      </c>
      <c r="C266" s="6" t="s">
        <v>1810</v>
      </c>
      <c r="D266" s="6" t="s">
        <v>899</v>
      </c>
      <c r="E266" s="6" t="s">
        <v>429</v>
      </c>
      <c r="F266" s="6" t="s">
        <v>59</v>
      </c>
      <c r="G266" s="6" t="s">
        <v>136</v>
      </c>
    </row>
    <row r="267" ht="15.75" customHeight="1">
      <c r="A267" s="6" t="s">
        <v>745</v>
      </c>
      <c r="B267" s="6" t="s">
        <v>1809</v>
      </c>
      <c r="C267" s="6" t="s">
        <v>1810</v>
      </c>
      <c r="D267" s="6" t="s">
        <v>781</v>
      </c>
      <c r="E267" s="6" t="s">
        <v>429</v>
      </c>
      <c r="F267" s="6" t="s">
        <v>59</v>
      </c>
      <c r="G267" s="6" t="s">
        <v>438</v>
      </c>
    </row>
    <row r="268" ht="15.75" customHeight="1">
      <c r="A268" s="6" t="s">
        <v>745</v>
      </c>
      <c r="B268" s="6" t="s">
        <v>1809</v>
      </c>
      <c r="C268" s="6" t="s">
        <v>1810</v>
      </c>
      <c r="D268" s="6" t="s">
        <v>1137</v>
      </c>
      <c r="E268" s="6" t="s">
        <v>429</v>
      </c>
      <c r="F268" s="6" t="s">
        <v>59</v>
      </c>
      <c r="G268" s="6" t="s">
        <v>459</v>
      </c>
    </row>
    <row r="269" ht="15.75" customHeight="1">
      <c r="A269" s="6" t="s">
        <v>745</v>
      </c>
      <c r="B269" s="6" t="s">
        <v>1809</v>
      </c>
      <c r="C269" s="6" t="s">
        <v>1810</v>
      </c>
      <c r="D269" s="6" t="s">
        <v>1138</v>
      </c>
      <c r="E269" s="6" t="s">
        <v>429</v>
      </c>
      <c r="F269" s="6" t="s">
        <v>59</v>
      </c>
      <c r="G269" s="6" t="s">
        <v>438</v>
      </c>
    </row>
    <row r="270" ht="15.75" customHeight="1">
      <c r="A270" s="6" t="s">
        <v>745</v>
      </c>
      <c r="B270" s="6" t="s">
        <v>1809</v>
      </c>
      <c r="C270" s="6" t="s">
        <v>1810</v>
      </c>
      <c r="D270" s="6" t="s">
        <v>721</v>
      </c>
      <c r="E270" s="6" t="s">
        <v>429</v>
      </c>
      <c r="F270" s="6" t="s">
        <v>373</v>
      </c>
      <c r="G270" s="6" t="s">
        <v>430</v>
      </c>
    </row>
    <row r="271" ht="15.75" customHeight="1">
      <c r="A271" s="6" t="s">
        <v>745</v>
      </c>
      <c r="B271" s="6" t="s">
        <v>1809</v>
      </c>
      <c r="C271" s="6" t="s">
        <v>1810</v>
      </c>
      <c r="D271" s="6" t="s">
        <v>837</v>
      </c>
      <c r="E271" s="6" t="s">
        <v>429</v>
      </c>
      <c r="F271" s="6" t="s">
        <v>59</v>
      </c>
      <c r="G271" s="6" t="s">
        <v>556</v>
      </c>
    </row>
    <row r="272" ht="15.75" customHeight="1">
      <c r="A272" s="6" t="s">
        <v>745</v>
      </c>
      <c r="B272" s="6" t="s">
        <v>1809</v>
      </c>
      <c r="C272" s="6" t="s">
        <v>1810</v>
      </c>
      <c r="D272" s="6" t="s">
        <v>914</v>
      </c>
      <c r="E272" s="6" t="s">
        <v>429</v>
      </c>
      <c r="F272" s="6" t="s">
        <v>59</v>
      </c>
      <c r="G272" s="6" t="s">
        <v>224</v>
      </c>
    </row>
    <row r="273" ht="15.75" customHeight="1">
      <c r="A273" s="6" t="s">
        <v>745</v>
      </c>
      <c r="B273" s="6" t="s">
        <v>1809</v>
      </c>
      <c r="C273" s="6" t="s">
        <v>1810</v>
      </c>
      <c r="D273" s="6" t="s">
        <v>1136</v>
      </c>
      <c r="E273" s="6" t="s">
        <v>429</v>
      </c>
      <c r="F273" s="6" t="s">
        <v>59</v>
      </c>
      <c r="G273" s="6" t="s">
        <v>459</v>
      </c>
    </row>
    <row r="274" ht="15.75" customHeight="1">
      <c r="A274" s="6" t="s">
        <v>745</v>
      </c>
      <c r="B274" s="6" t="s">
        <v>1809</v>
      </c>
      <c r="C274" s="6" t="s">
        <v>1810</v>
      </c>
      <c r="D274" s="6" t="s">
        <v>1138</v>
      </c>
      <c r="E274" s="6" t="s">
        <v>429</v>
      </c>
      <c r="F274" s="6" t="s">
        <v>59</v>
      </c>
      <c r="G274" s="6" t="s">
        <v>438</v>
      </c>
    </row>
    <row r="275" ht="15.75" customHeight="1">
      <c r="A275" s="6" t="s">
        <v>745</v>
      </c>
      <c r="B275" s="6" t="s">
        <v>1809</v>
      </c>
      <c r="C275" s="6" t="s">
        <v>1810</v>
      </c>
      <c r="D275" s="6" t="s">
        <v>684</v>
      </c>
      <c r="E275" s="6" t="s">
        <v>429</v>
      </c>
      <c r="F275" s="6" t="s">
        <v>59</v>
      </c>
      <c r="G275" s="6" t="s">
        <v>946</v>
      </c>
    </row>
    <row r="276" ht="15.75" customHeight="1">
      <c r="A276" s="6" t="s">
        <v>745</v>
      </c>
      <c r="B276" s="6" t="s">
        <v>1809</v>
      </c>
      <c r="C276" s="6" t="s">
        <v>1810</v>
      </c>
      <c r="D276" s="6" t="s">
        <v>1141</v>
      </c>
      <c r="E276" s="6" t="s">
        <v>429</v>
      </c>
      <c r="F276" s="6" t="s">
        <v>59</v>
      </c>
      <c r="G276" s="6" t="s">
        <v>240</v>
      </c>
    </row>
    <row r="277" ht="15.75" customHeight="1">
      <c r="A277" s="6" t="s">
        <v>745</v>
      </c>
      <c r="B277" s="6" t="s">
        <v>1809</v>
      </c>
      <c r="C277" s="6" t="s">
        <v>1810</v>
      </c>
      <c r="D277" s="6" t="s">
        <v>1143</v>
      </c>
      <c r="E277" s="6" t="s">
        <v>429</v>
      </c>
      <c r="F277" s="6" t="s">
        <v>59</v>
      </c>
      <c r="G277" s="6" t="s">
        <v>240</v>
      </c>
    </row>
    <row r="278" ht="15.75" customHeight="1">
      <c r="A278" s="6" t="s">
        <v>745</v>
      </c>
      <c r="B278" s="6" t="s">
        <v>1809</v>
      </c>
      <c r="C278" s="6" t="s">
        <v>1810</v>
      </c>
      <c r="D278" s="6" t="s">
        <v>1138</v>
      </c>
      <c r="E278" s="6" t="s">
        <v>429</v>
      </c>
      <c r="F278" s="6" t="s">
        <v>373</v>
      </c>
      <c r="G278" s="6" t="s">
        <v>508</v>
      </c>
    </row>
    <row r="279" ht="15.75" customHeight="1">
      <c r="A279" s="6" t="s">
        <v>745</v>
      </c>
      <c r="B279" s="6" t="s">
        <v>1809</v>
      </c>
      <c r="C279" s="6" t="s">
        <v>1810</v>
      </c>
      <c r="D279" s="6" t="s">
        <v>781</v>
      </c>
      <c r="E279" s="6" t="s">
        <v>553</v>
      </c>
      <c r="G279" s="6" t="s">
        <v>459</v>
      </c>
    </row>
    <row r="280" ht="15.75" customHeight="1">
      <c r="A280" s="6" t="s">
        <v>745</v>
      </c>
      <c r="B280" s="6" t="s">
        <v>1809</v>
      </c>
      <c r="C280" s="6" t="s">
        <v>1810</v>
      </c>
      <c r="D280" s="6" t="s">
        <v>1138</v>
      </c>
      <c r="E280" s="6" t="s">
        <v>429</v>
      </c>
      <c r="F280" s="6" t="s">
        <v>59</v>
      </c>
      <c r="G280" s="6" t="s">
        <v>438</v>
      </c>
    </row>
    <row r="281" ht="15.75" customHeight="1">
      <c r="A281" s="6" t="s">
        <v>745</v>
      </c>
      <c r="B281" s="6" t="s">
        <v>1809</v>
      </c>
      <c r="C281" s="6" t="s">
        <v>1810</v>
      </c>
      <c r="D281" s="6" t="s">
        <v>1126</v>
      </c>
      <c r="E281" s="6" t="s">
        <v>429</v>
      </c>
      <c r="F281" s="6" t="s">
        <v>59</v>
      </c>
      <c r="G281" s="6" t="s">
        <v>240</v>
      </c>
    </row>
    <row r="282" ht="15.75" customHeight="1">
      <c r="A282" s="6" t="s">
        <v>745</v>
      </c>
      <c r="B282" s="6" t="s">
        <v>1809</v>
      </c>
      <c r="C282" s="6" t="s">
        <v>1810</v>
      </c>
      <c r="D282" s="6" t="s">
        <v>1126</v>
      </c>
      <c r="E282" s="6" t="s">
        <v>429</v>
      </c>
      <c r="F282" s="6" t="s">
        <v>59</v>
      </c>
      <c r="G282" s="6" t="s">
        <v>240</v>
      </c>
    </row>
    <row r="283" ht="15.75" customHeight="1">
      <c r="A283" s="6" t="s">
        <v>745</v>
      </c>
      <c r="B283" s="6" t="s">
        <v>1809</v>
      </c>
      <c r="C283" s="6" t="s">
        <v>1810</v>
      </c>
      <c r="D283" s="6" t="s">
        <v>825</v>
      </c>
      <c r="E283" s="6" t="s">
        <v>429</v>
      </c>
      <c r="F283" s="6" t="s">
        <v>59</v>
      </c>
      <c r="G283" s="6" t="s">
        <v>541</v>
      </c>
    </row>
    <row r="284" ht="15.75" customHeight="1">
      <c r="A284" s="6" t="s">
        <v>745</v>
      </c>
      <c r="B284" s="6" t="s">
        <v>1809</v>
      </c>
      <c r="C284" s="6" t="s">
        <v>1810</v>
      </c>
      <c r="D284" s="6" t="s">
        <v>840</v>
      </c>
      <c r="E284" s="6" t="s">
        <v>429</v>
      </c>
      <c r="F284" s="6" t="s">
        <v>59</v>
      </c>
      <c r="G284" s="6" t="s">
        <v>224</v>
      </c>
    </row>
    <row r="285" ht="15.75" customHeight="1">
      <c r="A285" s="6" t="s">
        <v>745</v>
      </c>
      <c r="B285" s="6" t="s">
        <v>1809</v>
      </c>
      <c r="C285" s="6" t="s">
        <v>1810</v>
      </c>
      <c r="D285" s="6" t="s">
        <v>870</v>
      </c>
      <c r="E285" s="6" t="s">
        <v>429</v>
      </c>
      <c r="F285" s="6" t="s">
        <v>59</v>
      </c>
      <c r="G285" s="6" t="s">
        <v>459</v>
      </c>
    </row>
    <row r="286" ht="15.75" customHeight="1">
      <c r="A286" s="6" t="s">
        <v>745</v>
      </c>
      <c r="B286" s="6" t="s">
        <v>1809</v>
      </c>
      <c r="C286" s="6" t="s">
        <v>1810</v>
      </c>
      <c r="D286" s="6" t="s">
        <v>700</v>
      </c>
      <c r="E286" s="6" t="s">
        <v>429</v>
      </c>
      <c r="F286" s="6" t="s">
        <v>59</v>
      </c>
      <c r="G286" s="6" t="s">
        <v>438</v>
      </c>
    </row>
    <row r="287" ht="15.75" customHeight="1">
      <c r="A287" s="6" t="s">
        <v>745</v>
      </c>
      <c r="B287" s="6" t="s">
        <v>1809</v>
      </c>
      <c r="C287" s="6" t="s">
        <v>1810</v>
      </c>
      <c r="D287" s="6" t="s">
        <v>848</v>
      </c>
      <c r="E287" s="6" t="s">
        <v>429</v>
      </c>
      <c r="F287" s="6" t="s">
        <v>59</v>
      </c>
      <c r="G287" s="6" t="s">
        <v>438</v>
      </c>
    </row>
    <row r="288" ht="15.75" customHeight="1">
      <c r="A288" s="6" t="s">
        <v>745</v>
      </c>
      <c r="B288" s="6" t="s">
        <v>1809</v>
      </c>
      <c r="C288" s="6" t="s">
        <v>1810</v>
      </c>
      <c r="D288" s="6" t="s">
        <v>781</v>
      </c>
      <c r="E288" s="6" t="s">
        <v>429</v>
      </c>
      <c r="F288" s="6" t="s">
        <v>59</v>
      </c>
      <c r="G288" s="6" t="s">
        <v>438</v>
      </c>
    </row>
    <row r="289" ht="15.75" customHeight="1">
      <c r="A289" s="6" t="s">
        <v>745</v>
      </c>
      <c r="B289" s="6" t="s">
        <v>1809</v>
      </c>
      <c r="C289" s="6" t="s">
        <v>1810</v>
      </c>
      <c r="D289" s="6" t="s">
        <v>684</v>
      </c>
      <c r="E289" s="6" t="s">
        <v>429</v>
      </c>
      <c r="F289" s="6" t="s">
        <v>59</v>
      </c>
      <c r="G289" s="6" t="s">
        <v>541</v>
      </c>
    </row>
    <row r="290" ht="15.75" customHeight="1">
      <c r="A290" s="6" t="s">
        <v>745</v>
      </c>
      <c r="B290" s="6" t="s">
        <v>1809</v>
      </c>
      <c r="C290" s="6" t="s">
        <v>1810</v>
      </c>
      <c r="D290" s="6" t="s">
        <v>764</v>
      </c>
      <c r="E290" s="6" t="s">
        <v>429</v>
      </c>
      <c r="F290" s="6" t="s">
        <v>59</v>
      </c>
      <c r="G290" s="6" t="s">
        <v>541</v>
      </c>
    </row>
    <row r="291" ht="15.75" customHeight="1">
      <c r="A291" s="6" t="s">
        <v>745</v>
      </c>
      <c r="B291" s="6" t="s">
        <v>1809</v>
      </c>
      <c r="C291" s="6" t="s">
        <v>1810</v>
      </c>
      <c r="D291" s="6" t="s">
        <v>672</v>
      </c>
      <c r="E291" s="6" t="s">
        <v>429</v>
      </c>
      <c r="F291" s="6" t="s">
        <v>59</v>
      </c>
      <c r="G291" s="6" t="s">
        <v>438</v>
      </c>
    </row>
    <row r="292" ht="15.75" customHeight="1">
      <c r="A292" s="6" t="s">
        <v>745</v>
      </c>
      <c r="B292" s="6" t="s">
        <v>1809</v>
      </c>
      <c r="C292" s="6" t="s">
        <v>1810</v>
      </c>
      <c r="D292" s="6" t="s">
        <v>840</v>
      </c>
      <c r="E292" s="6" t="s">
        <v>429</v>
      </c>
      <c r="F292" s="6" t="s">
        <v>59</v>
      </c>
      <c r="G292" s="6" t="s">
        <v>430</v>
      </c>
    </row>
    <row r="293" ht="15.75" customHeight="1">
      <c r="A293" s="6" t="s">
        <v>745</v>
      </c>
      <c r="B293" s="6" t="s">
        <v>1809</v>
      </c>
      <c r="C293" s="6" t="s">
        <v>1810</v>
      </c>
      <c r="D293" s="6" t="s">
        <v>1138</v>
      </c>
      <c r="E293" s="6" t="s">
        <v>429</v>
      </c>
      <c r="F293" s="6" t="s">
        <v>59</v>
      </c>
      <c r="G293" s="6" t="s">
        <v>430</v>
      </c>
    </row>
    <row r="294" ht="15.75" customHeight="1">
      <c r="A294" s="6" t="s">
        <v>745</v>
      </c>
      <c r="B294" s="6" t="s">
        <v>1809</v>
      </c>
      <c r="C294" s="6" t="s">
        <v>1810</v>
      </c>
      <c r="D294" s="6" t="s">
        <v>750</v>
      </c>
      <c r="E294" s="6" t="s">
        <v>429</v>
      </c>
      <c r="F294" s="6" t="s">
        <v>59</v>
      </c>
      <c r="G294" s="6" t="s">
        <v>430</v>
      </c>
    </row>
    <row r="295" ht="15.75" customHeight="1">
      <c r="A295" s="6" t="s">
        <v>745</v>
      </c>
      <c r="B295" s="6" t="s">
        <v>1809</v>
      </c>
      <c r="C295" s="6" t="s">
        <v>1810</v>
      </c>
      <c r="D295" s="6" t="s">
        <v>848</v>
      </c>
      <c r="E295" s="6" t="s">
        <v>429</v>
      </c>
      <c r="F295" s="6" t="s">
        <v>59</v>
      </c>
      <c r="G295" s="6" t="s">
        <v>438</v>
      </c>
    </row>
    <row r="296" ht="15.75" customHeight="1">
      <c r="A296" s="6" t="s">
        <v>745</v>
      </c>
      <c r="B296" s="6" t="s">
        <v>1809</v>
      </c>
      <c r="C296" s="6" t="s">
        <v>1810</v>
      </c>
      <c r="D296" s="6" t="s">
        <v>825</v>
      </c>
      <c r="E296" s="6" t="s">
        <v>429</v>
      </c>
      <c r="F296" s="6" t="s">
        <v>30</v>
      </c>
      <c r="G296" s="6" t="s">
        <v>459</v>
      </c>
    </row>
    <row r="297" ht="15.75" customHeight="1">
      <c r="A297" s="6" t="s">
        <v>745</v>
      </c>
      <c r="B297" s="6" t="s">
        <v>1809</v>
      </c>
      <c r="C297" s="6" t="s">
        <v>1810</v>
      </c>
      <c r="D297" s="6" t="s">
        <v>781</v>
      </c>
      <c r="E297" s="6" t="s">
        <v>429</v>
      </c>
      <c r="F297" s="6" t="s">
        <v>59</v>
      </c>
      <c r="G297" s="6" t="s">
        <v>946</v>
      </c>
    </row>
    <row r="298" ht="15.75" customHeight="1">
      <c r="A298" s="6" t="s">
        <v>745</v>
      </c>
      <c r="B298" s="6" t="s">
        <v>1809</v>
      </c>
      <c r="C298" s="6" t="s">
        <v>1810</v>
      </c>
      <c r="D298" s="6" t="s">
        <v>764</v>
      </c>
      <c r="E298" s="6" t="s">
        <v>429</v>
      </c>
      <c r="F298" s="6" t="s">
        <v>59</v>
      </c>
      <c r="G298" s="6" t="s">
        <v>946</v>
      </c>
    </row>
    <row r="299" ht="15.75" customHeight="1">
      <c r="A299" s="6" t="s">
        <v>745</v>
      </c>
      <c r="B299" s="6" t="s">
        <v>1809</v>
      </c>
      <c r="C299" s="6" t="s">
        <v>1810</v>
      </c>
      <c r="D299" s="6" t="s">
        <v>770</v>
      </c>
      <c r="E299" s="6" t="s">
        <v>429</v>
      </c>
      <c r="F299" s="6" t="s">
        <v>59</v>
      </c>
      <c r="G299" s="6" t="s">
        <v>438</v>
      </c>
    </row>
    <row r="300" ht="15.75" customHeight="1">
      <c r="A300" s="6" t="s">
        <v>745</v>
      </c>
      <c r="B300" s="6" t="s">
        <v>1809</v>
      </c>
      <c r="C300" s="6" t="s">
        <v>1810</v>
      </c>
      <c r="D300" s="6" t="s">
        <v>837</v>
      </c>
      <c r="E300" s="6" t="s">
        <v>429</v>
      </c>
      <c r="F300" s="6" t="s">
        <v>59</v>
      </c>
      <c r="G300" s="6" t="s">
        <v>556</v>
      </c>
    </row>
    <row r="301" ht="15.75" customHeight="1">
      <c r="A301" s="6" t="s">
        <v>745</v>
      </c>
      <c r="B301" s="6" t="s">
        <v>1809</v>
      </c>
      <c r="C301" s="6" t="s">
        <v>1810</v>
      </c>
      <c r="D301" s="6" t="s">
        <v>1166</v>
      </c>
      <c r="E301" s="6" t="s">
        <v>429</v>
      </c>
      <c r="F301" s="6" t="s">
        <v>59</v>
      </c>
      <c r="G301" s="6" t="s">
        <v>541</v>
      </c>
    </row>
    <row r="302" ht="15.75" customHeight="1">
      <c r="A302" s="6" t="s">
        <v>745</v>
      </c>
      <c r="B302" s="6" t="s">
        <v>1809</v>
      </c>
      <c r="C302" s="6" t="s">
        <v>1810</v>
      </c>
      <c r="D302" s="6" t="s">
        <v>848</v>
      </c>
      <c r="E302" s="6" t="s">
        <v>429</v>
      </c>
      <c r="F302" s="6" t="s">
        <v>59</v>
      </c>
      <c r="G302" s="6" t="s">
        <v>438</v>
      </c>
    </row>
    <row r="303" ht="15.75" customHeight="1">
      <c r="A303" s="6" t="s">
        <v>818</v>
      </c>
      <c r="B303" s="6" t="s">
        <v>1809</v>
      </c>
      <c r="C303" s="6" t="s">
        <v>1810</v>
      </c>
      <c r="D303" s="6" t="s">
        <v>825</v>
      </c>
      <c r="E303" s="6" t="s">
        <v>30</v>
      </c>
      <c r="F303" s="6" t="s">
        <v>59</v>
      </c>
      <c r="G303" s="6" t="s">
        <v>459</v>
      </c>
    </row>
    <row r="304" ht="15.75" customHeight="1">
      <c r="A304" s="6" t="s">
        <v>818</v>
      </c>
      <c r="B304" s="6" t="s">
        <v>1809</v>
      </c>
      <c r="C304" s="6" t="s">
        <v>1810</v>
      </c>
      <c r="D304" s="6" t="s">
        <v>705</v>
      </c>
      <c r="E304" s="6" t="s">
        <v>429</v>
      </c>
      <c r="F304" s="6" t="s">
        <v>59</v>
      </c>
      <c r="G304" s="6" t="s">
        <v>224</v>
      </c>
    </row>
    <row r="305" ht="15.75" customHeight="1">
      <c r="A305" s="6" t="s">
        <v>818</v>
      </c>
      <c r="B305" s="6" t="s">
        <v>1809</v>
      </c>
      <c r="C305" s="6" t="s">
        <v>1810</v>
      </c>
      <c r="D305" s="6" t="s">
        <v>825</v>
      </c>
      <c r="E305" s="6" t="s">
        <v>30</v>
      </c>
      <c r="F305" s="6" t="s">
        <v>59</v>
      </c>
      <c r="G305" s="6" t="s">
        <v>592</v>
      </c>
    </row>
    <row r="306" ht="15.75" customHeight="1">
      <c r="A306" s="6" t="s">
        <v>818</v>
      </c>
      <c r="B306" s="6" t="s">
        <v>1809</v>
      </c>
      <c r="C306" s="6" t="s">
        <v>1810</v>
      </c>
      <c r="D306" s="6" t="s">
        <v>1171</v>
      </c>
      <c r="E306" s="6" t="s">
        <v>429</v>
      </c>
      <c r="F306" s="6" t="s">
        <v>373</v>
      </c>
      <c r="G306" s="6" t="s">
        <v>524</v>
      </c>
    </row>
    <row r="307" ht="15.75" customHeight="1">
      <c r="A307" s="6" t="s">
        <v>818</v>
      </c>
      <c r="B307" s="6" t="s">
        <v>1809</v>
      </c>
      <c r="C307" s="6" t="s">
        <v>1810</v>
      </c>
      <c r="D307" s="6" t="s">
        <v>870</v>
      </c>
      <c r="E307" s="6" t="s">
        <v>429</v>
      </c>
      <c r="F307" s="6" t="s">
        <v>59</v>
      </c>
      <c r="G307" s="6" t="s">
        <v>430</v>
      </c>
    </row>
    <row r="308" ht="15.75" customHeight="1">
      <c r="A308" s="6" t="s">
        <v>818</v>
      </c>
      <c r="B308" s="6" t="s">
        <v>1809</v>
      </c>
      <c r="C308" s="6" t="s">
        <v>1810</v>
      </c>
      <c r="D308" s="6" t="s">
        <v>690</v>
      </c>
      <c r="E308" s="6" t="s">
        <v>429</v>
      </c>
      <c r="F308" s="6" t="s">
        <v>59</v>
      </c>
      <c r="G308" s="6" t="s">
        <v>224</v>
      </c>
    </row>
    <row r="309" ht="15.75" customHeight="1">
      <c r="A309" s="6" t="s">
        <v>818</v>
      </c>
      <c r="B309" s="6" t="s">
        <v>1809</v>
      </c>
      <c r="C309" s="6" t="s">
        <v>1810</v>
      </c>
      <c r="D309" s="6" t="s">
        <v>690</v>
      </c>
      <c r="E309" s="6" t="s">
        <v>429</v>
      </c>
      <c r="F309" s="6" t="s">
        <v>373</v>
      </c>
      <c r="G309" s="6" t="s">
        <v>524</v>
      </c>
    </row>
    <row r="310" ht="15.75" customHeight="1">
      <c r="A310" s="6" t="s">
        <v>818</v>
      </c>
      <c r="B310" s="6" t="s">
        <v>1809</v>
      </c>
      <c r="C310" s="6" t="s">
        <v>1810</v>
      </c>
      <c r="D310" s="6" t="s">
        <v>764</v>
      </c>
      <c r="E310" s="6" t="s">
        <v>429</v>
      </c>
      <c r="F310" s="6" t="s">
        <v>59</v>
      </c>
      <c r="G310" s="6" t="s">
        <v>592</v>
      </c>
    </row>
    <row r="311" ht="15.75" customHeight="1">
      <c r="A311" s="6" t="s">
        <v>818</v>
      </c>
      <c r="B311" s="6" t="s">
        <v>1809</v>
      </c>
      <c r="C311" s="6" t="s">
        <v>1810</v>
      </c>
      <c r="D311" s="6" t="s">
        <v>870</v>
      </c>
      <c r="E311" s="6" t="s">
        <v>429</v>
      </c>
      <c r="F311" s="6" t="s">
        <v>59</v>
      </c>
      <c r="G311" s="6" t="s">
        <v>714</v>
      </c>
    </row>
    <row r="312" ht="15.75" customHeight="1">
      <c r="A312" s="6" t="s">
        <v>818</v>
      </c>
      <c r="B312" s="6" t="s">
        <v>1809</v>
      </c>
      <c r="C312" s="6" t="s">
        <v>1810</v>
      </c>
      <c r="D312" s="6" t="s">
        <v>1137</v>
      </c>
      <c r="E312" s="6" t="s">
        <v>429</v>
      </c>
      <c r="F312" s="6" t="s">
        <v>59</v>
      </c>
      <c r="G312" s="6" t="s">
        <v>430</v>
      </c>
    </row>
    <row r="313" ht="15.75" customHeight="1">
      <c r="A313" s="6" t="s">
        <v>818</v>
      </c>
      <c r="B313" s="6" t="s">
        <v>1809</v>
      </c>
      <c r="C313" s="6" t="s">
        <v>1810</v>
      </c>
      <c r="D313" s="6" t="s">
        <v>747</v>
      </c>
      <c r="E313" s="6" t="s">
        <v>429</v>
      </c>
      <c r="F313" s="6" t="s">
        <v>59</v>
      </c>
      <c r="G313" s="6" t="s">
        <v>438</v>
      </c>
    </row>
    <row r="314" ht="15.75" customHeight="1">
      <c r="A314" s="6" t="s">
        <v>818</v>
      </c>
      <c r="B314" s="6" t="s">
        <v>1809</v>
      </c>
      <c r="C314" s="6" t="s">
        <v>1810</v>
      </c>
      <c r="D314" s="6" t="s">
        <v>914</v>
      </c>
      <c r="E314" s="6" t="s">
        <v>429</v>
      </c>
      <c r="F314" s="6" t="s">
        <v>373</v>
      </c>
      <c r="G314" s="6" t="s">
        <v>592</v>
      </c>
    </row>
    <row r="315" ht="15.75" customHeight="1">
      <c r="A315" s="6" t="s">
        <v>818</v>
      </c>
      <c r="B315" s="6" t="s">
        <v>1809</v>
      </c>
      <c r="C315" s="6" t="s">
        <v>1810</v>
      </c>
      <c r="D315" s="6" t="s">
        <v>672</v>
      </c>
      <c r="E315" s="6" t="s">
        <v>553</v>
      </c>
      <c r="G315" s="6" t="s">
        <v>282</v>
      </c>
    </row>
    <row r="316" ht="15.75" customHeight="1">
      <c r="A316" s="6" t="s">
        <v>818</v>
      </c>
      <c r="B316" s="6" t="s">
        <v>1809</v>
      </c>
      <c r="C316" s="6" t="s">
        <v>1810</v>
      </c>
      <c r="D316" s="6" t="s">
        <v>870</v>
      </c>
      <c r="E316" s="6" t="s">
        <v>429</v>
      </c>
      <c r="F316" s="6" t="s">
        <v>59</v>
      </c>
      <c r="G316" s="6" t="s">
        <v>592</v>
      </c>
    </row>
    <row r="317" ht="15.75" customHeight="1">
      <c r="A317" s="6" t="s">
        <v>818</v>
      </c>
      <c r="B317" s="6" t="s">
        <v>1809</v>
      </c>
      <c r="C317" s="6" t="s">
        <v>1810</v>
      </c>
      <c r="D317" s="6" t="s">
        <v>670</v>
      </c>
      <c r="E317" s="6" t="s">
        <v>429</v>
      </c>
      <c r="F317" s="6" t="s">
        <v>59</v>
      </c>
      <c r="G317" s="6" t="s">
        <v>714</v>
      </c>
    </row>
    <row r="318" ht="15.75" customHeight="1">
      <c r="A318" s="6" t="s">
        <v>818</v>
      </c>
      <c r="B318" s="6" t="s">
        <v>1809</v>
      </c>
      <c r="C318" s="6" t="s">
        <v>1810</v>
      </c>
      <c r="D318" s="6" t="s">
        <v>764</v>
      </c>
      <c r="E318" s="6" t="s">
        <v>429</v>
      </c>
      <c r="F318" s="6" t="s">
        <v>59</v>
      </c>
      <c r="G318" s="6" t="s">
        <v>430</v>
      </c>
    </row>
    <row r="319" ht="15.75" customHeight="1">
      <c r="A319" s="6" t="s">
        <v>818</v>
      </c>
      <c r="B319" s="6" t="s">
        <v>1809</v>
      </c>
      <c r="C319" s="6" t="s">
        <v>1810</v>
      </c>
      <c r="D319" s="6" t="s">
        <v>690</v>
      </c>
      <c r="E319" s="6" t="s">
        <v>429</v>
      </c>
      <c r="F319" s="6" t="s">
        <v>59</v>
      </c>
      <c r="G319" s="6" t="s">
        <v>438</v>
      </c>
    </row>
    <row r="320" ht="15.75" customHeight="1">
      <c r="A320" s="6" t="s">
        <v>818</v>
      </c>
      <c r="B320" s="6" t="s">
        <v>1809</v>
      </c>
      <c r="C320" s="6" t="s">
        <v>1810</v>
      </c>
      <c r="D320" s="6" t="s">
        <v>672</v>
      </c>
      <c r="E320" s="6" t="s">
        <v>429</v>
      </c>
      <c r="F320" s="6" t="s">
        <v>59</v>
      </c>
      <c r="G320" s="6" t="s">
        <v>714</v>
      </c>
    </row>
    <row r="321" ht="15.75" customHeight="1">
      <c r="A321" s="6" t="s">
        <v>818</v>
      </c>
      <c r="B321" s="6" t="s">
        <v>1809</v>
      </c>
      <c r="C321" s="6" t="s">
        <v>1810</v>
      </c>
      <c r="D321" s="6" t="s">
        <v>764</v>
      </c>
      <c r="E321" s="6" t="s">
        <v>429</v>
      </c>
      <c r="F321" s="6" t="s">
        <v>59</v>
      </c>
      <c r="G321" s="6" t="s">
        <v>714</v>
      </c>
    </row>
    <row r="322" ht="15.75" customHeight="1">
      <c r="A322" s="6" t="s">
        <v>818</v>
      </c>
      <c r="B322" s="6" t="s">
        <v>1809</v>
      </c>
      <c r="C322" s="6" t="s">
        <v>1810</v>
      </c>
      <c r="D322" s="6" t="s">
        <v>679</v>
      </c>
      <c r="E322" s="6" t="s">
        <v>553</v>
      </c>
      <c r="G322" s="6" t="s">
        <v>714</v>
      </c>
    </row>
    <row r="323" ht="15.75" customHeight="1">
      <c r="A323" s="6" t="s">
        <v>818</v>
      </c>
      <c r="B323" s="6" t="s">
        <v>1809</v>
      </c>
      <c r="C323" s="6" t="s">
        <v>1810</v>
      </c>
      <c r="D323" s="6" t="s">
        <v>914</v>
      </c>
      <c r="E323" s="6" t="s">
        <v>429</v>
      </c>
      <c r="F323" s="6" t="s">
        <v>59</v>
      </c>
      <c r="G323" s="6" t="s">
        <v>224</v>
      </c>
    </row>
    <row r="324" ht="15.75" customHeight="1">
      <c r="A324" s="6" t="s">
        <v>818</v>
      </c>
      <c r="B324" s="6" t="s">
        <v>1809</v>
      </c>
      <c r="C324" s="6" t="s">
        <v>1810</v>
      </c>
      <c r="D324" s="6" t="s">
        <v>684</v>
      </c>
      <c r="E324" s="6" t="s">
        <v>429</v>
      </c>
      <c r="F324" s="6" t="s">
        <v>59</v>
      </c>
      <c r="G324" s="6" t="s">
        <v>343</v>
      </c>
    </row>
    <row r="325" ht="15.75" customHeight="1">
      <c r="A325" s="6" t="s">
        <v>818</v>
      </c>
      <c r="B325" s="6" t="s">
        <v>1809</v>
      </c>
      <c r="C325" s="6" t="s">
        <v>1810</v>
      </c>
      <c r="D325" s="6" t="s">
        <v>684</v>
      </c>
      <c r="E325" s="6" t="s">
        <v>429</v>
      </c>
      <c r="F325" s="6" t="s">
        <v>59</v>
      </c>
      <c r="G325" s="6" t="s">
        <v>592</v>
      </c>
    </row>
    <row r="326" ht="15.75" customHeight="1">
      <c r="A326" s="6" t="s">
        <v>818</v>
      </c>
      <c r="B326" s="6" t="s">
        <v>1809</v>
      </c>
      <c r="C326" s="6" t="s">
        <v>1810</v>
      </c>
      <c r="D326" s="6" t="s">
        <v>684</v>
      </c>
      <c r="E326" s="6" t="s">
        <v>429</v>
      </c>
      <c r="F326" s="6" t="s">
        <v>59</v>
      </c>
      <c r="G326" s="6" t="s">
        <v>592</v>
      </c>
    </row>
    <row r="327" ht="15.75" customHeight="1">
      <c r="A327" s="6" t="s">
        <v>818</v>
      </c>
      <c r="B327" s="6" t="s">
        <v>1809</v>
      </c>
      <c r="C327" s="6" t="s">
        <v>1810</v>
      </c>
      <c r="D327" s="6" t="s">
        <v>690</v>
      </c>
      <c r="E327" s="6" t="s">
        <v>429</v>
      </c>
      <c r="F327" s="6" t="s">
        <v>59</v>
      </c>
      <c r="G327" s="6" t="s">
        <v>343</v>
      </c>
    </row>
    <row r="328" ht="15.75" customHeight="1">
      <c r="A328" s="6" t="s">
        <v>818</v>
      </c>
      <c r="B328" s="6" t="s">
        <v>1809</v>
      </c>
      <c r="C328" s="6" t="s">
        <v>1810</v>
      </c>
      <c r="D328" s="6" t="s">
        <v>848</v>
      </c>
      <c r="E328" s="6" t="s">
        <v>429</v>
      </c>
      <c r="F328" s="6" t="s">
        <v>59</v>
      </c>
      <c r="G328" s="6" t="s">
        <v>714</v>
      </c>
    </row>
    <row r="329" ht="15.75" customHeight="1">
      <c r="A329" s="6" t="s">
        <v>818</v>
      </c>
      <c r="B329" s="6" t="s">
        <v>1809</v>
      </c>
      <c r="C329" s="6" t="s">
        <v>1810</v>
      </c>
      <c r="D329" s="6" t="s">
        <v>848</v>
      </c>
      <c r="E329" s="6" t="s">
        <v>553</v>
      </c>
      <c r="G329" s="6" t="s">
        <v>714</v>
      </c>
    </row>
    <row r="330" ht="15.75" customHeight="1">
      <c r="A330" s="6" t="s">
        <v>818</v>
      </c>
      <c r="B330" s="6" t="s">
        <v>1809</v>
      </c>
      <c r="C330" s="6" t="s">
        <v>1810</v>
      </c>
      <c r="D330" s="6" t="s">
        <v>825</v>
      </c>
      <c r="E330" s="6" t="s">
        <v>429</v>
      </c>
      <c r="F330" s="6" t="s">
        <v>59</v>
      </c>
      <c r="G330" s="6" t="s">
        <v>282</v>
      </c>
    </row>
    <row r="331" ht="15.75" customHeight="1">
      <c r="A331" s="6" t="s">
        <v>818</v>
      </c>
      <c r="B331" s="6" t="s">
        <v>1809</v>
      </c>
      <c r="C331" s="6" t="s">
        <v>1810</v>
      </c>
      <c r="D331" s="6" t="s">
        <v>914</v>
      </c>
      <c r="E331" s="6" t="s">
        <v>429</v>
      </c>
      <c r="F331" s="6" t="s">
        <v>59</v>
      </c>
      <c r="G331" s="6" t="s">
        <v>438</v>
      </c>
    </row>
    <row r="332" ht="15.75" customHeight="1">
      <c r="A332" s="6" t="s">
        <v>818</v>
      </c>
      <c r="B332" s="6" t="s">
        <v>1809</v>
      </c>
      <c r="C332" s="6" t="s">
        <v>1810</v>
      </c>
      <c r="D332" s="6" t="s">
        <v>825</v>
      </c>
      <c r="E332" s="6" t="s">
        <v>429</v>
      </c>
      <c r="F332" s="6" t="s">
        <v>59</v>
      </c>
      <c r="G332" s="6" t="s">
        <v>430</v>
      </c>
    </row>
    <row r="333" ht="15.75" customHeight="1">
      <c r="A333" s="6" t="s">
        <v>818</v>
      </c>
      <c r="B333" s="6" t="s">
        <v>1809</v>
      </c>
      <c r="C333" s="6" t="s">
        <v>1810</v>
      </c>
      <c r="D333" s="6" t="s">
        <v>848</v>
      </c>
      <c r="E333" s="6" t="s">
        <v>429</v>
      </c>
      <c r="F333" s="6" t="s">
        <v>59</v>
      </c>
      <c r="G333" s="6" t="s">
        <v>714</v>
      </c>
    </row>
    <row r="334" ht="15.75" customHeight="1">
      <c r="A334" s="6" t="s">
        <v>818</v>
      </c>
      <c r="B334" s="6" t="s">
        <v>1809</v>
      </c>
      <c r="C334" s="6" t="s">
        <v>1810</v>
      </c>
      <c r="D334" s="6" t="s">
        <v>837</v>
      </c>
      <c r="E334" s="6" t="s">
        <v>429</v>
      </c>
      <c r="F334" s="6" t="s">
        <v>59</v>
      </c>
      <c r="G334" s="6" t="s">
        <v>714</v>
      </c>
    </row>
    <row r="335" ht="15.75" customHeight="1">
      <c r="A335" s="6" t="s">
        <v>818</v>
      </c>
      <c r="B335" s="6" t="s">
        <v>1809</v>
      </c>
      <c r="C335" s="6" t="s">
        <v>1810</v>
      </c>
      <c r="D335" s="6" t="s">
        <v>899</v>
      </c>
      <c r="E335" s="6" t="s">
        <v>429</v>
      </c>
      <c r="F335" s="6" t="s">
        <v>373</v>
      </c>
      <c r="G335" s="6" t="s">
        <v>438</v>
      </c>
    </row>
    <row r="336" ht="15.75" customHeight="1">
      <c r="A336" s="6" t="s">
        <v>818</v>
      </c>
      <c r="B336" s="6" t="s">
        <v>1809</v>
      </c>
      <c r="C336" s="6" t="s">
        <v>1810</v>
      </c>
      <c r="D336" s="6" t="s">
        <v>1192</v>
      </c>
      <c r="E336" s="6" t="s">
        <v>429</v>
      </c>
      <c r="F336" s="6" t="s">
        <v>59</v>
      </c>
      <c r="G336" s="6" t="s">
        <v>524</v>
      </c>
    </row>
    <row r="337" ht="15.75" customHeight="1">
      <c r="A337" s="6" t="s">
        <v>818</v>
      </c>
      <c r="B337" s="6" t="s">
        <v>1809</v>
      </c>
      <c r="C337" s="6" t="s">
        <v>1810</v>
      </c>
      <c r="D337" s="6" t="s">
        <v>914</v>
      </c>
      <c r="E337" s="6" t="s">
        <v>429</v>
      </c>
      <c r="F337" s="6" t="s">
        <v>59</v>
      </c>
      <c r="G337" s="6" t="s">
        <v>343</v>
      </c>
    </row>
    <row r="338" ht="15.75" customHeight="1">
      <c r="A338" s="6" t="s">
        <v>818</v>
      </c>
      <c r="B338" s="6" t="s">
        <v>1809</v>
      </c>
      <c r="C338" s="6" t="s">
        <v>1810</v>
      </c>
      <c r="D338" s="6" t="s">
        <v>672</v>
      </c>
      <c r="E338" s="6" t="s">
        <v>429</v>
      </c>
      <c r="F338" s="6" t="s">
        <v>59</v>
      </c>
      <c r="G338" s="6" t="s">
        <v>714</v>
      </c>
    </row>
    <row r="339" ht="15.75" customHeight="1">
      <c r="A339" s="6" t="s">
        <v>818</v>
      </c>
      <c r="B339" s="6" t="s">
        <v>1809</v>
      </c>
      <c r="C339" s="6" t="s">
        <v>1810</v>
      </c>
      <c r="D339" s="6" t="s">
        <v>781</v>
      </c>
      <c r="E339" s="6" t="s">
        <v>429</v>
      </c>
      <c r="F339" s="6" t="s">
        <v>59</v>
      </c>
      <c r="G339" s="6" t="s">
        <v>459</v>
      </c>
    </row>
    <row r="340" ht="15.75" customHeight="1">
      <c r="A340" s="6" t="s">
        <v>818</v>
      </c>
      <c r="B340" s="6" t="s">
        <v>1809</v>
      </c>
      <c r="C340" s="6" t="s">
        <v>1810</v>
      </c>
      <c r="D340" s="6" t="s">
        <v>705</v>
      </c>
      <c r="E340" s="6" t="s">
        <v>429</v>
      </c>
      <c r="F340" s="6" t="s">
        <v>59</v>
      </c>
      <c r="G340" s="6" t="s">
        <v>438</v>
      </c>
    </row>
    <row r="341" ht="15.75" customHeight="1">
      <c r="A341" s="6" t="s">
        <v>818</v>
      </c>
      <c r="B341" s="6" t="s">
        <v>1809</v>
      </c>
      <c r="C341" s="6" t="s">
        <v>1810</v>
      </c>
      <c r="D341" s="6" t="s">
        <v>848</v>
      </c>
      <c r="E341" s="6" t="s">
        <v>429</v>
      </c>
      <c r="F341" s="6" t="s">
        <v>59</v>
      </c>
      <c r="G341" s="6" t="s">
        <v>592</v>
      </c>
    </row>
    <row r="342" ht="15.75" customHeight="1">
      <c r="A342" s="6" t="s">
        <v>818</v>
      </c>
      <c r="B342" s="6" t="s">
        <v>1809</v>
      </c>
      <c r="C342" s="6" t="s">
        <v>1810</v>
      </c>
      <c r="D342" s="6" t="s">
        <v>848</v>
      </c>
      <c r="E342" s="6" t="s">
        <v>429</v>
      </c>
      <c r="F342" s="6" t="s">
        <v>59</v>
      </c>
      <c r="G342" s="6" t="s">
        <v>592</v>
      </c>
    </row>
    <row r="343" ht="15.75" customHeight="1">
      <c r="A343" s="6" t="s">
        <v>818</v>
      </c>
      <c r="B343" s="6" t="s">
        <v>1809</v>
      </c>
      <c r="C343" s="6" t="s">
        <v>1810</v>
      </c>
      <c r="D343" s="6" t="s">
        <v>1042</v>
      </c>
      <c r="E343" s="6" t="s">
        <v>429</v>
      </c>
      <c r="F343" s="6" t="s">
        <v>373</v>
      </c>
      <c r="G343" s="6" t="s">
        <v>282</v>
      </c>
    </row>
    <row r="344" ht="15.75" customHeight="1">
      <c r="A344" s="6" t="s">
        <v>818</v>
      </c>
      <c r="B344" s="6" t="s">
        <v>1809</v>
      </c>
      <c r="C344" s="6" t="s">
        <v>1810</v>
      </c>
      <c r="D344" s="6" t="s">
        <v>1042</v>
      </c>
      <c r="E344" s="6" t="s">
        <v>429</v>
      </c>
      <c r="F344" s="6" t="s">
        <v>561</v>
      </c>
      <c r="G344" s="6" t="s">
        <v>282</v>
      </c>
    </row>
    <row r="345" ht="15.75" customHeight="1">
      <c r="A345" s="6" t="s">
        <v>818</v>
      </c>
      <c r="B345" s="6" t="s">
        <v>1822</v>
      </c>
      <c r="C345" s="6" t="s">
        <v>1810</v>
      </c>
      <c r="D345" s="6" t="s">
        <v>837</v>
      </c>
      <c r="E345" s="6" t="s">
        <v>429</v>
      </c>
      <c r="F345" s="6" t="s">
        <v>984</v>
      </c>
      <c r="G345" s="6" t="s">
        <v>1113</v>
      </c>
    </row>
    <row r="346" ht="15.75" customHeight="1">
      <c r="A346" s="6" t="s">
        <v>863</v>
      </c>
      <c r="B346" s="6" t="s">
        <v>1809</v>
      </c>
      <c r="C346" s="6" t="s">
        <v>1810</v>
      </c>
      <c r="D346" s="6" t="s">
        <v>837</v>
      </c>
      <c r="E346" s="6" t="s">
        <v>553</v>
      </c>
      <c r="G346" s="6" t="s">
        <v>946</v>
      </c>
    </row>
    <row r="347" ht="15.75" customHeight="1">
      <c r="A347" s="6" t="s">
        <v>863</v>
      </c>
      <c r="B347" s="6" t="s">
        <v>1809</v>
      </c>
      <c r="C347" s="6" t="s">
        <v>1810</v>
      </c>
      <c r="D347" s="6" t="s">
        <v>781</v>
      </c>
      <c r="E347" s="6" t="s">
        <v>553</v>
      </c>
      <c r="G347" s="6" t="s">
        <v>946</v>
      </c>
    </row>
    <row r="348" ht="15.75" customHeight="1">
      <c r="A348" s="6" t="s">
        <v>863</v>
      </c>
      <c r="B348" s="6" t="s">
        <v>1809</v>
      </c>
      <c r="C348" s="6" t="s">
        <v>1810</v>
      </c>
      <c r="D348" s="6" t="s">
        <v>840</v>
      </c>
      <c r="E348" s="6" t="s">
        <v>429</v>
      </c>
      <c r="F348" s="6" t="s">
        <v>59</v>
      </c>
      <c r="G348" s="6" t="s">
        <v>438</v>
      </c>
    </row>
    <row r="349" ht="15.75" customHeight="1">
      <c r="A349" s="6" t="s">
        <v>863</v>
      </c>
      <c r="B349" s="6" t="s">
        <v>1809</v>
      </c>
      <c r="C349" s="6" t="s">
        <v>1810</v>
      </c>
      <c r="D349" s="6" t="s">
        <v>700</v>
      </c>
      <c r="E349" s="6" t="s">
        <v>429</v>
      </c>
      <c r="F349" s="6" t="s">
        <v>59</v>
      </c>
      <c r="G349" s="6" t="s">
        <v>282</v>
      </c>
    </row>
    <row r="350" ht="15.75" customHeight="1">
      <c r="A350" s="6" t="s">
        <v>863</v>
      </c>
      <c r="B350" s="6" t="s">
        <v>1809</v>
      </c>
      <c r="C350" s="6" t="s">
        <v>1810</v>
      </c>
      <c r="D350" s="6" t="s">
        <v>1214</v>
      </c>
      <c r="E350" s="6" t="s">
        <v>429</v>
      </c>
      <c r="F350" s="6" t="s">
        <v>59</v>
      </c>
      <c r="G350" s="6" t="s">
        <v>136</v>
      </c>
    </row>
    <row r="351" ht="15.75" customHeight="1">
      <c r="A351" s="6" t="s">
        <v>863</v>
      </c>
      <c r="B351" s="6" t="s">
        <v>1809</v>
      </c>
      <c r="C351" s="6" t="s">
        <v>1810</v>
      </c>
      <c r="D351" s="6" t="s">
        <v>781</v>
      </c>
      <c r="E351" s="6" t="s">
        <v>429</v>
      </c>
      <c r="F351" s="6" t="s">
        <v>59</v>
      </c>
      <c r="G351" s="6" t="s">
        <v>438</v>
      </c>
    </row>
    <row r="352" ht="15.75" customHeight="1">
      <c r="A352" s="6" t="s">
        <v>863</v>
      </c>
      <c r="B352" s="6" t="s">
        <v>1809</v>
      </c>
      <c r="C352" s="6" t="s">
        <v>1810</v>
      </c>
      <c r="D352" s="6" t="s">
        <v>1138</v>
      </c>
      <c r="E352" s="6" t="s">
        <v>429</v>
      </c>
      <c r="F352" s="6" t="s">
        <v>59</v>
      </c>
      <c r="G352" s="6" t="s">
        <v>438</v>
      </c>
    </row>
    <row r="353" ht="15.75" customHeight="1">
      <c r="A353" s="6" t="s">
        <v>863</v>
      </c>
      <c r="B353" s="6" t="s">
        <v>1809</v>
      </c>
      <c r="C353" s="6" t="s">
        <v>1810</v>
      </c>
      <c r="D353" s="6" t="s">
        <v>679</v>
      </c>
      <c r="E353" s="6" t="s">
        <v>429</v>
      </c>
      <c r="F353" s="6" t="s">
        <v>59</v>
      </c>
      <c r="G353" s="6" t="s">
        <v>459</v>
      </c>
    </row>
    <row r="354" ht="15.75" customHeight="1">
      <c r="A354" s="6" t="s">
        <v>863</v>
      </c>
      <c r="B354" s="6" t="s">
        <v>1809</v>
      </c>
      <c r="C354" s="6" t="s">
        <v>1810</v>
      </c>
      <c r="D354" s="6" t="s">
        <v>684</v>
      </c>
      <c r="E354" s="6" t="s">
        <v>429</v>
      </c>
      <c r="F354" s="6" t="s">
        <v>59</v>
      </c>
      <c r="G354" s="6" t="s">
        <v>438</v>
      </c>
    </row>
    <row r="355" ht="15.75" customHeight="1">
      <c r="A355" s="6" t="s">
        <v>863</v>
      </c>
      <c r="B355" s="6" t="s">
        <v>1809</v>
      </c>
      <c r="C355" s="6" t="s">
        <v>1810</v>
      </c>
      <c r="D355" s="6" t="s">
        <v>690</v>
      </c>
      <c r="E355" s="6" t="s">
        <v>429</v>
      </c>
      <c r="F355" s="6" t="s">
        <v>373</v>
      </c>
      <c r="G355" s="6" t="s">
        <v>136</v>
      </c>
    </row>
    <row r="356" ht="15.75" customHeight="1">
      <c r="A356" s="6" t="s">
        <v>863</v>
      </c>
      <c r="B356" s="6" t="s">
        <v>1809</v>
      </c>
      <c r="C356" s="6" t="s">
        <v>1810</v>
      </c>
      <c r="D356" s="6" t="s">
        <v>899</v>
      </c>
      <c r="E356" s="6" t="s">
        <v>429</v>
      </c>
      <c r="F356" s="6" t="s">
        <v>59</v>
      </c>
      <c r="G356" s="6" t="s">
        <v>438</v>
      </c>
    </row>
    <row r="357" ht="15.75" customHeight="1">
      <c r="A357" s="6" t="s">
        <v>863</v>
      </c>
      <c r="B357" s="6" t="s">
        <v>1809</v>
      </c>
      <c r="C357" s="6" t="s">
        <v>1810</v>
      </c>
      <c r="D357" s="6" t="s">
        <v>781</v>
      </c>
      <c r="E357" s="6" t="s">
        <v>429</v>
      </c>
      <c r="F357" s="6" t="s">
        <v>59</v>
      </c>
      <c r="G357" s="6" t="s">
        <v>459</v>
      </c>
    </row>
    <row r="358" ht="15.75" customHeight="1">
      <c r="A358" s="6" t="s">
        <v>863</v>
      </c>
      <c r="B358" s="6" t="s">
        <v>1809</v>
      </c>
      <c r="C358" s="6" t="s">
        <v>1810</v>
      </c>
      <c r="D358" s="6" t="s">
        <v>764</v>
      </c>
      <c r="E358" s="6" t="s">
        <v>429</v>
      </c>
      <c r="F358" s="6" t="s">
        <v>59</v>
      </c>
      <c r="G358" s="6" t="s">
        <v>438</v>
      </c>
    </row>
    <row r="359" ht="15.75" customHeight="1">
      <c r="A359" s="6" t="s">
        <v>863</v>
      </c>
      <c r="B359" s="6" t="s">
        <v>1809</v>
      </c>
      <c r="C359" s="6" t="s">
        <v>1810</v>
      </c>
      <c r="D359" s="6" t="s">
        <v>764</v>
      </c>
      <c r="E359" s="6" t="s">
        <v>429</v>
      </c>
      <c r="F359" s="6" t="s">
        <v>59</v>
      </c>
      <c r="G359" s="6" t="s">
        <v>438</v>
      </c>
    </row>
    <row r="360" ht="15.75" customHeight="1">
      <c r="A360" s="6" t="s">
        <v>863</v>
      </c>
      <c r="B360" s="6" t="s">
        <v>1809</v>
      </c>
      <c r="C360" s="6" t="s">
        <v>1810</v>
      </c>
      <c r="D360" s="6" t="s">
        <v>870</v>
      </c>
      <c r="E360" s="6" t="s">
        <v>429</v>
      </c>
      <c r="F360" s="6" t="s">
        <v>59</v>
      </c>
      <c r="G360" s="6" t="s">
        <v>524</v>
      </c>
    </row>
    <row r="361" ht="15.75" customHeight="1">
      <c r="A361" s="6" t="s">
        <v>863</v>
      </c>
      <c r="B361" s="6" t="s">
        <v>1809</v>
      </c>
      <c r="C361" s="6" t="s">
        <v>1810</v>
      </c>
      <c r="D361" s="6" t="s">
        <v>1222</v>
      </c>
      <c r="E361" s="6" t="s">
        <v>429</v>
      </c>
      <c r="F361" s="6" t="s">
        <v>59</v>
      </c>
      <c r="G361" s="6" t="s">
        <v>438</v>
      </c>
    </row>
    <row r="362" ht="15.75" customHeight="1">
      <c r="A362" s="6" t="s">
        <v>863</v>
      </c>
      <c r="B362" s="6" t="s">
        <v>1809</v>
      </c>
      <c r="C362" s="6" t="s">
        <v>1810</v>
      </c>
      <c r="D362" s="6" t="s">
        <v>721</v>
      </c>
      <c r="E362" s="6" t="s">
        <v>429</v>
      </c>
      <c r="F362" s="6" t="s">
        <v>59</v>
      </c>
      <c r="G362" s="6" t="s">
        <v>430</v>
      </c>
    </row>
    <row r="363" ht="15.75" customHeight="1">
      <c r="A363" s="6" t="s">
        <v>863</v>
      </c>
      <c r="B363" s="6" t="s">
        <v>1809</v>
      </c>
      <c r="C363" s="6" t="s">
        <v>1810</v>
      </c>
      <c r="D363" s="6" t="s">
        <v>870</v>
      </c>
      <c r="E363" s="6" t="s">
        <v>429</v>
      </c>
      <c r="F363" s="6" t="s">
        <v>59</v>
      </c>
      <c r="G363" s="6" t="s">
        <v>438</v>
      </c>
    </row>
    <row r="364" ht="15.75" customHeight="1">
      <c r="A364" s="6" t="s">
        <v>863</v>
      </c>
      <c r="B364" s="6" t="s">
        <v>1809</v>
      </c>
      <c r="C364" s="6" t="s">
        <v>1810</v>
      </c>
      <c r="D364" s="6" t="s">
        <v>770</v>
      </c>
      <c r="E364" s="6" t="s">
        <v>429</v>
      </c>
      <c r="F364" s="6" t="s">
        <v>59</v>
      </c>
      <c r="G364" s="6" t="s">
        <v>282</v>
      </c>
    </row>
    <row r="365" ht="15.75" customHeight="1">
      <c r="A365" s="6" t="s">
        <v>863</v>
      </c>
      <c r="B365" s="6" t="s">
        <v>1809</v>
      </c>
      <c r="C365" s="6" t="s">
        <v>1810</v>
      </c>
      <c r="D365" s="6" t="s">
        <v>721</v>
      </c>
      <c r="E365" s="6" t="s">
        <v>429</v>
      </c>
      <c r="F365" s="6" t="s">
        <v>59</v>
      </c>
      <c r="G365" s="6" t="s">
        <v>282</v>
      </c>
    </row>
    <row r="366" ht="15.75" customHeight="1">
      <c r="A366" s="6" t="s">
        <v>863</v>
      </c>
      <c r="B366" s="6" t="s">
        <v>1809</v>
      </c>
      <c r="C366" s="6" t="s">
        <v>1810</v>
      </c>
      <c r="D366" s="6" t="s">
        <v>700</v>
      </c>
      <c r="E366" s="6" t="s">
        <v>429</v>
      </c>
      <c r="F366" s="6" t="s">
        <v>59</v>
      </c>
      <c r="G366" s="6" t="s">
        <v>459</v>
      </c>
    </row>
    <row r="367" ht="15.75" customHeight="1">
      <c r="A367" s="6" t="s">
        <v>863</v>
      </c>
      <c r="B367" s="6" t="s">
        <v>1809</v>
      </c>
      <c r="C367" s="6" t="s">
        <v>1810</v>
      </c>
      <c r="D367" s="6" t="s">
        <v>690</v>
      </c>
      <c r="E367" s="6" t="s">
        <v>429</v>
      </c>
      <c r="F367" s="6" t="s">
        <v>59</v>
      </c>
      <c r="G367" s="6" t="s">
        <v>508</v>
      </c>
    </row>
    <row r="368" ht="15.75" customHeight="1">
      <c r="A368" s="6" t="s">
        <v>863</v>
      </c>
      <c r="B368" s="6" t="s">
        <v>1809</v>
      </c>
      <c r="C368" s="6" t="s">
        <v>1810</v>
      </c>
      <c r="D368" s="6" t="s">
        <v>1237</v>
      </c>
      <c r="E368" s="6" t="s">
        <v>429</v>
      </c>
      <c r="F368" s="6" t="s">
        <v>59</v>
      </c>
      <c r="G368" s="6" t="s">
        <v>240</v>
      </c>
    </row>
    <row r="369" ht="15.75" customHeight="1">
      <c r="A369" s="6" t="s">
        <v>863</v>
      </c>
      <c r="B369" s="6" t="s">
        <v>1809</v>
      </c>
      <c r="C369" s="6" t="s">
        <v>1810</v>
      </c>
      <c r="D369" s="6" t="s">
        <v>1237</v>
      </c>
      <c r="E369" s="6" t="s">
        <v>429</v>
      </c>
      <c r="F369" s="6" t="s">
        <v>561</v>
      </c>
      <c r="G369" s="6" t="s">
        <v>240</v>
      </c>
    </row>
    <row r="370" ht="15.75" customHeight="1">
      <c r="A370" s="6" t="s">
        <v>863</v>
      </c>
      <c r="B370" s="6" t="s">
        <v>1809</v>
      </c>
      <c r="C370" s="6" t="s">
        <v>1810</v>
      </c>
      <c r="D370" s="6" t="s">
        <v>799</v>
      </c>
      <c r="E370" s="6" t="s">
        <v>429</v>
      </c>
      <c r="F370" s="6" t="s">
        <v>59</v>
      </c>
      <c r="G370" s="6" t="s">
        <v>240</v>
      </c>
    </row>
    <row r="371" ht="15.75" customHeight="1">
      <c r="A371" s="6" t="s">
        <v>863</v>
      </c>
      <c r="B371" s="6" t="s">
        <v>1809</v>
      </c>
      <c r="C371" s="6" t="s">
        <v>1810</v>
      </c>
      <c r="D371" s="6" t="s">
        <v>848</v>
      </c>
      <c r="E371" s="6" t="s">
        <v>429</v>
      </c>
      <c r="F371" s="6" t="s">
        <v>59</v>
      </c>
      <c r="G371" s="6" t="s">
        <v>438</v>
      </c>
    </row>
    <row r="372" ht="15.75" customHeight="1">
      <c r="A372" s="6" t="s">
        <v>863</v>
      </c>
      <c r="B372" s="6" t="s">
        <v>1809</v>
      </c>
      <c r="C372" s="6" t="s">
        <v>1810</v>
      </c>
      <c r="D372" s="6" t="s">
        <v>781</v>
      </c>
      <c r="E372" s="6" t="s">
        <v>553</v>
      </c>
      <c r="G372" s="6" t="s">
        <v>438</v>
      </c>
    </row>
    <row r="373" ht="15.75" customHeight="1">
      <c r="A373" s="6" t="s">
        <v>863</v>
      </c>
      <c r="B373" s="6" t="s">
        <v>1809</v>
      </c>
      <c r="C373" s="6" t="s">
        <v>1810</v>
      </c>
      <c r="D373" s="6" t="s">
        <v>684</v>
      </c>
      <c r="E373" s="6" t="s">
        <v>429</v>
      </c>
      <c r="F373" s="6" t="s">
        <v>59</v>
      </c>
      <c r="G373" s="6" t="s">
        <v>541</v>
      </c>
    </row>
    <row r="374" ht="15.75" customHeight="1">
      <c r="A374" s="6" t="s">
        <v>863</v>
      </c>
      <c r="B374" s="6" t="s">
        <v>1809</v>
      </c>
      <c r="C374" s="6" t="s">
        <v>1810</v>
      </c>
      <c r="D374" s="6" t="s">
        <v>764</v>
      </c>
      <c r="E374" s="6" t="s">
        <v>429</v>
      </c>
      <c r="F374" s="6" t="s">
        <v>59</v>
      </c>
      <c r="G374" s="6" t="s">
        <v>541</v>
      </c>
    </row>
    <row r="375" ht="15.75" customHeight="1">
      <c r="A375" s="6" t="s">
        <v>863</v>
      </c>
      <c r="B375" s="6" t="s">
        <v>1809</v>
      </c>
      <c r="C375" s="6" t="s">
        <v>1810</v>
      </c>
      <c r="D375" s="6" t="s">
        <v>672</v>
      </c>
      <c r="E375" s="6" t="s">
        <v>429</v>
      </c>
      <c r="F375" s="6" t="s">
        <v>59</v>
      </c>
      <c r="G375" s="6" t="s">
        <v>438</v>
      </c>
    </row>
    <row r="376" ht="15.75" customHeight="1">
      <c r="A376" s="6" t="s">
        <v>863</v>
      </c>
      <c r="B376" s="6" t="s">
        <v>1809</v>
      </c>
      <c r="C376" s="6" t="s">
        <v>1810</v>
      </c>
      <c r="D376" s="6" t="s">
        <v>840</v>
      </c>
      <c r="E376" s="6" t="s">
        <v>429</v>
      </c>
      <c r="F376" s="6" t="s">
        <v>59</v>
      </c>
      <c r="G376" s="6" t="s">
        <v>430</v>
      </c>
    </row>
    <row r="377" ht="15.75" customHeight="1">
      <c r="A377" s="6" t="s">
        <v>863</v>
      </c>
      <c r="B377" s="6" t="s">
        <v>1809</v>
      </c>
      <c r="C377" s="6" t="s">
        <v>1810</v>
      </c>
      <c r="D377" s="6" t="s">
        <v>705</v>
      </c>
      <c r="E377" s="6" t="s">
        <v>429</v>
      </c>
      <c r="F377" s="6" t="s">
        <v>59</v>
      </c>
      <c r="G377" s="6" t="s">
        <v>438</v>
      </c>
    </row>
    <row r="378" ht="15.75" customHeight="1">
      <c r="A378" s="6" t="s">
        <v>863</v>
      </c>
      <c r="B378" s="6" t="s">
        <v>1809</v>
      </c>
      <c r="C378" s="6" t="s">
        <v>1810</v>
      </c>
      <c r="D378" s="6" t="s">
        <v>1222</v>
      </c>
      <c r="E378" s="6" t="s">
        <v>429</v>
      </c>
      <c r="F378" s="6" t="s">
        <v>59</v>
      </c>
      <c r="G378" s="6" t="s">
        <v>438</v>
      </c>
    </row>
    <row r="379" ht="15.75" customHeight="1">
      <c r="A379" s="6" t="s">
        <v>863</v>
      </c>
      <c r="B379" s="6" t="s">
        <v>1809</v>
      </c>
      <c r="C379" s="6" t="s">
        <v>1810</v>
      </c>
      <c r="D379" s="6" t="s">
        <v>1257</v>
      </c>
      <c r="E379" s="6" t="s">
        <v>429</v>
      </c>
      <c r="F379" s="6" t="s">
        <v>59</v>
      </c>
      <c r="G379" s="6" t="s">
        <v>430</v>
      </c>
    </row>
    <row r="380" ht="15.75" customHeight="1">
      <c r="A380" s="6" t="s">
        <v>863</v>
      </c>
      <c r="B380" s="6" t="s">
        <v>1809</v>
      </c>
      <c r="C380" s="6" t="s">
        <v>1810</v>
      </c>
      <c r="D380" s="6" t="s">
        <v>870</v>
      </c>
      <c r="E380" s="6" t="s">
        <v>429</v>
      </c>
      <c r="F380" s="6" t="s">
        <v>59</v>
      </c>
      <c r="G380" s="6" t="s">
        <v>524</v>
      </c>
    </row>
    <row r="381" ht="15.75" customHeight="1">
      <c r="A381" s="6" t="s">
        <v>863</v>
      </c>
      <c r="B381" s="6" t="s">
        <v>1809</v>
      </c>
      <c r="C381" s="6" t="s">
        <v>1810</v>
      </c>
      <c r="D381" s="6" t="s">
        <v>825</v>
      </c>
      <c r="E381" s="6" t="s">
        <v>429</v>
      </c>
      <c r="F381" s="6" t="s">
        <v>59</v>
      </c>
      <c r="G381" s="6" t="s">
        <v>459</v>
      </c>
    </row>
    <row r="382" ht="15.75" customHeight="1">
      <c r="A382" s="6" t="s">
        <v>863</v>
      </c>
      <c r="B382" s="6" t="s">
        <v>1809</v>
      </c>
      <c r="C382" s="6" t="s">
        <v>1810</v>
      </c>
      <c r="D382" s="6" t="s">
        <v>848</v>
      </c>
      <c r="E382" s="6" t="s">
        <v>429</v>
      </c>
      <c r="F382" s="6" t="s">
        <v>59</v>
      </c>
      <c r="G382" s="6" t="s">
        <v>438</v>
      </c>
    </row>
    <row r="383" ht="15.75" customHeight="1">
      <c r="A383" s="6" t="s">
        <v>863</v>
      </c>
      <c r="B383" s="6" t="s">
        <v>1809</v>
      </c>
      <c r="C383" s="6" t="s">
        <v>1810</v>
      </c>
      <c r="D383" s="6" t="s">
        <v>848</v>
      </c>
      <c r="E383" s="6" t="s">
        <v>429</v>
      </c>
      <c r="F383" s="6" t="s">
        <v>59</v>
      </c>
      <c r="G383" s="6" t="s">
        <v>438</v>
      </c>
    </row>
    <row r="384" ht="15.75" customHeight="1">
      <c r="A384" s="6" t="s">
        <v>863</v>
      </c>
      <c r="B384" s="6" t="s">
        <v>1809</v>
      </c>
      <c r="C384" s="6" t="s">
        <v>1810</v>
      </c>
      <c r="D384" s="6" t="s">
        <v>914</v>
      </c>
      <c r="E384" s="6" t="s">
        <v>429</v>
      </c>
      <c r="F384" s="6" t="s">
        <v>59</v>
      </c>
      <c r="G384" s="6" t="s">
        <v>282</v>
      </c>
    </row>
    <row r="385" ht="15.75" customHeight="1">
      <c r="A385" s="6" t="s">
        <v>863</v>
      </c>
      <c r="B385" s="6" t="s">
        <v>1809</v>
      </c>
      <c r="C385" s="6" t="s">
        <v>1810</v>
      </c>
      <c r="D385" s="6" t="s">
        <v>770</v>
      </c>
      <c r="E385" s="6" t="s">
        <v>429</v>
      </c>
      <c r="F385" s="6" t="s">
        <v>373</v>
      </c>
      <c r="G385" s="6" t="s">
        <v>438</v>
      </c>
    </row>
    <row r="386" ht="15.75" customHeight="1">
      <c r="A386" s="6" t="s">
        <v>863</v>
      </c>
      <c r="B386" s="6" t="s">
        <v>1809</v>
      </c>
      <c r="C386" s="6" t="s">
        <v>1810</v>
      </c>
      <c r="D386" s="6" t="s">
        <v>848</v>
      </c>
      <c r="E386" s="6" t="s">
        <v>429</v>
      </c>
      <c r="F386" s="6" t="s">
        <v>59</v>
      </c>
      <c r="G386" s="6" t="s">
        <v>438</v>
      </c>
    </row>
    <row r="387" ht="15.75" customHeight="1">
      <c r="A387" s="6" t="s">
        <v>903</v>
      </c>
      <c r="B387" s="6" t="s">
        <v>1809</v>
      </c>
      <c r="C387" s="6" t="s">
        <v>1810</v>
      </c>
      <c r="D387" s="6" t="s">
        <v>94</v>
      </c>
      <c r="E387" s="6" t="s">
        <v>365</v>
      </c>
      <c r="F387" s="6" t="s">
        <v>59</v>
      </c>
      <c r="G387" s="6" t="s">
        <v>280</v>
      </c>
    </row>
    <row r="388" ht="15.75" customHeight="1">
      <c r="A388" s="6" t="s">
        <v>903</v>
      </c>
      <c r="B388" s="6" t="s">
        <v>1809</v>
      </c>
      <c r="C388" s="6" t="s">
        <v>1810</v>
      </c>
      <c r="D388" s="6" t="s">
        <v>262</v>
      </c>
      <c r="E388" s="6" t="s">
        <v>526</v>
      </c>
      <c r="F388" s="6" t="s">
        <v>59</v>
      </c>
      <c r="G388" s="6" t="s">
        <v>311</v>
      </c>
    </row>
    <row r="389" ht="15.75" customHeight="1">
      <c r="A389" s="6" t="s">
        <v>903</v>
      </c>
      <c r="B389" s="6" t="s">
        <v>1809</v>
      </c>
      <c r="C389" s="6" t="s">
        <v>1810</v>
      </c>
      <c r="D389" s="6" t="s">
        <v>21</v>
      </c>
      <c r="E389" s="6" t="s">
        <v>361</v>
      </c>
      <c r="F389" s="6" t="s">
        <v>59</v>
      </c>
      <c r="G389" s="6" t="s">
        <v>211</v>
      </c>
    </row>
    <row r="390" ht="15.75" customHeight="1">
      <c r="A390" s="6" t="s">
        <v>903</v>
      </c>
      <c r="B390" s="6" t="s">
        <v>1809</v>
      </c>
      <c r="C390" s="6" t="s">
        <v>1810</v>
      </c>
      <c r="D390" s="6" t="s">
        <v>50</v>
      </c>
      <c r="E390" s="6" t="s">
        <v>401</v>
      </c>
      <c r="F390" s="6" t="s">
        <v>59</v>
      </c>
      <c r="G390" s="6" t="s">
        <v>73</v>
      </c>
    </row>
    <row r="391" ht="15.75" customHeight="1">
      <c r="A391" s="6" t="s">
        <v>903</v>
      </c>
      <c r="B391" s="6" t="s">
        <v>1809</v>
      </c>
      <c r="C391" s="6" t="s">
        <v>1810</v>
      </c>
      <c r="D391" s="6" t="s">
        <v>111</v>
      </c>
      <c r="E391" s="6" t="s">
        <v>299</v>
      </c>
      <c r="F391" s="6" t="s">
        <v>59</v>
      </c>
      <c r="G391" s="6" t="s">
        <v>37</v>
      </c>
    </row>
    <row r="392" ht="15.75" customHeight="1">
      <c r="A392" s="6" t="s">
        <v>903</v>
      </c>
      <c r="B392" s="6" t="s">
        <v>1809</v>
      </c>
      <c r="C392" s="6" t="s">
        <v>1810</v>
      </c>
      <c r="D392" s="6" t="s">
        <v>133</v>
      </c>
      <c r="E392" s="6" t="s">
        <v>1060</v>
      </c>
      <c r="F392" s="6" t="s">
        <v>59</v>
      </c>
      <c r="G392" s="6" t="s">
        <v>311</v>
      </c>
    </row>
    <row r="393" ht="15.75" customHeight="1">
      <c r="A393" s="6" t="s">
        <v>903</v>
      </c>
      <c r="B393" s="6" t="s">
        <v>1809</v>
      </c>
      <c r="C393" s="6" t="s">
        <v>1810</v>
      </c>
      <c r="D393" s="6" t="s">
        <v>133</v>
      </c>
      <c r="E393" s="6" t="s">
        <v>443</v>
      </c>
      <c r="F393" s="6" t="s">
        <v>59</v>
      </c>
      <c r="G393" s="6" t="s">
        <v>907</v>
      </c>
    </row>
    <row r="394" ht="15.75" customHeight="1">
      <c r="A394" s="6" t="s">
        <v>903</v>
      </c>
      <c r="B394" s="6" t="s">
        <v>1809</v>
      </c>
      <c r="C394" s="6" t="s">
        <v>1810</v>
      </c>
      <c r="D394" s="6" t="s">
        <v>262</v>
      </c>
      <c r="E394" s="6" t="s">
        <v>401</v>
      </c>
      <c r="F394" s="6" t="s">
        <v>59</v>
      </c>
      <c r="G394" s="6" t="s">
        <v>280</v>
      </c>
    </row>
    <row r="395" ht="15.75" customHeight="1">
      <c r="A395" s="6" t="s">
        <v>903</v>
      </c>
      <c r="B395" s="6" t="s">
        <v>1809</v>
      </c>
      <c r="C395" s="6" t="s">
        <v>1810</v>
      </c>
      <c r="D395" s="6" t="s">
        <v>61</v>
      </c>
      <c r="E395" s="6" t="s">
        <v>365</v>
      </c>
      <c r="F395" s="6" t="s">
        <v>59</v>
      </c>
      <c r="G395" s="6" t="s">
        <v>211</v>
      </c>
    </row>
    <row r="396" ht="15.75" customHeight="1">
      <c r="A396" s="6" t="s">
        <v>903</v>
      </c>
      <c r="B396" s="6" t="s">
        <v>1809</v>
      </c>
      <c r="C396" s="6" t="s">
        <v>1810</v>
      </c>
      <c r="D396" s="6" t="s">
        <v>177</v>
      </c>
      <c r="E396" s="6" t="s">
        <v>1272</v>
      </c>
      <c r="F396" s="6" t="s">
        <v>59</v>
      </c>
      <c r="G396" s="6" t="s">
        <v>280</v>
      </c>
    </row>
    <row r="397" ht="15.75" customHeight="1">
      <c r="A397" s="6" t="s">
        <v>903</v>
      </c>
      <c r="B397" s="6" t="s">
        <v>1809</v>
      </c>
      <c r="C397" s="6" t="s">
        <v>1810</v>
      </c>
      <c r="D397" s="6" t="s">
        <v>262</v>
      </c>
      <c r="E397" s="6" t="s">
        <v>499</v>
      </c>
      <c r="F397" s="6" t="s">
        <v>59</v>
      </c>
      <c r="G397" s="6" t="s">
        <v>77</v>
      </c>
    </row>
    <row r="398" ht="15.75" customHeight="1">
      <c r="A398" s="6" t="s">
        <v>903</v>
      </c>
      <c r="B398" s="6" t="s">
        <v>1809</v>
      </c>
      <c r="C398" s="6" t="s">
        <v>1810</v>
      </c>
      <c r="D398" s="6" t="s">
        <v>133</v>
      </c>
      <c r="E398" s="6" t="s">
        <v>401</v>
      </c>
      <c r="F398" s="6" t="s">
        <v>59</v>
      </c>
      <c r="G398" s="6" t="s">
        <v>280</v>
      </c>
    </row>
    <row r="399" ht="15.75" customHeight="1">
      <c r="A399" s="6" t="s">
        <v>903</v>
      </c>
      <c r="B399" s="6" t="s">
        <v>1809</v>
      </c>
      <c r="C399" s="6" t="s">
        <v>1810</v>
      </c>
      <c r="D399" s="6" t="s">
        <v>21</v>
      </c>
      <c r="E399" s="6" t="s">
        <v>401</v>
      </c>
      <c r="F399" s="6" t="s">
        <v>59</v>
      </c>
      <c r="G399" s="6" t="s">
        <v>280</v>
      </c>
    </row>
    <row r="400" ht="15.75" customHeight="1">
      <c r="A400" s="6" t="s">
        <v>903</v>
      </c>
      <c r="B400" s="6" t="s">
        <v>1809</v>
      </c>
      <c r="C400" s="6" t="s">
        <v>1810</v>
      </c>
      <c r="D400" s="6" t="s">
        <v>177</v>
      </c>
      <c r="E400" s="6" t="s">
        <v>443</v>
      </c>
      <c r="F400" s="6" t="s">
        <v>59</v>
      </c>
      <c r="G400" s="6" t="s">
        <v>37</v>
      </c>
    </row>
    <row r="401" ht="15.75" customHeight="1">
      <c r="A401" s="6" t="s">
        <v>903</v>
      </c>
      <c r="B401" s="6" t="s">
        <v>1809</v>
      </c>
      <c r="C401" s="6" t="s">
        <v>1810</v>
      </c>
      <c r="D401" s="6" t="s">
        <v>94</v>
      </c>
      <c r="E401" s="6" t="s">
        <v>499</v>
      </c>
      <c r="F401" s="6" t="s">
        <v>59</v>
      </c>
      <c r="G401" s="6" t="s">
        <v>280</v>
      </c>
    </row>
    <row r="402" ht="15.75" customHeight="1">
      <c r="A402" s="6" t="s">
        <v>903</v>
      </c>
      <c r="B402" s="6" t="s">
        <v>1809</v>
      </c>
      <c r="C402" s="6" t="s">
        <v>1810</v>
      </c>
      <c r="D402" s="6" t="s">
        <v>43</v>
      </c>
      <c r="E402" s="6" t="s">
        <v>821</v>
      </c>
      <c r="F402" s="6" t="s">
        <v>59</v>
      </c>
      <c r="G402" s="6" t="s">
        <v>280</v>
      </c>
    </row>
    <row r="403" ht="15.75" customHeight="1">
      <c r="A403" s="6" t="s">
        <v>903</v>
      </c>
      <c r="B403" s="6" t="s">
        <v>1809</v>
      </c>
      <c r="C403" s="6" t="s">
        <v>1810</v>
      </c>
      <c r="D403" s="6" t="s">
        <v>94</v>
      </c>
      <c r="E403" s="6" t="s">
        <v>361</v>
      </c>
      <c r="F403" s="6" t="s">
        <v>59</v>
      </c>
      <c r="G403" s="6" t="s">
        <v>73</v>
      </c>
    </row>
    <row r="404" ht="15.75" customHeight="1">
      <c r="A404" s="6" t="s">
        <v>903</v>
      </c>
      <c r="B404" s="6" t="s">
        <v>1809</v>
      </c>
      <c r="C404" s="6" t="s">
        <v>1810</v>
      </c>
      <c r="D404" s="6" t="s">
        <v>177</v>
      </c>
      <c r="E404" s="6" t="s">
        <v>526</v>
      </c>
      <c r="F404" s="6" t="s">
        <v>59</v>
      </c>
      <c r="G404" s="6" t="s">
        <v>37</v>
      </c>
    </row>
    <row r="405" ht="15.75" customHeight="1">
      <c r="A405" s="6" t="s">
        <v>903</v>
      </c>
      <c r="B405" s="6" t="s">
        <v>1809</v>
      </c>
      <c r="C405" s="6" t="s">
        <v>1810</v>
      </c>
      <c r="D405" s="6" t="s">
        <v>133</v>
      </c>
      <c r="E405" s="6" t="s">
        <v>1114</v>
      </c>
      <c r="F405" s="6" t="s">
        <v>59</v>
      </c>
      <c r="G405" s="6" t="s">
        <v>37</v>
      </c>
    </row>
    <row r="406" ht="15.75" customHeight="1">
      <c r="A406" s="6" t="s">
        <v>903</v>
      </c>
      <c r="B406" s="6" t="s">
        <v>1809</v>
      </c>
      <c r="C406" s="6" t="s">
        <v>1810</v>
      </c>
      <c r="D406" s="6" t="s">
        <v>262</v>
      </c>
      <c r="E406" s="6" t="s">
        <v>731</v>
      </c>
      <c r="F406" s="6" t="s">
        <v>59</v>
      </c>
      <c r="G406" s="6" t="s">
        <v>280</v>
      </c>
    </row>
    <row r="407" ht="15.75" customHeight="1">
      <c r="A407" s="6" t="s">
        <v>903</v>
      </c>
      <c r="B407" s="6" t="s">
        <v>1809</v>
      </c>
      <c r="C407" s="6" t="s">
        <v>1810</v>
      </c>
      <c r="D407" s="6" t="s">
        <v>43</v>
      </c>
      <c r="E407" s="6" t="s">
        <v>299</v>
      </c>
      <c r="F407" s="6" t="s">
        <v>59</v>
      </c>
      <c r="G407" s="6" t="s">
        <v>37</v>
      </c>
    </row>
    <row r="408" ht="15.75" customHeight="1">
      <c r="A408" s="6" t="s">
        <v>903</v>
      </c>
      <c r="B408" s="6" t="s">
        <v>1809</v>
      </c>
      <c r="C408" s="6" t="s">
        <v>1810</v>
      </c>
      <c r="D408" s="6" t="s">
        <v>145</v>
      </c>
      <c r="E408" s="6" t="s">
        <v>499</v>
      </c>
      <c r="F408" s="6" t="s">
        <v>59</v>
      </c>
      <c r="G408" s="6" t="s">
        <v>280</v>
      </c>
    </row>
    <row r="409" ht="15.75" customHeight="1">
      <c r="A409" s="6" t="s">
        <v>903</v>
      </c>
      <c r="B409" s="6" t="s">
        <v>1809</v>
      </c>
      <c r="C409" s="6" t="s">
        <v>1810</v>
      </c>
      <c r="D409" s="6" t="s">
        <v>177</v>
      </c>
      <c r="E409" s="6" t="s">
        <v>1282</v>
      </c>
      <c r="F409" s="6" t="s">
        <v>561</v>
      </c>
      <c r="G409" s="6" t="s">
        <v>280</v>
      </c>
    </row>
    <row r="410" ht="15.75" customHeight="1">
      <c r="A410" s="6" t="s">
        <v>903</v>
      </c>
      <c r="B410" s="6" t="s">
        <v>1809</v>
      </c>
      <c r="C410" s="6" t="s">
        <v>1810</v>
      </c>
      <c r="D410" s="6" t="s">
        <v>62</v>
      </c>
      <c r="E410" s="6" t="s">
        <v>526</v>
      </c>
      <c r="F410" s="6" t="s">
        <v>59</v>
      </c>
      <c r="G410" s="6" t="s">
        <v>907</v>
      </c>
    </row>
    <row r="411" ht="15.75" customHeight="1">
      <c r="A411" s="6" t="s">
        <v>903</v>
      </c>
      <c r="B411" s="6" t="s">
        <v>1809</v>
      </c>
      <c r="C411" s="6" t="s">
        <v>1810</v>
      </c>
      <c r="D411" s="6" t="s">
        <v>61</v>
      </c>
      <c r="E411" s="6" t="s">
        <v>331</v>
      </c>
      <c r="F411" s="6" t="s">
        <v>30</v>
      </c>
      <c r="G411" s="6" t="s">
        <v>311</v>
      </c>
    </row>
    <row r="412" ht="15.75" customHeight="1">
      <c r="A412" s="6" t="s">
        <v>903</v>
      </c>
      <c r="B412" s="6" t="s">
        <v>1809</v>
      </c>
      <c r="C412" s="6" t="s">
        <v>1810</v>
      </c>
      <c r="D412" s="6" t="s">
        <v>43</v>
      </c>
      <c r="E412" s="6" t="s">
        <v>821</v>
      </c>
      <c r="F412" s="6" t="s">
        <v>59</v>
      </c>
      <c r="G412" s="6" t="s">
        <v>77</v>
      </c>
    </row>
    <row r="413" ht="15.75" customHeight="1">
      <c r="A413" s="6" t="s">
        <v>19</v>
      </c>
      <c r="B413" s="6" t="s">
        <v>1822</v>
      </c>
      <c r="C413" s="6" t="s">
        <v>1836</v>
      </c>
      <c r="D413" s="6" t="s">
        <v>21</v>
      </c>
      <c r="E413" s="6" t="s">
        <v>22</v>
      </c>
      <c r="F413" s="6" t="s">
        <v>30</v>
      </c>
      <c r="G413" s="6" t="s">
        <v>23</v>
      </c>
    </row>
    <row r="414" ht="15.75" customHeight="1">
      <c r="A414" s="6" t="s">
        <v>19</v>
      </c>
      <c r="B414" s="6" t="s">
        <v>1809</v>
      </c>
      <c r="C414" s="6" t="s">
        <v>1836</v>
      </c>
      <c r="D414" s="6" t="s">
        <v>35</v>
      </c>
      <c r="E414" s="6" t="s">
        <v>36</v>
      </c>
      <c r="F414" s="6" t="s">
        <v>30</v>
      </c>
      <c r="G414" s="6" t="s">
        <v>37</v>
      </c>
    </row>
    <row r="415" ht="15.75" customHeight="1">
      <c r="A415" s="6" t="s">
        <v>19</v>
      </c>
      <c r="B415" s="6" t="s">
        <v>1809</v>
      </c>
      <c r="C415" s="6" t="s">
        <v>1836</v>
      </c>
      <c r="D415" s="6" t="s">
        <v>50</v>
      </c>
      <c r="E415" s="6" t="s">
        <v>52</v>
      </c>
      <c r="F415" s="6" t="s">
        <v>59</v>
      </c>
      <c r="G415" s="6" t="s">
        <v>53</v>
      </c>
    </row>
    <row r="416" ht="15.75" customHeight="1">
      <c r="A416" s="6" t="s">
        <v>19</v>
      </c>
      <c r="B416" s="6" t="s">
        <v>1809</v>
      </c>
      <c r="C416" s="6" t="s">
        <v>1836</v>
      </c>
      <c r="D416" s="6" t="s">
        <v>61</v>
      </c>
      <c r="E416" s="6" t="s">
        <v>63</v>
      </c>
      <c r="F416" s="6" t="s">
        <v>30</v>
      </c>
      <c r="G416" s="6" t="s">
        <v>65</v>
      </c>
    </row>
    <row r="417" ht="15.75" customHeight="1">
      <c r="A417" s="6" t="s">
        <v>19</v>
      </c>
      <c r="B417" s="6" t="s">
        <v>1809</v>
      </c>
      <c r="C417" s="6" t="s">
        <v>1836</v>
      </c>
      <c r="D417" s="6" t="s">
        <v>62</v>
      </c>
      <c r="E417" s="6" t="s">
        <v>84</v>
      </c>
      <c r="F417" s="6" t="s">
        <v>30</v>
      </c>
      <c r="G417" s="6" t="s">
        <v>77</v>
      </c>
    </row>
    <row r="418" ht="15.75" customHeight="1">
      <c r="A418" s="6" t="s">
        <v>19</v>
      </c>
      <c r="B418" s="6" t="s">
        <v>1809</v>
      </c>
      <c r="C418" s="6" t="s">
        <v>1836</v>
      </c>
      <c r="D418" s="6" t="s">
        <v>62</v>
      </c>
      <c r="E418" s="6" t="s">
        <v>99</v>
      </c>
      <c r="F418" s="6" t="s">
        <v>30</v>
      </c>
      <c r="G418" s="6" t="s">
        <v>77</v>
      </c>
    </row>
    <row r="419" ht="15.75" customHeight="1">
      <c r="A419" s="6" t="s">
        <v>19</v>
      </c>
      <c r="B419" s="6" t="s">
        <v>1809</v>
      </c>
      <c r="C419" s="6" t="s">
        <v>1836</v>
      </c>
      <c r="D419" s="6" t="s">
        <v>112</v>
      </c>
      <c r="E419" s="6" t="s">
        <v>114</v>
      </c>
      <c r="F419" s="6" t="s">
        <v>30</v>
      </c>
      <c r="G419" s="6" t="s">
        <v>73</v>
      </c>
    </row>
    <row r="420" ht="15.75" customHeight="1">
      <c r="A420" s="6" t="s">
        <v>19</v>
      </c>
      <c r="B420" s="6" t="s">
        <v>1809</v>
      </c>
      <c r="C420" s="6" t="s">
        <v>1836</v>
      </c>
      <c r="D420" s="6" t="s">
        <v>50</v>
      </c>
      <c r="E420" s="6" t="s">
        <v>114</v>
      </c>
      <c r="F420" s="6" t="s">
        <v>30</v>
      </c>
      <c r="G420" s="6" t="s">
        <v>73</v>
      </c>
    </row>
    <row r="421" ht="15.75" customHeight="1">
      <c r="A421" s="6" t="s">
        <v>19</v>
      </c>
      <c r="B421" s="6" t="s">
        <v>1809</v>
      </c>
      <c r="C421" s="6" t="s">
        <v>1836</v>
      </c>
      <c r="D421" s="6" t="s">
        <v>142</v>
      </c>
      <c r="E421" s="6" t="s">
        <v>63</v>
      </c>
      <c r="F421" s="6" t="s">
        <v>30</v>
      </c>
      <c r="G421" s="6" t="s">
        <v>37</v>
      </c>
    </row>
    <row r="422" ht="15.75" customHeight="1">
      <c r="A422" s="6" t="s">
        <v>19</v>
      </c>
      <c r="B422" s="6" t="s">
        <v>1809</v>
      </c>
      <c r="C422" s="6" t="s">
        <v>1836</v>
      </c>
      <c r="D422" s="6" t="s">
        <v>112</v>
      </c>
      <c r="E422" s="6" t="s">
        <v>64</v>
      </c>
      <c r="F422" s="6" t="s">
        <v>30</v>
      </c>
      <c r="G422" s="6" t="s">
        <v>53</v>
      </c>
    </row>
    <row r="423" ht="15.75" customHeight="1">
      <c r="A423" s="6" t="s">
        <v>19</v>
      </c>
      <c r="B423" s="6" t="s">
        <v>1809</v>
      </c>
      <c r="C423" s="6" t="s">
        <v>1836</v>
      </c>
      <c r="D423" s="6" t="s">
        <v>111</v>
      </c>
      <c r="E423" s="6" t="s">
        <v>44</v>
      </c>
      <c r="F423" s="6" t="s">
        <v>30</v>
      </c>
      <c r="G423" s="6" t="s">
        <v>77</v>
      </c>
    </row>
    <row r="424" ht="15.75" customHeight="1">
      <c r="A424" s="6" t="s">
        <v>19</v>
      </c>
      <c r="B424" s="6" t="s">
        <v>1809</v>
      </c>
      <c r="C424" s="6" t="s">
        <v>1836</v>
      </c>
      <c r="D424" s="6" t="s">
        <v>111</v>
      </c>
      <c r="E424" s="6" t="s">
        <v>36</v>
      </c>
      <c r="F424" s="6" t="s">
        <v>30</v>
      </c>
      <c r="G424" s="6" t="s">
        <v>37</v>
      </c>
    </row>
    <row r="425" ht="15.75" customHeight="1">
      <c r="A425" s="6" t="s">
        <v>19</v>
      </c>
      <c r="B425" s="6" t="s">
        <v>1809</v>
      </c>
      <c r="C425" s="6" t="s">
        <v>1836</v>
      </c>
      <c r="D425" s="6" t="s">
        <v>35</v>
      </c>
      <c r="E425" s="6" t="s">
        <v>64</v>
      </c>
      <c r="F425" s="6" t="s">
        <v>30</v>
      </c>
      <c r="G425" s="6" t="s">
        <v>53</v>
      </c>
    </row>
    <row r="426" ht="15.75" customHeight="1">
      <c r="A426" s="6" t="s">
        <v>19</v>
      </c>
      <c r="B426" s="6" t="s">
        <v>1809</v>
      </c>
      <c r="C426" s="6" t="s">
        <v>1836</v>
      </c>
      <c r="D426" s="6" t="s">
        <v>202</v>
      </c>
      <c r="E426" s="6" t="s">
        <v>204</v>
      </c>
      <c r="F426" s="6" t="s">
        <v>30</v>
      </c>
      <c r="G426" s="6" t="s">
        <v>136</v>
      </c>
    </row>
    <row r="427" ht="15.75" customHeight="1">
      <c r="A427" s="6" t="s">
        <v>19</v>
      </c>
      <c r="B427" s="6" t="s">
        <v>1809</v>
      </c>
      <c r="C427" s="6" t="s">
        <v>1836</v>
      </c>
      <c r="D427" s="6" t="s">
        <v>94</v>
      </c>
      <c r="E427" s="6" t="s">
        <v>216</v>
      </c>
      <c r="F427" s="6" t="s">
        <v>30</v>
      </c>
      <c r="G427" s="6" t="s">
        <v>77</v>
      </c>
    </row>
    <row r="428" ht="15.75" customHeight="1">
      <c r="A428" s="6" t="s">
        <v>183</v>
      </c>
      <c r="B428" s="6" t="s">
        <v>1822</v>
      </c>
      <c r="C428" s="6" t="s">
        <v>1836</v>
      </c>
      <c r="D428" s="6" t="s">
        <v>21</v>
      </c>
      <c r="E428" s="6" t="s">
        <v>237</v>
      </c>
      <c r="F428" s="6" t="s">
        <v>30</v>
      </c>
      <c r="G428" s="6" t="s">
        <v>242</v>
      </c>
    </row>
    <row r="429" ht="15.75" customHeight="1">
      <c r="A429" s="6" t="s">
        <v>183</v>
      </c>
      <c r="B429" s="6" t="s">
        <v>1809</v>
      </c>
      <c r="C429" s="6" t="s">
        <v>1836</v>
      </c>
      <c r="D429" s="6" t="s">
        <v>124</v>
      </c>
      <c r="E429" s="6" t="s">
        <v>187</v>
      </c>
      <c r="F429" s="6" t="s">
        <v>30</v>
      </c>
      <c r="G429" s="6" t="s">
        <v>37</v>
      </c>
    </row>
    <row r="430" ht="15.75" customHeight="1">
      <c r="A430" s="6" t="s">
        <v>183</v>
      </c>
      <c r="B430" s="6" t="s">
        <v>1809</v>
      </c>
      <c r="C430" s="6" t="s">
        <v>1836</v>
      </c>
      <c r="D430" s="6" t="s">
        <v>94</v>
      </c>
      <c r="E430" s="6" t="s">
        <v>125</v>
      </c>
      <c r="F430" s="6" t="s">
        <v>30</v>
      </c>
      <c r="G430" s="6" t="s">
        <v>280</v>
      </c>
    </row>
    <row r="431" ht="15.75" customHeight="1">
      <c r="A431" s="6" t="s">
        <v>183</v>
      </c>
      <c r="B431" s="6" t="s">
        <v>1809</v>
      </c>
      <c r="C431" s="6" t="s">
        <v>1836</v>
      </c>
      <c r="D431" s="6" t="s">
        <v>21</v>
      </c>
      <c r="E431" s="6" t="s">
        <v>125</v>
      </c>
      <c r="F431" s="6" t="s">
        <v>30</v>
      </c>
      <c r="G431" s="6" t="s">
        <v>37</v>
      </c>
    </row>
    <row r="432" ht="15.75" customHeight="1">
      <c r="A432" s="6" t="s">
        <v>183</v>
      </c>
      <c r="B432" s="6" t="s">
        <v>1809</v>
      </c>
      <c r="C432" s="6" t="s">
        <v>1836</v>
      </c>
      <c r="D432" s="6" t="s">
        <v>124</v>
      </c>
      <c r="E432" s="6" t="s">
        <v>293</v>
      </c>
      <c r="F432" s="6" t="s">
        <v>30</v>
      </c>
      <c r="G432" s="6" t="s">
        <v>196</v>
      </c>
    </row>
    <row r="433" ht="15.75" customHeight="1">
      <c r="A433" s="6" t="s">
        <v>183</v>
      </c>
      <c r="B433" s="6" t="s">
        <v>1809</v>
      </c>
      <c r="C433" s="6" t="s">
        <v>1836</v>
      </c>
      <c r="D433" s="6" t="s">
        <v>235</v>
      </c>
      <c r="E433" s="6" t="s">
        <v>301</v>
      </c>
      <c r="F433" s="6" t="s">
        <v>30</v>
      </c>
      <c r="G433" s="6" t="s">
        <v>95</v>
      </c>
    </row>
    <row r="434" ht="15.75" customHeight="1">
      <c r="A434" s="6" t="s">
        <v>183</v>
      </c>
      <c r="B434" s="6" t="s">
        <v>1809</v>
      </c>
      <c r="C434" s="6" t="s">
        <v>1836</v>
      </c>
      <c r="D434" s="6" t="s">
        <v>94</v>
      </c>
      <c r="E434" s="6" t="s">
        <v>312</v>
      </c>
      <c r="F434" s="6" t="s">
        <v>30</v>
      </c>
      <c r="G434" s="6" t="s">
        <v>280</v>
      </c>
    </row>
    <row r="435" ht="15.75" customHeight="1">
      <c r="A435" s="6" t="s">
        <v>183</v>
      </c>
      <c r="B435" s="6" t="s">
        <v>1809</v>
      </c>
      <c r="C435" s="6" t="s">
        <v>1836</v>
      </c>
      <c r="D435" s="6" t="s">
        <v>177</v>
      </c>
      <c r="E435" s="6" t="s">
        <v>328</v>
      </c>
      <c r="F435" s="6" t="s">
        <v>59</v>
      </c>
      <c r="G435" s="6" t="s">
        <v>53</v>
      </c>
    </row>
    <row r="436" ht="15.75" customHeight="1">
      <c r="A436" s="6" t="s">
        <v>183</v>
      </c>
      <c r="B436" s="6" t="s">
        <v>1809</v>
      </c>
      <c r="C436" s="6" t="s">
        <v>1836</v>
      </c>
      <c r="D436" s="6" t="s">
        <v>62</v>
      </c>
      <c r="E436" s="6" t="s">
        <v>63</v>
      </c>
      <c r="F436" s="6" t="s">
        <v>30</v>
      </c>
      <c r="G436" s="6" t="s">
        <v>211</v>
      </c>
    </row>
    <row r="437" ht="15.75" customHeight="1">
      <c r="A437" s="6" t="s">
        <v>183</v>
      </c>
      <c r="B437" s="6" t="s">
        <v>1809</v>
      </c>
      <c r="C437" s="6" t="s">
        <v>1836</v>
      </c>
      <c r="D437" s="6" t="s">
        <v>111</v>
      </c>
      <c r="E437" s="6" t="s">
        <v>36</v>
      </c>
      <c r="F437" s="6" t="s">
        <v>30</v>
      </c>
      <c r="G437" s="6" t="s">
        <v>37</v>
      </c>
    </row>
    <row r="438" ht="15.75" customHeight="1">
      <c r="A438" s="6" t="s">
        <v>183</v>
      </c>
      <c r="B438" s="6" t="s">
        <v>1809</v>
      </c>
      <c r="C438" s="6" t="s">
        <v>1836</v>
      </c>
      <c r="D438" s="6" t="s">
        <v>50</v>
      </c>
      <c r="E438" s="6" t="s">
        <v>380</v>
      </c>
      <c r="F438" s="6" t="s">
        <v>30</v>
      </c>
      <c r="G438" s="6" t="s">
        <v>196</v>
      </c>
    </row>
    <row r="439" ht="15.75" customHeight="1">
      <c r="A439" s="6" t="s">
        <v>183</v>
      </c>
      <c r="B439" s="6" t="s">
        <v>1809</v>
      </c>
      <c r="C439" s="6" t="s">
        <v>1836</v>
      </c>
      <c r="D439" s="6" t="s">
        <v>133</v>
      </c>
      <c r="E439" s="6" t="s">
        <v>389</v>
      </c>
      <c r="F439" s="6" t="s">
        <v>30</v>
      </c>
      <c r="G439" s="6" t="s">
        <v>37</v>
      </c>
    </row>
    <row r="440" ht="15.75" customHeight="1">
      <c r="A440" s="6" t="s">
        <v>183</v>
      </c>
      <c r="B440" s="6" t="s">
        <v>1809</v>
      </c>
      <c r="C440" s="6" t="s">
        <v>1836</v>
      </c>
      <c r="D440" s="6" t="s">
        <v>35</v>
      </c>
      <c r="E440" s="6" t="s">
        <v>307</v>
      </c>
      <c r="F440" s="6" t="s">
        <v>30</v>
      </c>
      <c r="G440" s="6" t="s">
        <v>196</v>
      </c>
    </row>
    <row r="441" ht="15.75" customHeight="1">
      <c r="A441" s="6" t="s">
        <v>183</v>
      </c>
      <c r="B441" s="6" t="s">
        <v>1809</v>
      </c>
      <c r="C441" s="6" t="s">
        <v>1836</v>
      </c>
      <c r="D441" s="6" t="s">
        <v>61</v>
      </c>
      <c r="E441" s="6" t="s">
        <v>405</v>
      </c>
      <c r="F441" s="6" t="s">
        <v>59</v>
      </c>
      <c r="G441" s="6" t="s">
        <v>196</v>
      </c>
    </row>
    <row r="442" ht="15.75" customHeight="1">
      <c r="A442" s="6" t="s">
        <v>297</v>
      </c>
      <c r="B442" s="6" t="s">
        <v>1809</v>
      </c>
      <c r="C442" s="6" t="s">
        <v>1836</v>
      </c>
      <c r="D442" s="6" t="s">
        <v>235</v>
      </c>
      <c r="E442" s="6" t="s">
        <v>443</v>
      </c>
      <c r="F442" s="6" t="s">
        <v>30</v>
      </c>
      <c r="G442" s="6" t="s">
        <v>95</v>
      </c>
    </row>
    <row r="443" ht="15.75" customHeight="1">
      <c r="A443" s="6" t="s">
        <v>297</v>
      </c>
      <c r="B443" s="6" t="s">
        <v>1809</v>
      </c>
      <c r="C443" s="6" t="s">
        <v>1836</v>
      </c>
      <c r="D443" s="6" t="s">
        <v>35</v>
      </c>
      <c r="E443" s="6" t="s">
        <v>443</v>
      </c>
      <c r="F443" s="6" t="s">
        <v>30</v>
      </c>
      <c r="G443" s="6" t="s">
        <v>37</v>
      </c>
    </row>
    <row r="444" ht="15.75" customHeight="1">
      <c r="A444" s="6" t="s">
        <v>297</v>
      </c>
      <c r="B444" s="6" t="s">
        <v>1809</v>
      </c>
      <c r="C444" s="6" t="s">
        <v>1836</v>
      </c>
      <c r="D444" s="6" t="s">
        <v>71</v>
      </c>
      <c r="E444" s="6" t="s">
        <v>331</v>
      </c>
      <c r="F444" s="6" t="s">
        <v>30</v>
      </c>
      <c r="G444" s="6" t="s">
        <v>95</v>
      </c>
    </row>
    <row r="445" ht="15.75" customHeight="1">
      <c r="A445" s="6" t="s">
        <v>297</v>
      </c>
      <c r="B445" s="6" t="s">
        <v>1809</v>
      </c>
      <c r="C445" s="6" t="s">
        <v>1836</v>
      </c>
      <c r="D445" s="6" t="s">
        <v>62</v>
      </c>
      <c r="E445" s="6" t="s">
        <v>473</v>
      </c>
      <c r="F445" s="6" t="s">
        <v>30</v>
      </c>
      <c r="G445" s="6" t="s">
        <v>311</v>
      </c>
    </row>
    <row r="446" ht="15.75" customHeight="1">
      <c r="A446" s="6" t="s">
        <v>297</v>
      </c>
      <c r="B446" s="6" t="s">
        <v>1809</v>
      </c>
      <c r="C446" s="6" t="s">
        <v>1836</v>
      </c>
      <c r="D446" s="6" t="s">
        <v>50</v>
      </c>
      <c r="E446" s="6" t="s">
        <v>493</v>
      </c>
      <c r="F446" s="6" t="s">
        <v>30</v>
      </c>
      <c r="G446" s="6" t="s">
        <v>325</v>
      </c>
    </row>
    <row r="447" ht="15.75" customHeight="1">
      <c r="A447" s="6" t="s">
        <v>297</v>
      </c>
      <c r="B447" s="6" t="s">
        <v>1809</v>
      </c>
      <c r="C447" s="6" t="s">
        <v>1836</v>
      </c>
      <c r="D447" s="6" t="s">
        <v>50</v>
      </c>
      <c r="E447" s="6" t="s">
        <v>499</v>
      </c>
      <c r="F447" s="6" t="s">
        <v>30</v>
      </c>
      <c r="G447" s="6" t="s">
        <v>37</v>
      </c>
    </row>
    <row r="448" ht="15.75" customHeight="1">
      <c r="A448" s="6" t="s">
        <v>297</v>
      </c>
      <c r="B448" s="6" t="s">
        <v>1809</v>
      </c>
      <c r="C448" s="6" t="s">
        <v>1836</v>
      </c>
      <c r="D448" s="6" t="s">
        <v>94</v>
      </c>
      <c r="E448" s="6" t="s">
        <v>331</v>
      </c>
      <c r="F448" s="6" t="s">
        <v>30</v>
      </c>
      <c r="G448" s="6" t="s">
        <v>311</v>
      </c>
    </row>
    <row r="449" ht="15.75" customHeight="1">
      <c r="A449" s="6" t="s">
        <v>297</v>
      </c>
      <c r="B449" s="6" t="s">
        <v>1809</v>
      </c>
      <c r="C449" s="6" t="s">
        <v>1836</v>
      </c>
      <c r="D449" s="6" t="s">
        <v>21</v>
      </c>
      <c r="E449" s="6" t="s">
        <v>353</v>
      </c>
      <c r="F449" s="6" t="s">
        <v>30</v>
      </c>
      <c r="G449" s="6" t="s">
        <v>37</v>
      </c>
    </row>
    <row r="450" ht="15.75" customHeight="1">
      <c r="A450" s="6" t="s">
        <v>297</v>
      </c>
      <c r="B450" s="6" t="s">
        <v>1809</v>
      </c>
      <c r="C450" s="6" t="s">
        <v>1836</v>
      </c>
      <c r="D450" s="6" t="s">
        <v>21</v>
      </c>
      <c r="E450" s="6" t="s">
        <v>361</v>
      </c>
      <c r="F450" s="6" t="s">
        <v>30</v>
      </c>
      <c r="G450" s="6" t="s">
        <v>37</v>
      </c>
    </row>
    <row r="451" ht="15.75" customHeight="1">
      <c r="A451" s="6" t="s">
        <v>297</v>
      </c>
      <c r="B451" s="6" t="s">
        <v>1809</v>
      </c>
      <c r="C451" s="6" t="s">
        <v>1836</v>
      </c>
      <c r="D451" s="6" t="s">
        <v>21</v>
      </c>
      <c r="E451" s="6" t="s">
        <v>526</v>
      </c>
      <c r="F451" s="6" t="s">
        <v>30</v>
      </c>
      <c r="G451" s="6" t="s">
        <v>211</v>
      </c>
    </row>
    <row r="452" ht="15.75" customHeight="1">
      <c r="A452" s="6" t="s">
        <v>297</v>
      </c>
      <c r="B452" s="6" t="s">
        <v>1809</v>
      </c>
      <c r="C452" s="6" t="s">
        <v>1836</v>
      </c>
      <c r="D452" s="6" t="s">
        <v>61</v>
      </c>
      <c r="E452" s="6" t="s">
        <v>153</v>
      </c>
      <c r="F452" s="6" t="s">
        <v>30</v>
      </c>
      <c r="G452" s="6" t="s">
        <v>37</v>
      </c>
    </row>
    <row r="453" ht="15.75" customHeight="1">
      <c r="A453" s="6" t="s">
        <v>297</v>
      </c>
      <c r="B453" s="6" t="s">
        <v>1809</v>
      </c>
      <c r="C453" s="6" t="s">
        <v>1836</v>
      </c>
      <c r="D453" s="6" t="s">
        <v>21</v>
      </c>
      <c r="E453" s="6" t="s">
        <v>331</v>
      </c>
      <c r="F453" s="6" t="s">
        <v>30</v>
      </c>
      <c r="G453" s="6" t="s">
        <v>77</v>
      </c>
    </row>
    <row r="454" ht="15.75" customHeight="1">
      <c r="A454" s="6" t="s">
        <v>297</v>
      </c>
      <c r="B454" s="6" t="s">
        <v>1809</v>
      </c>
      <c r="C454" s="6" t="s">
        <v>1836</v>
      </c>
      <c r="D454" s="6" t="s">
        <v>94</v>
      </c>
      <c r="E454" s="6" t="s">
        <v>526</v>
      </c>
      <c r="F454" s="6" t="s">
        <v>59</v>
      </c>
      <c r="G454" s="6" t="s">
        <v>280</v>
      </c>
    </row>
    <row r="455" ht="15.75" customHeight="1">
      <c r="A455" s="6" t="s">
        <v>297</v>
      </c>
      <c r="B455" s="6" t="s">
        <v>1809</v>
      </c>
      <c r="C455" s="6" t="s">
        <v>1836</v>
      </c>
      <c r="D455" s="6" t="s">
        <v>50</v>
      </c>
      <c r="E455" s="6" t="s">
        <v>552</v>
      </c>
      <c r="F455" s="6" t="s">
        <v>59</v>
      </c>
      <c r="G455" s="6" t="s">
        <v>73</v>
      </c>
    </row>
    <row r="456" ht="15.75" customHeight="1">
      <c r="A456" s="6" t="s">
        <v>297</v>
      </c>
      <c r="B456" s="6" t="s">
        <v>1809</v>
      </c>
      <c r="C456" s="6" t="s">
        <v>1836</v>
      </c>
      <c r="D456" s="6" t="s">
        <v>50</v>
      </c>
      <c r="E456" s="6" t="s">
        <v>562</v>
      </c>
      <c r="F456" s="6" t="s">
        <v>30</v>
      </c>
      <c r="G456" s="6" t="s">
        <v>224</v>
      </c>
    </row>
    <row r="457" ht="15.75" customHeight="1">
      <c r="A457" s="6" t="s">
        <v>297</v>
      </c>
      <c r="B457" s="6" t="s">
        <v>1809</v>
      </c>
      <c r="C457" s="6" t="s">
        <v>1836</v>
      </c>
      <c r="D457" s="6" t="s">
        <v>177</v>
      </c>
      <c r="E457" s="6" t="s">
        <v>361</v>
      </c>
      <c r="F457" s="6" t="s">
        <v>30</v>
      </c>
      <c r="G457" s="6" t="s">
        <v>224</v>
      </c>
    </row>
    <row r="458" ht="15.75" customHeight="1">
      <c r="A458" s="6" t="s">
        <v>297</v>
      </c>
      <c r="B458" s="6" t="s">
        <v>1809</v>
      </c>
      <c r="C458" s="6" t="s">
        <v>1836</v>
      </c>
      <c r="D458" s="6" t="s">
        <v>62</v>
      </c>
      <c r="E458" s="6" t="s">
        <v>581</v>
      </c>
      <c r="F458" s="6" t="s">
        <v>30</v>
      </c>
      <c r="G458" s="6" t="s">
        <v>282</v>
      </c>
    </row>
    <row r="459" ht="15.75" customHeight="1">
      <c r="A459" s="6" t="s">
        <v>297</v>
      </c>
      <c r="B459" s="6" t="s">
        <v>1809</v>
      </c>
      <c r="C459" s="6" t="s">
        <v>1836</v>
      </c>
      <c r="D459" s="6" t="s">
        <v>112</v>
      </c>
      <c r="E459" s="6" t="s">
        <v>526</v>
      </c>
      <c r="F459" s="6" t="s">
        <v>59</v>
      </c>
      <c r="G459" s="6" t="s">
        <v>65</v>
      </c>
    </row>
    <row r="460" ht="15.75" customHeight="1">
      <c r="A460" s="6" t="s">
        <v>297</v>
      </c>
      <c r="B460" s="6" t="s">
        <v>1809</v>
      </c>
      <c r="C460" s="6" t="s">
        <v>1836</v>
      </c>
      <c r="D460" s="6" t="s">
        <v>21</v>
      </c>
      <c r="E460" s="6" t="s">
        <v>353</v>
      </c>
      <c r="F460" s="6" t="s">
        <v>30</v>
      </c>
      <c r="G460" s="6" t="s">
        <v>282</v>
      </c>
    </row>
    <row r="461" ht="15.75" customHeight="1">
      <c r="A461" s="6" t="s">
        <v>297</v>
      </c>
      <c r="B461" s="6" t="s">
        <v>1809</v>
      </c>
      <c r="C461" s="6" t="s">
        <v>1836</v>
      </c>
      <c r="D461" s="6" t="s">
        <v>21</v>
      </c>
      <c r="E461" s="6" t="s">
        <v>604</v>
      </c>
      <c r="F461" s="6" t="s">
        <v>30</v>
      </c>
      <c r="G461" s="6" t="s">
        <v>282</v>
      </c>
    </row>
    <row r="462" ht="15.75" customHeight="1">
      <c r="A462" s="6" t="s">
        <v>297</v>
      </c>
      <c r="B462" s="6" t="s">
        <v>1809</v>
      </c>
      <c r="C462" s="6" t="s">
        <v>1836</v>
      </c>
      <c r="D462" s="6" t="s">
        <v>35</v>
      </c>
      <c r="E462" s="6" t="s">
        <v>401</v>
      </c>
      <c r="F462" s="6" t="s">
        <v>30</v>
      </c>
      <c r="G462" s="6" t="s">
        <v>53</v>
      </c>
    </row>
    <row r="463" ht="15.75" customHeight="1">
      <c r="A463" s="6" t="s">
        <v>297</v>
      </c>
      <c r="B463" s="6" t="s">
        <v>1809</v>
      </c>
      <c r="C463" s="6" t="s">
        <v>1836</v>
      </c>
      <c r="D463" s="6" t="s">
        <v>112</v>
      </c>
      <c r="E463" s="6" t="s">
        <v>331</v>
      </c>
      <c r="F463" s="6" t="s">
        <v>30</v>
      </c>
      <c r="G463" s="6" t="s">
        <v>95</v>
      </c>
    </row>
    <row r="464" ht="15.75" customHeight="1">
      <c r="A464" s="6" t="s">
        <v>297</v>
      </c>
      <c r="B464" s="6" t="s">
        <v>1809</v>
      </c>
      <c r="C464" s="6" t="s">
        <v>1836</v>
      </c>
      <c r="D464" s="6" t="s">
        <v>235</v>
      </c>
      <c r="E464" s="6" t="s">
        <v>499</v>
      </c>
      <c r="F464" s="6" t="s">
        <v>30</v>
      </c>
      <c r="G464" s="6" t="s">
        <v>95</v>
      </c>
    </row>
    <row r="465" ht="15.75" customHeight="1">
      <c r="A465" s="6" t="s">
        <v>424</v>
      </c>
      <c r="B465" s="6" t="s">
        <v>1809</v>
      </c>
      <c r="C465" s="6" t="s">
        <v>1836</v>
      </c>
      <c r="D465" s="6" t="s">
        <v>482</v>
      </c>
      <c r="E465" s="6" t="s">
        <v>553</v>
      </c>
      <c r="F465" s="6" t="s">
        <v>561</v>
      </c>
      <c r="G465" s="6" t="s">
        <v>508</v>
      </c>
    </row>
    <row r="466" ht="15.75" customHeight="1">
      <c r="A466" s="6" t="s">
        <v>424</v>
      </c>
      <c r="B466" s="6" t="s">
        <v>1809</v>
      </c>
      <c r="C466" s="6" t="s">
        <v>1836</v>
      </c>
      <c r="D466" s="6" t="s">
        <v>576</v>
      </c>
      <c r="E466" s="6" t="s">
        <v>429</v>
      </c>
      <c r="F466" s="6" t="s">
        <v>30</v>
      </c>
      <c r="G466" s="6" t="s">
        <v>524</v>
      </c>
    </row>
    <row r="467" ht="15.75" customHeight="1">
      <c r="A467" s="6" t="s">
        <v>424</v>
      </c>
      <c r="B467" s="6" t="s">
        <v>1809</v>
      </c>
      <c r="C467" s="6" t="s">
        <v>1836</v>
      </c>
      <c r="D467" s="6" t="s">
        <v>591</v>
      </c>
      <c r="E467" s="6" t="s">
        <v>429</v>
      </c>
      <c r="F467" s="6" t="s">
        <v>30</v>
      </c>
      <c r="G467" s="6" t="s">
        <v>438</v>
      </c>
    </row>
    <row r="468" ht="15.75" customHeight="1">
      <c r="A468" s="6" t="s">
        <v>424</v>
      </c>
      <c r="B468" s="6" t="s">
        <v>1809</v>
      </c>
      <c r="C468" s="6" t="s">
        <v>1836</v>
      </c>
      <c r="D468" s="6" t="s">
        <v>565</v>
      </c>
      <c r="E468" s="6" t="s">
        <v>429</v>
      </c>
      <c r="F468" s="6" t="s">
        <v>59</v>
      </c>
      <c r="G468" s="6" t="s">
        <v>459</v>
      </c>
    </row>
    <row r="469" ht="15.75" customHeight="1">
      <c r="A469" s="6" t="s">
        <v>424</v>
      </c>
      <c r="B469" s="6" t="s">
        <v>1809</v>
      </c>
      <c r="C469" s="6" t="s">
        <v>1836</v>
      </c>
      <c r="D469" s="6" t="s">
        <v>616</v>
      </c>
      <c r="E469" s="6" t="s">
        <v>429</v>
      </c>
      <c r="F469" s="6" t="s">
        <v>59</v>
      </c>
      <c r="G469" s="6" t="s">
        <v>438</v>
      </c>
    </row>
    <row r="470" ht="15.75" customHeight="1">
      <c r="A470" s="6" t="s">
        <v>424</v>
      </c>
      <c r="B470" s="6" t="s">
        <v>1809</v>
      </c>
      <c r="C470" s="6" t="s">
        <v>1836</v>
      </c>
      <c r="D470" s="6" t="s">
        <v>596</v>
      </c>
      <c r="E470" s="6" t="s">
        <v>429</v>
      </c>
      <c r="F470" s="6" t="s">
        <v>59</v>
      </c>
      <c r="G470" s="6" t="s">
        <v>541</v>
      </c>
    </row>
    <row r="471" ht="15.75" customHeight="1">
      <c r="A471" s="6" t="s">
        <v>424</v>
      </c>
      <c r="B471" s="6" t="s">
        <v>1809</v>
      </c>
      <c r="C471" s="6" t="s">
        <v>1836</v>
      </c>
      <c r="D471" s="6" t="s">
        <v>588</v>
      </c>
      <c r="E471" s="6" t="s">
        <v>429</v>
      </c>
      <c r="F471" s="6" t="s">
        <v>59</v>
      </c>
      <c r="G471" s="6" t="s">
        <v>508</v>
      </c>
    </row>
    <row r="472" ht="15.75" customHeight="1">
      <c r="A472" s="6" t="s">
        <v>424</v>
      </c>
      <c r="B472" s="6" t="s">
        <v>1809</v>
      </c>
      <c r="C472" s="6" t="s">
        <v>1836</v>
      </c>
      <c r="D472" s="6" t="s">
        <v>576</v>
      </c>
      <c r="E472" s="6" t="s">
        <v>429</v>
      </c>
      <c r="F472" s="6" t="s">
        <v>30</v>
      </c>
      <c r="G472" s="6" t="s">
        <v>508</v>
      </c>
    </row>
    <row r="473" ht="15.75" customHeight="1">
      <c r="A473" s="6" t="s">
        <v>424</v>
      </c>
      <c r="B473" s="6" t="s">
        <v>1809</v>
      </c>
      <c r="C473" s="6" t="s">
        <v>1836</v>
      </c>
      <c r="D473" s="6" t="s">
        <v>591</v>
      </c>
      <c r="E473" s="6" t="s">
        <v>429</v>
      </c>
      <c r="F473" s="6" t="s">
        <v>30</v>
      </c>
      <c r="G473" s="6" t="s">
        <v>430</v>
      </c>
    </row>
    <row r="474" ht="15.75" customHeight="1">
      <c r="A474" s="6" t="s">
        <v>424</v>
      </c>
      <c r="B474" s="6" t="s">
        <v>1809</v>
      </c>
      <c r="C474" s="6" t="s">
        <v>1836</v>
      </c>
      <c r="D474" s="6" t="s">
        <v>608</v>
      </c>
      <c r="E474" s="6" t="s">
        <v>429</v>
      </c>
      <c r="F474" s="6" t="s">
        <v>59</v>
      </c>
      <c r="G474" s="6" t="s">
        <v>459</v>
      </c>
    </row>
    <row r="475" ht="15.75" customHeight="1">
      <c r="A475" s="6" t="s">
        <v>424</v>
      </c>
      <c r="B475" s="6" t="s">
        <v>1809</v>
      </c>
      <c r="C475" s="6" t="s">
        <v>1836</v>
      </c>
      <c r="D475" s="6" t="s">
        <v>616</v>
      </c>
      <c r="E475" s="6" t="s">
        <v>678</v>
      </c>
      <c r="F475" s="6" t="s">
        <v>59</v>
      </c>
      <c r="G475" s="6" t="s">
        <v>325</v>
      </c>
    </row>
    <row r="476" ht="15.75" customHeight="1">
      <c r="A476" s="6" t="s">
        <v>424</v>
      </c>
      <c r="B476" s="6" t="s">
        <v>1809</v>
      </c>
      <c r="C476" s="6" t="s">
        <v>1836</v>
      </c>
      <c r="D476" s="6" t="s">
        <v>428</v>
      </c>
      <c r="E476" s="6" t="s">
        <v>429</v>
      </c>
      <c r="F476" s="6" t="s">
        <v>59</v>
      </c>
      <c r="G476" s="6" t="s">
        <v>325</v>
      </c>
    </row>
    <row r="477" ht="15.75" customHeight="1">
      <c r="A477" s="6" t="s">
        <v>424</v>
      </c>
      <c r="B477" s="6" t="s">
        <v>1809</v>
      </c>
      <c r="C477" s="6" t="s">
        <v>1836</v>
      </c>
      <c r="D477" s="6" t="s">
        <v>692</v>
      </c>
      <c r="E477" s="6" t="s">
        <v>429</v>
      </c>
      <c r="F477" s="6" t="s">
        <v>30</v>
      </c>
      <c r="G477" s="6" t="s">
        <v>282</v>
      </c>
    </row>
    <row r="478" ht="15.75" customHeight="1">
      <c r="A478" s="6" t="s">
        <v>424</v>
      </c>
      <c r="B478" s="6" t="s">
        <v>1809</v>
      </c>
      <c r="C478" s="6" t="s">
        <v>1836</v>
      </c>
      <c r="D478" s="6" t="s">
        <v>588</v>
      </c>
      <c r="E478" s="6" t="s">
        <v>429</v>
      </c>
      <c r="F478" s="6" t="s">
        <v>59</v>
      </c>
      <c r="G478" s="6" t="s">
        <v>438</v>
      </c>
    </row>
    <row r="479" ht="15.75" customHeight="1">
      <c r="A479" s="6" t="s">
        <v>424</v>
      </c>
      <c r="B479" s="6" t="s">
        <v>1822</v>
      </c>
      <c r="C479" s="6" t="s">
        <v>1836</v>
      </c>
      <c r="D479" s="6" t="s">
        <v>445</v>
      </c>
      <c r="E479" s="6" t="s">
        <v>153</v>
      </c>
      <c r="F479" s="6" t="s">
        <v>30</v>
      </c>
      <c r="G479" s="6" t="s">
        <v>712</v>
      </c>
    </row>
    <row r="480" ht="15.75" customHeight="1">
      <c r="A480" s="6" t="s">
        <v>521</v>
      </c>
      <c r="B480" s="6" t="s">
        <v>1809</v>
      </c>
      <c r="C480" s="6" t="s">
        <v>1836</v>
      </c>
      <c r="D480" s="6" t="s">
        <v>482</v>
      </c>
      <c r="E480" s="6" t="s">
        <v>553</v>
      </c>
      <c r="F480" s="6" t="s">
        <v>561</v>
      </c>
      <c r="G480" s="6" t="s">
        <v>438</v>
      </c>
    </row>
    <row r="481" ht="15.75" customHeight="1">
      <c r="A481" s="6" t="s">
        <v>521</v>
      </c>
      <c r="B481" s="6" t="s">
        <v>1809</v>
      </c>
      <c r="C481" s="6" t="s">
        <v>1836</v>
      </c>
      <c r="D481" s="6" t="s">
        <v>482</v>
      </c>
      <c r="E481" s="6" t="s">
        <v>429</v>
      </c>
      <c r="F481" s="6" t="s">
        <v>59</v>
      </c>
      <c r="G481" s="6" t="s">
        <v>136</v>
      </c>
    </row>
    <row r="482" ht="15.75" customHeight="1">
      <c r="A482" s="6" t="s">
        <v>521</v>
      </c>
      <c r="B482" s="6" t="s">
        <v>1809</v>
      </c>
      <c r="C482" s="6" t="s">
        <v>1836</v>
      </c>
      <c r="D482" s="6" t="s">
        <v>501</v>
      </c>
      <c r="E482" s="6" t="s">
        <v>429</v>
      </c>
      <c r="F482" s="6" t="s">
        <v>59</v>
      </c>
      <c r="G482" s="6" t="s">
        <v>592</v>
      </c>
    </row>
    <row r="483" ht="15.75" customHeight="1">
      <c r="A483" s="6" t="s">
        <v>521</v>
      </c>
      <c r="B483" s="6" t="s">
        <v>1809</v>
      </c>
      <c r="C483" s="6" t="s">
        <v>1836</v>
      </c>
      <c r="D483" s="6" t="s">
        <v>428</v>
      </c>
      <c r="E483" s="6" t="s">
        <v>553</v>
      </c>
      <c r="F483" s="6" t="s">
        <v>561</v>
      </c>
      <c r="G483" s="6" t="s">
        <v>459</v>
      </c>
    </row>
    <row r="484" ht="15.75" customHeight="1">
      <c r="A484" s="6" t="s">
        <v>521</v>
      </c>
      <c r="B484" s="6" t="s">
        <v>1809</v>
      </c>
      <c r="C484" s="6" t="s">
        <v>1836</v>
      </c>
      <c r="D484" s="6" t="s">
        <v>565</v>
      </c>
      <c r="E484" s="6" t="s">
        <v>429</v>
      </c>
      <c r="F484" s="6" t="s">
        <v>59</v>
      </c>
      <c r="G484" s="6" t="s">
        <v>430</v>
      </c>
    </row>
    <row r="485" ht="15.75" customHeight="1">
      <c r="A485" s="6" t="s">
        <v>521</v>
      </c>
      <c r="B485" s="6" t="s">
        <v>1809</v>
      </c>
      <c r="C485" s="6" t="s">
        <v>1836</v>
      </c>
      <c r="D485" s="6" t="s">
        <v>539</v>
      </c>
      <c r="E485" s="6" t="s">
        <v>429</v>
      </c>
      <c r="F485" s="6" t="s">
        <v>59</v>
      </c>
      <c r="G485" s="6" t="s">
        <v>459</v>
      </c>
    </row>
    <row r="486" ht="15.75" customHeight="1">
      <c r="A486" s="6" t="s">
        <v>521</v>
      </c>
      <c r="B486" s="6" t="s">
        <v>1809</v>
      </c>
      <c r="C486" s="6" t="s">
        <v>1836</v>
      </c>
      <c r="D486" s="6" t="s">
        <v>616</v>
      </c>
      <c r="E486" s="6" t="s">
        <v>429</v>
      </c>
      <c r="F486" s="6" t="s">
        <v>59</v>
      </c>
      <c r="G486" s="6" t="s">
        <v>459</v>
      </c>
    </row>
    <row r="487" ht="15.75" customHeight="1">
      <c r="A487" s="6" t="s">
        <v>521</v>
      </c>
      <c r="B487" s="6" t="s">
        <v>1809</v>
      </c>
      <c r="C487" s="6" t="s">
        <v>1836</v>
      </c>
      <c r="D487" s="6" t="s">
        <v>596</v>
      </c>
      <c r="E487" s="6" t="s">
        <v>429</v>
      </c>
      <c r="F487" s="6" t="s">
        <v>59</v>
      </c>
      <c r="G487" s="6" t="s">
        <v>592</v>
      </c>
    </row>
    <row r="488" ht="15.75" customHeight="1">
      <c r="A488" s="6" t="s">
        <v>521</v>
      </c>
      <c r="B488" s="6" t="s">
        <v>1809</v>
      </c>
      <c r="C488" s="6" t="s">
        <v>1836</v>
      </c>
      <c r="D488" s="6" t="s">
        <v>588</v>
      </c>
      <c r="E488" s="6" t="s">
        <v>429</v>
      </c>
      <c r="F488" s="6" t="s">
        <v>373</v>
      </c>
      <c r="G488" s="6" t="s">
        <v>224</v>
      </c>
    </row>
    <row r="489" ht="15.75" customHeight="1">
      <c r="A489" s="6" t="s">
        <v>521</v>
      </c>
      <c r="B489" s="6" t="s">
        <v>1809</v>
      </c>
      <c r="C489" s="6" t="s">
        <v>1836</v>
      </c>
      <c r="D489" s="6" t="s">
        <v>588</v>
      </c>
      <c r="E489" s="6" t="s">
        <v>429</v>
      </c>
      <c r="F489" s="6" t="s">
        <v>373</v>
      </c>
      <c r="G489" s="6" t="s">
        <v>224</v>
      </c>
    </row>
    <row r="490" ht="15.75" customHeight="1">
      <c r="A490" s="6" t="s">
        <v>521</v>
      </c>
      <c r="B490" s="6" t="s">
        <v>1809</v>
      </c>
      <c r="C490" s="6" t="s">
        <v>1836</v>
      </c>
      <c r="D490" s="6" t="s">
        <v>457</v>
      </c>
      <c r="E490" s="6" t="s">
        <v>429</v>
      </c>
      <c r="F490" s="6" t="s">
        <v>59</v>
      </c>
      <c r="G490" s="6" t="s">
        <v>592</v>
      </c>
    </row>
    <row r="491" ht="15.75" customHeight="1">
      <c r="A491" s="6" t="s">
        <v>521</v>
      </c>
      <c r="B491" s="6" t="s">
        <v>1809</v>
      </c>
      <c r="C491" s="6" t="s">
        <v>1836</v>
      </c>
      <c r="D491" s="6" t="s">
        <v>457</v>
      </c>
      <c r="E491" s="6" t="s">
        <v>429</v>
      </c>
      <c r="F491" s="6" t="s">
        <v>59</v>
      </c>
      <c r="G491" s="6" t="s">
        <v>541</v>
      </c>
    </row>
    <row r="492" ht="15.75" customHeight="1">
      <c r="A492" s="6" t="s">
        <v>521</v>
      </c>
      <c r="B492" s="6" t="s">
        <v>1809</v>
      </c>
      <c r="C492" s="6" t="s">
        <v>1836</v>
      </c>
      <c r="D492" s="6" t="s">
        <v>539</v>
      </c>
      <c r="E492" s="6" t="s">
        <v>553</v>
      </c>
      <c r="F492" s="6" t="s">
        <v>561</v>
      </c>
      <c r="G492" s="6" t="s">
        <v>430</v>
      </c>
    </row>
    <row r="493" ht="15.75" customHeight="1">
      <c r="A493" s="6" t="s">
        <v>521</v>
      </c>
      <c r="B493" s="6" t="s">
        <v>1809</v>
      </c>
      <c r="C493" s="6" t="s">
        <v>1836</v>
      </c>
      <c r="D493" s="6" t="s">
        <v>596</v>
      </c>
      <c r="E493" s="6" t="s">
        <v>429</v>
      </c>
      <c r="F493" s="6" t="s">
        <v>59</v>
      </c>
      <c r="G493" s="6" t="s">
        <v>556</v>
      </c>
    </row>
    <row r="494" ht="15.75" customHeight="1">
      <c r="A494" s="6" t="s">
        <v>521</v>
      </c>
      <c r="B494" s="6" t="s">
        <v>1809</v>
      </c>
      <c r="C494" s="6" t="s">
        <v>1836</v>
      </c>
      <c r="D494" s="6" t="s">
        <v>616</v>
      </c>
      <c r="E494" s="6" t="s">
        <v>429</v>
      </c>
      <c r="F494" s="6" t="s">
        <v>30</v>
      </c>
      <c r="G494" s="6" t="s">
        <v>459</v>
      </c>
    </row>
    <row r="495" ht="15.75" customHeight="1">
      <c r="A495" s="6" t="s">
        <v>521</v>
      </c>
      <c r="B495" s="6" t="s">
        <v>1809</v>
      </c>
      <c r="C495" s="6" t="s">
        <v>1836</v>
      </c>
      <c r="D495" s="6" t="s">
        <v>501</v>
      </c>
      <c r="E495" s="6" t="s">
        <v>429</v>
      </c>
      <c r="F495" s="6" t="s">
        <v>59</v>
      </c>
      <c r="G495" s="6" t="s">
        <v>282</v>
      </c>
    </row>
    <row r="496" ht="15.75" customHeight="1">
      <c r="A496" s="6" t="s">
        <v>521</v>
      </c>
      <c r="B496" s="6" t="s">
        <v>1809</v>
      </c>
      <c r="C496" s="6" t="s">
        <v>1836</v>
      </c>
      <c r="D496" s="6" t="s">
        <v>492</v>
      </c>
      <c r="E496" s="6" t="s">
        <v>429</v>
      </c>
      <c r="F496" s="6" t="s">
        <v>59</v>
      </c>
      <c r="G496" s="6" t="s">
        <v>136</v>
      </c>
    </row>
    <row r="497" ht="15.75" customHeight="1">
      <c r="A497" s="6" t="s">
        <v>521</v>
      </c>
      <c r="B497" s="6" t="s">
        <v>1809</v>
      </c>
      <c r="C497" s="6" t="s">
        <v>1836</v>
      </c>
      <c r="D497" s="6" t="s">
        <v>482</v>
      </c>
      <c r="E497" s="6" t="s">
        <v>553</v>
      </c>
      <c r="F497" s="6" t="s">
        <v>561</v>
      </c>
      <c r="G497" s="6" t="s">
        <v>438</v>
      </c>
    </row>
    <row r="498" ht="15.75" customHeight="1">
      <c r="A498" s="6" t="s">
        <v>521</v>
      </c>
      <c r="B498" s="6" t="s">
        <v>1822</v>
      </c>
      <c r="C498" s="6" t="s">
        <v>1836</v>
      </c>
      <c r="D498" s="6" t="s">
        <v>798</v>
      </c>
      <c r="E498" s="6" t="s">
        <v>93</v>
      </c>
      <c r="F498" s="6" t="s">
        <v>30</v>
      </c>
      <c r="G498" s="6" t="s">
        <v>800</v>
      </c>
    </row>
    <row r="499" ht="15.75" customHeight="1">
      <c r="A499" s="6" t="s">
        <v>521</v>
      </c>
      <c r="B499" s="6" t="s">
        <v>1822</v>
      </c>
      <c r="C499" s="6" t="s">
        <v>1836</v>
      </c>
      <c r="D499" s="6" t="s">
        <v>469</v>
      </c>
      <c r="E499" s="6" t="s">
        <v>806</v>
      </c>
      <c r="F499" s="6" t="s">
        <v>30</v>
      </c>
      <c r="G499" s="6" t="s">
        <v>800</v>
      </c>
    </row>
    <row r="500" ht="15.75" customHeight="1">
      <c r="A500" s="6" t="s">
        <v>521</v>
      </c>
      <c r="B500" s="6" t="s">
        <v>1822</v>
      </c>
      <c r="C500" s="6" t="s">
        <v>1836</v>
      </c>
      <c r="D500" s="6" t="s">
        <v>469</v>
      </c>
      <c r="E500" s="6" t="s">
        <v>22</v>
      </c>
      <c r="F500" s="6" t="s">
        <v>30</v>
      </c>
      <c r="G500" s="6" t="s">
        <v>812</v>
      </c>
    </row>
    <row r="501" ht="15.75" customHeight="1">
      <c r="A501" s="6" t="s">
        <v>613</v>
      </c>
      <c r="B501" s="6" t="s">
        <v>1809</v>
      </c>
      <c r="C501" s="6" t="s">
        <v>1836</v>
      </c>
      <c r="D501" s="6" t="s">
        <v>435</v>
      </c>
      <c r="E501" s="6" t="s">
        <v>821</v>
      </c>
      <c r="F501" s="6" t="s">
        <v>59</v>
      </c>
      <c r="G501" s="6" t="s">
        <v>438</v>
      </c>
    </row>
    <row r="502" ht="15.75" customHeight="1">
      <c r="A502" s="6" t="s">
        <v>613</v>
      </c>
      <c r="B502" s="6" t="s">
        <v>1809</v>
      </c>
      <c r="C502" s="6" t="s">
        <v>1836</v>
      </c>
      <c r="D502" s="6" t="s">
        <v>823</v>
      </c>
      <c r="E502" s="6" t="s">
        <v>604</v>
      </c>
      <c r="F502" s="6" t="s">
        <v>59</v>
      </c>
      <c r="G502" s="6" t="s">
        <v>224</v>
      </c>
    </row>
    <row r="503" ht="15.75" customHeight="1">
      <c r="A503" s="6" t="s">
        <v>613</v>
      </c>
      <c r="B503" s="6" t="s">
        <v>1809</v>
      </c>
      <c r="C503" s="6" t="s">
        <v>1836</v>
      </c>
      <c r="D503" s="6" t="s">
        <v>823</v>
      </c>
      <c r="E503" s="6" t="s">
        <v>353</v>
      </c>
      <c r="F503" s="6" t="s">
        <v>59</v>
      </c>
      <c r="G503" s="6" t="s">
        <v>224</v>
      </c>
    </row>
    <row r="504" ht="15.75" customHeight="1">
      <c r="A504" s="6" t="s">
        <v>613</v>
      </c>
      <c r="B504" s="6" t="s">
        <v>1809</v>
      </c>
      <c r="C504" s="6" t="s">
        <v>1836</v>
      </c>
      <c r="D504" s="6" t="s">
        <v>616</v>
      </c>
      <c r="E504" s="6" t="s">
        <v>299</v>
      </c>
      <c r="F504" s="6" t="s">
        <v>59</v>
      </c>
      <c r="G504" s="6" t="s">
        <v>556</v>
      </c>
    </row>
    <row r="505" ht="15.75" customHeight="1">
      <c r="A505" s="6" t="s">
        <v>613</v>
      </c>
      <c r="B505" s="6" t="s">
        <v>1809</v>
      </c>
      <c r="C505" s="6" t="s">
        <v>1836</v>
      </c>
      <c r="D505" s="6" t="s">
        <v>576</v>
      </c>
      <c r="E505" s="6" t="s">
        <v>835</v>
      </c>
      <c r="F505" s="6" t="s">
        <v>59</v>
      </c>
      <c r="G505" s="6" t="s">
        <v>524</v>
      </c>
    </row>
    <row r="506" ht="15.75" customHeight="1">
      <c r="A506" s="6" t="s">
        <v>613</v>
      </c>
      <c r="B506" s="6" t="s">
        <v>1809</v>
      </c>
      <c r="C506" s="6" t="s">
        <v>1836</v>
      </c>
      <c r="D506" s="6" t="s">
        <v>596</v>
      </c>
      <c r="E506" s="6" t="s">
        <v>299</v>
      </c>
      <c r="F506" s="6" t="s">
        <v>59</v>
      </c>
      <c r="G506" s="6" t="s">
        <v>541</v>
      </c>
    </row>
    <row r="507" ht="15.75" customHeight="1">
      <c r="A507" s="6" t="s">
        <v>613</v>
      </c>
      <c r="B507" s="6" t="s">
        <v>1809</v>
      </c>
      <c r="C507" s="6" t="s">
        <v>1836</v>
      </c>
      <c r="D507" s="6" t="s">
        <v>539</v>
      </c>
      <c r="E507" s="6" t="s">
        <v>299</v>
      </c>
      <c r="F507" s="6" t="s">
        <v>59</v>
      </c>
      <c r="G507" s="6" t="s">
        <v>556</v>
      </c>
    </row>
    <row r="508" ht="15.75" customHeight="1">
      <c r="A508" s="6" t="s">
        <v>613</v>
      </c>
      <c r="B508" s="6" t="s">
        <v>1809</v>
      </c>
      <c r="C508" s="6" t="s">
        <v>1836</v>
      </c>
      <c r="D508" s="6" t="s">
        <v>596</v>
      </c>
      <c r="E508" s="6" t="s">
        <v>353</v>
      </c>
      <c r="F508" s="6" t="s">
        <v>59</v>
      </c>
      <c r="G508" s="6" t="s">
        <v>282</v>
      </c>
    </row>
    <row r="509" ht="15.75" customHeight="1">
      <c r="A509" s="6" t="s">
        <v>613</v>
      </c>
      <c r="B509" s="6" t="s">
        <v>1809</v>
      </c>
      <c r="C509" s="6" t="s">
        <v>1836</v>
      </c>
      <c r="D509" s="6" t="s">
        <v>608</v>
      </c>
      <c r="E509" s="6" t="s">
        <v>64</v>
      </c>
      <c r="F509" s="6" t="s">
        <v>59</v>
      </c>
      <c r="G509" s="6" t="s">
        <v>459</v>
      </c>
    </row>
    <row r="510" ht="15.75" customHeight="1">
      <c r="A510" s="6" t="s">
        <v>613</v>
      </c>
      <c r="B510" s="6" t="s">
        <v>1809</v>
      </c>
      <c r="C510" s="6" t="s">
        <v>1836</v>
      </c>
      <c r="D510" s="6" t="s">
        <v>853</v>
      </c>
      <c r="E510" s="6" t="s">
        <v>854</v>
      </c>
      <c r="F510" s="6" t="s">
        <v>59</v>
      </c>
      <c r="G510" s="6" t="s">
        <v>136</v>
      </c>
    </row>
    <row r="511" ht="15.75" customHeight="1">
      <c r="A511" s="6" t="s">
        <v>613</v>
      </c>
      <c r="B511" s="6" t="s">
        <v>1809</v>
      </c>
      <c r="C511" s="6" t="s">
        <v>1836</v>
      </c>
      <c r="D511" s="6" t="s">
        <v>588</v>
      </c>
      <c r="E511" s="6" t="s">
        <v>859</v>
      </c>
      <c r="F511" s="6" t="s">
        <v>59</v>
      </c>
      <c r="G511" s="6" t="s">
        <v>541</v>
      </c>
    </row>
    <row r="512" ht="15.75" customHeight="1">
      <c r="A512" s="6" t="s">
        <v>613</v>
      </c>
      <c r="B512" s="6" t="s">
        <v>1822</v>
      </c>
      <c r="C512" s="6" t="s">
        <v>1836</v>
      </c>
      <c r="D512" s="6" t="s">
        <v>428</v>
      </c>
      <c r="E512" s="6" t="s">
        <v>365</v>
      </c>
      <c r="F512" s="6" t="s">
        <v>59</v>
      </c>
      <c r="G512" s="6" t="s">
        <v>712</v>
      </c>
    </row>
    <row r="513" ht="15.75" customHeight="1">
      <c r="A513" s="6" t="s">
        <v>669</v>
      </c>
      <c r="B513" s="6" t="s">
        <v>1809</v>
      </c>
      <c r="C513" s="6" t="s">
        <v>1836</v>
      </c>
      <c r="D513" s="6" t="s">
        <v>781</v>
      </c>
      <c r="E513" s="6" t="s">
        <v>429</v>
      </c>
      <c r="F513" s="6" t="s">
        <v>59</v>
      </c>
      <c r="G513" s="6" t="s">
        <v>459</v>
      </c>
    </row>
    <row r="514" ht="15.75" customHeight="1">
      <c r="A514" s="6" t="s">
        <v>669</v>
      </c>
      <c r="B514" s="6" t="s">
        <v>1809</v>
      </c>
      <c r="C514" s="6" t="s">
        <v>1836</v>
      </c>
      <c r="D514" s="6" t="s">
        <v>837</v>
      </c>
      <c r="E514" s="6" t="s">
        <v>429</v>
      </c>
      <c r="F514" s="6" t="s">
        <v>59</v>
      </c>
      <c r="G514" s="6" t="s">
        <v>430</v>
      </c>
    </row>
    <row r="515" ht="15.75" customHeight="1">
      <c r="A515" s="6" t="s">
        <v>669</v>
      </c>
      <c r="B515" s="6" t="s">
        <v>1809</v>
      </c>
      <c r="C515" s="6" t="s">
        <v>1836</v>
      </c>
      <c r="D515" s="6" t="s">
        <v>700</v>
      </c>
      <c r="E515" s="6" t="s">
        <v>429</v>
      </c>
      <c r="F515" s="6" t="s">
        <v>59</v>
      </c>
      <c r="G515" s="6" t="s">
        <v>714</v>
      </c>
    </row>
    <row r="516" ht="15.75" customHeight="1">
      <c r="A516" s="6" t="s">
        <v>669</v>
      </c>
      <c r="B516" s="6" t="s">
        <v>1809</v>
      </c>
      <c r="C516" s="6" t="s">
        <v>1836</v>
      </c>
      <c r="D516" s="6" t="s">
        <v>825</v>
      </c>
      <c r="E516" s="6" t="s">
        <v>429</v>
      </c>
      <c r="F516" s="6" t="s">
        <v>59</v>
      </c>
      <c r="G516" s="6" t="s">
        <v>459</v>
      </c>
    </row>
    <row r="517" ht="15.75" customHeight="1">
      <c r="A517" s="6" t="s">
        <v>669</v>
      </c>
      <c r="B517" s="6" t="s">
        <v>1809</v>
      </c>
      <c r="C517" s="6" t="s">
        <v>1836</v>
      </c>
      <c r="D517" s="6" t="s">
        <v>672</v>
      </c>
      <c r="E517" s="6" t="s">
        <v>429</v>
      </c>
      <c r="F517" s="6" t="s">
        <v>59</v>
      </c>
      <c r="G517" s="6" t="s">
        <v>459</v>
      </c>
    </row>
    <row r="518" ht="15.75" customHeight="1">
      <c r="A518" s="6" t="s">
        <v>669</v>
      </c>
      <c r="B518" s="6" t="s">
        <v>1809</v>
      </c>
      <c r="C518" s="6" t="s">
        <v>1836</v>
      </c>
      <c r="D518" s="6" t="s">
        <v>684</v>
      </c>
      <c r="E518" s="6" t="s">
        <v>429</v>
      </c>
      <c r="F518" s="6" t="s">
        <v>59</v>
      </c>
      <c r="G518" s="6" t="s">
        <v>592</v>
      </c>
    </row>
    <row r="519" ht="15.75" customHeight="1">
      <c r="A519" s="6" t="s">
        <v>669</v>
      </c>
      <c r="B519" s="6" t="s">
        <v>1809</v>
      </c>
      <c r="C519" s="6" t="s">
        <v>1836</v>
      </c>
      <c r="D519" s="6" t="s">
        <v>895</v>
      </c>
      <c r="E519" s="6" t="s">
        <v>429</v>
      </c>
      <c r="F519" s="6" t="s">
        <v>59</v>
      </c>
      <c r="G519" s="6" t="s">
        <v>196</v>
      </c>
    </row>
    <row r="520" ht="15.75" customHeight="1">
      <c r="A520" s="6" t="s">
        <v>669</v>
      </c>
      <c r="B520" s="6" t="s">
        <v>1809</v>
      </c>
      <c r="C520" s="6" t="s">
        <v>1836</v>
      </c>
      <c r="D520" s="6" t="s">
        <v>764</v>
      </c>
      <c r="E520" s="6" t="s">
        <v>429</v>
      </c>
      <c r="F520" s="6" t="s">
        <v>59</v>
      </c>
      <c r="G520" s="6" t="s">
        <v>592</v>
      </c>
    </row>
    <row r="521" ht="15.75" customHeight="1">
      <c r="A521" s="6" t="s">
        <v>669</v>
      </c>
      <c r="B521" s="6" t="s">
        <v>1809</v>
      </c>
      <c r="C521" s="6" t="s">
        <v>1836</v>
      </c>
      <c r="D521" s="6" t="s">
        <v>690</v>
      </c>
      <c r="E521" s="6" t="s">
        <v>429</v>
      </c>
      <c r="F521" s="6" t="s">
        <v>59</v>
      </c>
      <c r="G521" s="6" t="s">
        <v>438</v>
      </c>
    </row>
    <row r="522" ht="15.75" customHeight="1">
      <c r="A522" s="6" t="s">
        <v>669</v>
      </c>
      <c r="B522" s="6" t="s">
        <v>1809</v>
      </c>
      <c r="C522" s="6" t="s">
        <v>1836</v>
      </c>
      <c r="D522" s="6" t="s">
        <v>700</v>
      </c>
      <c r="E522" s="6" t="s">
        <v>429</v>
      </c>
      <c r="F522" s="6" t="s">
        <v>59</v>
      </c>
      <c r="G522" s="6" t="s">
        <v>714</v>
      </c>
    </row>
    <row r="523" ht="15.75" customHeight="1">
      <c r="A523" s="6" t="s">
        <v>669</v>
      </c>
      <c r="B523" s="6" t="s">
        <v>1809</v>
      </c>
      <c r="C523" s="6" t="s">
        <v>1836</v>
      </c>
      <c r="D523" s="6" t="s">
        <v>690</v>
      </c>
      <c r="E523" s="6" t="s">
        <v>429</v>
      </c>
      <c r="F523" s="6" t="s">
        <v>59</v>
      </c>
      <c r="G523" s="6" t="s">
        <v>459</v>
      </c>
    </row>
    <row r="524" ht="15.75" customHeight="1">
      <c r="A524" s="6" t="s">
        <v>669</v>
      </c>
      <c r="B524" s="6" t="s">
        <v>1809</v>
      </c>
      <c r="C524" s="6" t="s">
        <v>1836</v>
      </c>
      <c r="D524" s="6" t="s">
        <v>870</v>
      </c>
      <c r="E524" s="6" t="s">
        <v>429</v>
      </c>
      <c r="F524" s="6" t="s">
        <v>59</v>
      </c>
      <c r="G524" s="6" t="s">
        <v>508</v>
      </c>
    </row>
    <row r="525" ht="15.75" customHeight="1">
      <c r="A525" s="6" t="s">
        <v>669</v>
      </c>
      <c r="B525" s="6" t="s">
        <v>1809</v>
      </c>
      <c r="C525" s="6" t="s">
        <v>1836</v>
      </c>
      <c r="D525" s="6" t="s">
        <v>781</v>
      </c>
      <c r="E525" s="6" t="s">
        <v>429</v>
      </c>
      <c r="F525" s="6" t="s">
        <v>59</v>
      </c>
      <c r="G525" s="6" t="s">
        <v>430</v>
      </c>
    </row>
    <row r="526" ht="15.75" customHeight="1">
      <c r="A526" s="6" t="s">
        <v>669</v>
      </c>
      <c r="B526" s="6" t="s">
        <v>1809</v>
      </c>
      <c r="C526" s="6" t="s">
        <v>1836</v>
      </c>
      <c r="D526" s="6" t="s">
        <v>670</v>
      </c>
      <c r="E526" s="6" t="s">
        <v>429</v>
      </c>
      <c r="F526" s="6" t="s">
        <v>59</v>
      </c>
      <c r="G526" s="6" t="s">
        <v>459</v>
      </c>
    </row>
    <row r="527" ht="15.75" customHeight="1">
      <c r="A527" s="6" t="s">
        <v>669</v>
      </c>
      <c r="B527" s="6" t="s">
        <v>1809</v>
      </c>
      <c r="C527" s="6" t="s">
        <v>1836</v>
      </c>
      <c r="D527" s="6" t="s">
        <v>840</v>
      </c>
      <c r="E527" s="6" t="s">
        <v>429</v>
      </c>
      <c r="F527" s="6" t="s">
        <v>59</v>
      </c>
      <c r="G527" s="6" t="s">
        <v>196</v>
      </c>
    </row>
    <row r="528" ht="15.75" customHeight="1">
      <c r="A528" s="6" t="s">
        <v>669</v>
      </c>
      <c r="B528" s="6" t="s">
        <v>1809</v>
      </c>
      <c r="C528" s="6" t="s">
        <v>1836</v>
      </c>
      <c r="D528" s="6" t="s">
        <v>921</v>
      </c>
      <c r="E528" s="6" t="s">
        <v>429</v>
      </c>
      <c r="F528" s="6" t="s">
        <v>59</v>
      </c>
      <c r="G528" s="6" t="s">
        <v>459</v>
      </c>
    </row>
    <row r="529" ht="15.75" customHeight="1">
      <c r="A529" s="6" t="s">
        <v>669</v>
      </c>
      <c r="B529" s="6" t="s">
        <v>1809</v>
      </c>
      <c r="C529" s="6" t="s">
        <v>1836</v>
      </c>
      <c r="D529" s="6" t="s">
        <v>705</v>
      </c>
      <c r="E529" s="6" t="s">
        <v>429</v>
      </c>
      <c r="F529" s="6" t="s">
        <v>59</v>
      </c>
      <c r="G529" s="6" t="s">
        <v>196</v>
      </c>
    </row>
    <row r="530" ht="15.75" customHeight="1">
      <c r="A530" s="6" t="s">
        <v>669</v>
      </c>
      <c r="B530" s="6" t="s">
        <v>1809</v>
      </c>
      <c r="C530" s="6" t="s">
        <v>1836</v>
      </c>
      <c r="D530" s="6" t="s">
        <v>848</v>
      </c>
      <c r="E530" s="6" t="s">
        <v>429</v>
      </c>
      <c r="F530" s="6" t="s">
        <v>59</v>
      </c>
      <c r="G530" s="6" t="s">
        <v>196</v>
      </c>
    </row>
    <row r="531" ht="15.75" customHeight="1">
      <c r="A531" s="6" t="s">
        <v>669</v>
      </c>
      <c r="B531" s="6" t="s">
        <v>1822</v>
      </c>
      <c r="C531" s="6" t="s">
        <v>1836</v>
      </c>
      <c r="D531" s="6" t="s">
        <v>672</v>
      </c>
      <c r="E531" s="6" t="s">
        <v>429</v>
      </c>
      <c r="F531" s="6" t="s">
        <v>30</v>
      </c>
      <c r="G531" s="6" t="s">
        <v>930</v>
      </c>
    </row>
    <row r="532" ht="15.75" customHeight="1">
      <c r="A532" s="6" t="s">
        <v>669</v>
      </c>
      <c r="B532" s="6" t="s">
        <v>1822</v>
      </c>
      <c r="C532" s="6" t="s">
        <v>1836</v>
      </c>
      <c r="D532" s="6" t="s">
        <v>914</v>
      </c>
      <c r="E532" s="6" t="s">
        <v>429</v>
      </c>
      <c r="F532" s="6" t="s">
        <v>30</v>
      </c>
      <c r="G532" s="6" t="s">
        <v>812</v>
      </c>
    </row>
    <row r="533" ht="15.75" customHeight="1">
      <c r="A533" s="6" t="s">
        <v>669</v>
      </c>
      <c r="B533" s="6" t="s">
        <v>1822</v>
      </c>
      <c r="C533" s="6" t="s">
        <v>1836</v>
      </c>
      <c r="D533" s="6" t="s">
        <v>870</v>
      </c>
      <c r="E533" s="6" t="s">
        <v>429</v>
      </c>
      <c r="F533" s="6" t="s">
        <v>30</v>
      </c>
      <c r="G533" s="6" t="s">
        <v>812</v>
      </c>
    </row>
    <row r="534" ht="15.75" customHeight="1">
      <c r="A534" s="6" t="s">
        <v>669</v>
      </c>
      <c r="B534" s="6" t="s">
        <v>1822</v>
      </c>
      <c r="C534" s="6" t="s">
        <v>1836</v>
      </c>
      <c r="D534" s="6" t="s">
        <v>870</v>
      </c>
      <c r="E534" s="6" t="s">
        <v>429</v>
      </c>
      <c r="F534" s="6" t="s">
        <v>30</v>
      </c>
      <c r="G534" s="6" t="s">
        <v>812</v>
      </c>
    </row>
    <row r="535" ht="15.75" customHeight="1">
      <c r="A535" s="6" t="s">
        <v>745</v>
      </c>
      <c r="B535" s="6" t="s">
        <v>1809</v>
      </c>
      <c r="C535" s="6" t="s">
        <v>1836</v>
      </c>
      <c r="D535" s="6" t="s">
        <v>690</v>
      </c>
      <c r="E535" s="6" t="s">
        <v>429</v>
      </c>
      <c r="F535" s="6" t="s">
        <v>373</v>
      </c>
      <c r="G535" s="6" t="s">
        <v>508</v>
      </c>
    </row>
    <row r="536" ht="15.75" customHeight="1">
      <c r="A536" s="6" t="s">
        <v>745</v>
      </c>
      <c r="B536" s="6" t="s">
        <v>1809</v>
      </c>
      <c r="C536" s="6" t="s">
        <v>1836</v>
      </c>
      <c r="D536" s="6" t="s">
        <v>670</v>
      </c>
      <c r="E536" s="6" t="s">
        <v>429</v>
      </c>
      <c r="F536" s="6" t="s">
        <v>59</v>
      </c>
      <c r="G536" s="6" t="s">
        <v>459</v>
      </c>
    </row>
    <row r="537" ht="15.75" customHeight="1">
      <c r="A537" s="6" t="s">
        <v>745</v>
      </c>
      <c r="B537" s="6" t="s">
        <v>1809</v>
      </c>
      <c r="C537" s="6" t="s">
        <v>1836</v>
      </c>
      <c r="D537" s="6" t="s">
        <v>700</v>
      </c>
      <c r="E537" s="6" t="s">
        <v>429</v>
      </c>
      <c r="F537" s="6" t="s">
        <v>59</v>
      </c>
      <c r="G537" s="6" t="s">
        <v>524</v>
      </c>
    </row>
    <row r="538" ht="15.75" customHeight="1">
      <c r="A538" s="6" t="s">
        <v>745</v>
      </c>
      <c r="B538" s="6" t="s">
        <v>1809</v>
      </c>
      <c r="C538" s="6" t="s">
        <v>1836</v>
      </c>
      <c r="D538" s="6" t="s">
        <v>848</v>
      </c>
      <c r="E538" s="6" t="s">
        <v>429</v>
      </c>
      <c r="F538" s="6" t="s">
        <v>59</v>
      </c>
      <c r="G538" s="6" t="s">
        <v>556</v>
      </c>
    </row>
    <row r="539" ht="15.75" customHeight="1">
      <c r="A539" s="6" t="s">
        <v>745</v>
      </c>
      <c r="B539" s="6" t="s">
        <v>1809</v>
      </c>
      <c r="C539" s="6" t="s">
        <v>1836</v>
      </c>
      <c r="D539" s="6" t="s">
        <v>914</v>
      </c>
      <c r="E539" s="6" t="s">
        <v>429</v>
      </c>
      <c r="F539" s="6" t="s">
        <v>59</v>
      </c>
      <c r="G539" s="6" t="s">
        <v>524</v>
      </c>
    </row>
    <row r="540" ht="15.75" customHeight="1">
      <c r="A540" s="6" t="s">
        <v>745</v>
      </c>
      <c r="B540" s="6" t="s">
        <v>1809</v>
      </c>
      <c r="C540" s="6" t="s">
        <v>1836</v>
      </c>
      <c r="D540" s="6" t="s">
        <v>705</v>
      </c>
      <c r="E540" s="6" t="s">
        <v>429</v>
      </c>
      <c r="F540" s="6" t="s">
        <v>59</v>
      </c>
      <c r="G540" s="6" t="s">
        <v>438</v>
      </c>
    </row>
    <row r="541" ht="15.75" customHeight="1">
      <c r="A541" s="6" t="s">
        <v>745</v>
      </c>
      <c r="B541" s="6" t="s">
        <v>1809</v>
      </c>
      <c r="C541" s="6" t="s">
        <v>1836</v>
      </c>
      <c r="D541" s="6" t="s">
        <v>837</v>
      </c>
      <c r="E541" s="6" t="s">
        <v>429</v>
      </c>
      <c r="F541" s="6" t="s">
        <v>373</v>
      </c>
      <c r="G541" s="6" t="s">
        <v>459</v>
      </c>
    </row>
    <row r="542" ht="15.75" customHeight="1">
      <c r="A542" s="6" t="s">
        <v>745</v>
      </c>
      <c r="B542" s="6" t="s">
        <v>1809</v>
      </c>
      <c r="C542" s="6" t="s">
        <v>1836</v>
      </c>
      <c r="D542" s="6" t="s">
        <v>848</v>
      </c>
      <c r="E542" s="6" t="s">
        <v>553</v>
      </c>
      <c r="G542" s="6" t="s">
        <v>438</v>
      </c>
    </row>
    <row r="543" ht="15.75" customHeight="1">
      <c r="A543" s="6" t="s">
        <v>745</v>
      </c>
      <c r="B543" s="6" t="s">
        <v>1809</v>
      </c>
      <c r="C543" s="6" t="s">
        <v>1836</v>
      </c>
      <c r="D543" s="6" t="s">
        <v>840</v>
      </c>
      <c r="E543" s="6" t="s">
        <v>429</v>
      </c>
      <c r="F543" s="6" t="s">
        <v>59</v>
      </c>
      <c r="G543" s="6" t="s">
        <v>524</v>
      </c>
    </row>
    <row r="544" ht="15.75" customHeight="1">
      <c r="A544" s="6" t="s">
        <v>745</v>
      </c>
      <c r="B544" s="6" t="s">
        <v>1809</v>
      </c>
      <c r="C544" s="6" t="s">
        <v>1836</v>
      </c>
      <c r="D544" s="6" t="s">
        <v>840</v>
      </c>
      <c r="E544" s="6" t="s">
        <v>429</v>
      </c>
      <c r="F544" s="6" t="s">
        <v>59</v>
      </c>
      <c r="G544" s="6" t="s">
        <v>541</v>
      </c>
    </row>
    <row r="545" ht="15.75" customHeight="1">
      <c r="A545" s="6" t="s">
        <v>745</v>
      </c>
      <c r="B545" s="6" t="s">
        <v>1809</v>
      </c>
      <c r="C545" s="6" t="s">
        <v>1836</v>
      </c>
      <c r="D545" s="6" t="s">
        <v>825</v>
      </c>
      <c r="E545" s="6" t="s">
        <v>429</v>
      </c>
      <c r="F545" s="6" t="s">
        <v>59</v>
      </c>
      <c r="G545" s="6" t="s">
        <v>459</v>
      </c>
    </row>
    <row r="546" ht="15.75" customHeight="1">
      <c r="A546" s="6" t="s">
        <v>745</v>
      </c>
      <c r="B546" s="6" t="s">
        <v>1809</v>
      </c>
      <c r="C546" s="6" t="s">
        <v>1836</v>
      </c>
      <c r="D546" s="6" t="s">
        <v>700</v>
      </c>
      <c r="E546" s="6" t="s">
        <v>429</v>
      </c>
      <c r="F546" s="6" t="s">
        <v>59</v>
      </c>
      <c r="G546" s="6" t="s">
        <v>508</v>
      </c>
    </row>
    <row r="547" ht="15.75" customHeight="1">
      <c r="A547" s="6" t="s">
        <v>745</v>
      </c>
      <c r="B547" s="6" t="s">
        <v>1809</v>
      </c>
      <c r="C547" s="6" t="s">
        <v>1836</v>
      </c>
      <c r="D547" s="6" t="s">
        <v>914</v>
      </c>
      <c r="E547" s="6" t="s">
        <v>429</v>
      </c>
      <c r="F547" s="6" t="s">
        <v>59</v>
      </c>
      <c r="G547" s="6" t="s">
        <v>508</v>
      </c>
    </row>
    <row r="548" ht="15.75" customHeight="1">
      <c r="A548" s="6" t="s">
        <v>745</v>
      </c>
      <c r="B548" s="6" t="s">
        <v>1809</v>
      </c>
      <c r="C548" s="6" t="s">
        <v>1836</v>
      </c>
      <c r="D548" s="6" t="s">
        <v>705</v>
      </c>
      <c r="E548" s="6" t="s">
        <v>429</v>
      </c>
      <c r="F548" s="6" t="s">
        <v>59</v>
      </c>
      <c r="G548" s="6" t="s">
        <v>430</v>
      </c>
    </row>
    <row r="549" ht="15.75" customHeight="1">
      <c r="A549" s="6" t="s">
        <v>745</v>
      </c>
      <c r="B549" s="6" t="s">
        <v>1809</v>
      </c>
      <c r="C549" s="6" t="s">
        <v>1836</v>
      </c>
      <c r="D549" s="6" t="s">
        <v>848</v>
      </c>
      <c r="E549" s="6" t="s">
        <v>429</v>
      </c>
      <c r="F549" s="6" t="s">
        <v>59</v>
      </c>
      <c r="G549" s="6" t="s">
        <v>325</v>
      </c>
    </row>
    <row r="550" ht="15.75" customHeight="1">
      <c r="A550" s="6" t="s">
        <v>745</v>
      </c>
      <c r="B550" s="6" t="s">
        <v>1809</v>
      </c>
      <c r="C550" s="6" t="s">
        <v>1836</v>
      </c>
      <c r="D550" s="6" t="s">
        <v>672</v>
      </c>
      <c r="E550" s="6" t="s">
        <v>429</v>
      </c>
      <c r="F550" s="6" t="s">
        <v>59</v>
      </c>
      <c r="G550" s="6" t="s">
        <v>325</v>
      </c>
    </row>
    <row r="551" ht="15.75" customHeight="1">
      <c r="A551" s="6" t="s">
        <v>745</v>
      </c>
      <c r="B551" s="6" t="s">
        <v>1809</v>
      </c>
      <c r="C551" s="6" t="s">
        <v>1836</v>
      </c>
      <c r="D551" s="6" t="s">
        <v>999</v>
      </c>
      <c r="E551" s="6" t="s">
        <v>429</v>
      </c>
      <c r="F551" s="6" t="s">
        <v>59</v>
      </c>
      <c r="G551" s="6" t="s">
        <v>282</v>
      </c>
    </row>
    <row r="552" ht="15.75" customHeight="1">
      <c r="A552" s="6" t="s">
        <v>745</v>
      </c>
      <c r="B552" s="6" t="s">
        <v>1809</v>
      </c>
      <c r="C552" s="6" t="s">
        <v>1836</v>
      </c>
      <c r="D552" s="6" t="s">
        <v>700</v>
      </c>
      <c r="E552" s="6" t="s">
        <v>429</v>
      </c>
      <c r="F552" s="6" t="s">
        <v>59</v>
      </c>
      <c r="G552" s="6" t="s">
        <v>438</v>
      </c>
    </row>
    <row r="553" ht="15.75" customHeight="1">
      <c r="A553" s="6" t="s">
        <v>818</v>
      </c>
      <c r="B553" s="6" t="s">
        <v>1809</v>
      </c>
      <c r="C553" s="6" t="s">
        <v>1836</v>
      </c>
      <c r="D553" s="6" t="s">
        <v>690</v>
      </c>
      <c r="E553" s="6" t="s">
        <v>429</v>
      </c>
      <c r="F553" s="6" t="s">
        <v>373</v>
      </c>
      <c r="G553" s="6" t="s">
        <v>438</v>
      </c>
    </row>
    <row r="554" ht="15.75" customHeight="1">
      <c r="A554" s="6" t="s">
        <v>818</v>
      </c>
      <c r="B554" s="6" t="s">
        <v>1809</v>
      </c>
      <c r="C554" s="6" t="s">
        <v>1836</v>
      </c>
      <c r="D554" s="6" t="s">
        <v>690</v>
      </c>
      <c r="E554" s="6" t="s">
        <v>429</v>
      </c>
      <c r="F554" s="6" t="s">
        <v>59</v>
      </c>
      <c r="G554" s="6" t="s">
        <v>136</v>
      </c>
    </row>
    <row r="555" ht="15.75" customHeight="1">
      <c r="A555" s="6" t="s">
        <v>818</v>
      </c>
      <c r="B555" s="6" t="s">
        <v>1809</v>
      </c>
      <c r="C555" s="6" t="s">
        <v>1836</v>
      </c>
      <c r="D555" s="6" t="s">
        <v>781</v>
      </c>
      <c r="E555" s="6" t="s">
        <v>429</v>
      </c>
      <c r="F555" s="6" t="s">
        <v>59</v>
      </c>
      <c r="G555" s="6" t="s">
        <v>592</v>
      </c>
    </row>
    <row r="556" ht="15.75" customHeight="1">
      <c r="A556" s="6" t="s">
        <v>818</v>
      </c>
      <c r="B556" s="6" t="s">
        <v>1809</v>
      </c>
      <c r="C556" s="6" t="s">
        <v>1836</v>
      </c>
      <c r="D556" s="6" t="s">
        <v>672</v>
      </c>
      <c r="E556" s="6" t="s">
        <v>429</v>
      </c>
      <c r="F556" s="6" t="s">
        <v>373</v>
      </c>
      <c r="G556" s="6" t="s">
        <v>459</v>
      </c>
    </row>
    <row r="557" ht="15.75" customHeight="1">
      <c r="A557" s="6" t="s">
        <v>818</v>
      </c>
      <c r="B557" s="6" t="s">
        <v>1809</v>
      </c>
      <c r="C557" s="6" t="s">
        <v>1836</v>
      </c>
      <c r="D557" s="6" t="s">
        <v>837</v>
      </c>
      <c r="E557" s="6" t="s">
        <v>429</v>
      </c>
      <c r="F557" s="6" t="s">
        <v>59</v>
      </c>
      <c r="G557" s="6" t="s">
        <v>459</v>
      </c>
    </row>
    <row r="558" ht="15.75" customHeight="1">
      <c r="A558" s="6" t="s">
        <v>818</v>
      </c>
      <c r="B558" s="6" t="s">
        <v>1809</v>
      </c>
      <c r="C558" s="6" t="s">
        <v>1836</v>
      </c>
      <c r="D558" s="6" t="s">
        <v>848</v>
      </c>
      <c r="E558" s="6" t="s">
        <v>429</v>
      </c>
      <c r="F558" s="6" t="s">
        <v>59</v>
      </c>
      <c r="G558" s="6" t="s">
        <v>459</v>
      </c>
    </row>
    <row r="559" ht="15.75" customHeight="1">
      <c r="A559" s="6" t="s">
        <v>818</v>
      </c>
      <c r="B559" s="6" t="s">
        <v>1809</v>
      </c>
      <c r="C559" s="6" t="s">
        <v>1836</v>
      </c>
      <c r="D559" s="6" t="s">
        <v>700</v>
      </c>
      <c r="E559" s="6" t="s">
        <v>429</v>
      </c>
      <c r="F559" s="6" t="s">
        <v>59</v>
      </c>
      <c r="G559" s="6" t="s">
        <v>592</v>
      </c>
    </row>
    <row r="560" ht="15.75" customHeight="1">
      <c r="A560" s="6" t="s">
        <v>818</v>
      </c>
      <c r="B560" s="6" t="s">
        <v>1809</v>
      </c>
      <c r="C560" s="6" t="s">
        <v>1836</v>
      </c>
      <c r="D560" s="6" t="s">
        <v>840</v>
      </c>
      <c r="E560" s="6" t="s">
        <v>429</v>
      </c>
      <c r="F560" s="6" t="s">
        <v>59</v>
      </c>
      <c r="G560" s="6" t="s">
        <v>524</v>
      </c>
    </row>
    <row r="561" ht="15.75" customHeight="1">
      <c r="A561" s="6" t="s">
        <v>818</v>
      </c>
      <c r="B561" s="6" t="s">
        <v>1809</v>
      </c>
      <c r="C561" s="6" t="s">
        <v>1836</v>
      </c>
      <c r="D561" s="6" t="s">
        <v>840</v>
      </c>
      <c r="E561" s="6" t="s">
        <v>429</v>
      </c>
      <c r="F561" s="6" t="s">
        <v>59</v>
      </c>
      <c r="G561" s="6" t="s">
        <v>224</v>
      </c>
    </row>
    <row r="562" ht="15.75" customHeight="1">
      <c r="A562" s="6" t="s">
        <v>818</v>
      </c>
      <c r="B562" s="6" t="s">
        <v>1809</v>
      </c>
      <c r="C562" s="6" t="s">
        <v>1836</v>
      </c>
      <c r="D562" s="6" t="s">
        <v>870</v>
      </c>
      <c r="E562" s="6" t="s">
        <v>429</v>
      </c>
      <c r="F562" s="6" t="s">
        <v>59</v>
      </c>
      <c r="G562" s="6" t="s">
        <v>224</v>
      </c>
    </row>
    <row r="563" ht="15.75" customHeight="1">
      <c r="A563" s="6" t="s">
        <v>818</v>
      </c>
      <c r="B563" s="6" t="s">
        <v>1809</v>
      </c>
      <c r="C563" s="6" t="s">
        <v>1836</v>
      </c>
      <c r="D563" s="6" t="s">
        <v>848</v>
      </c>
      <c r="E563" s="6" t="s">
        <v>429</v>
      </c>
      <c r="F563" s="6" t="s">
        <v>59</v>
      </c>
      <c r="G563" s="6" t="s">
        <v>430</v>
      </c>
    </row>
    <row r="564" ht="15.75" customHeight="1">
      <c r="A564" s="6" t="s">
        <v>818</v>
      </c>
      <c r="B564" s="6" t="s">
        <v>1809</v>
      </c>
      <c r="C564" s="6" t="s">
        <v>1836</v>
      </c>
      <c r="D564" s="6" t="s">
        <v>1016</v>
      </c>
      <c r="E564" s="6" t="s">
        <v>429</v>
      </c>
      <c r="F564" s="6" t="s">
        <v>59</v>
      </c>
      <c r="G564" s="6" t="s">
        <v>556</v>
      </c>
    </row>
    <row r="565" ht="15.75" customHeight="1">
      <c r="A565" s="6" t="s">
        <v>818</v>
      </c>
      <c r="B565" s="6" t="s">
        <v>1809</v>
      </c>
      <c r="C565" s="6" t="s">
        <v>1836</v>
      </c>
      <c r="D565" s="6" t="s">
        <v>848</v>
      </c>
      <c r="E565" s="6" t="s">
        <v>553</v>
      </c>
      <c r="G565" s="6" t="s">
        <v>459</v>
      </c>
    </row>
    <row r="566" ht="15.75" customHeight="1">
      <c r="A566" s="6" t="s">
        <v>818</v>
      </c>
      <c r="B566" s="6" t="s">
        <v>1809</v>
      </c>
      <c r="C566" s="6" t="s">
        <v>1836</v>
      </c>
      <c r="D566" s="6" t="s">
        <v>781</v>
      </c>
      <c r="E566" s="6" t="s">
        <v>553</v>
      </c>
      <c r="G566" s="6" t="s">
        <v>282</v>
      </c>
    </row>
    <row r="567" ht="15.75" customHeight="1">
      <c r="A567" s="6" t="s">
        <v>818</v>
      </c>
      <c r="B567" s="6" t="s">
        <v>1809</v>
      </c>
      <c r="C567" s="6" t="s">
        <v>1836</v>
      </c>
      <c r="D567" s="6" t="s">
        <v>690</v>
      </c>
      <c r="E567" s="6" t="s">
        <v>429</v>
      </c>
      <c r="F567" s="6" t="s">
        <v>59</v>
      </c>
      <c r="G567" s="6" t="s">
        <v>438</v>
      </c>
    </row>
    <row r="568" ht="15.75" customHeight="1">
      <c r="A568" s="6" t="s">
        <v>818</v>
      </c>
      <c r="B568" s="6" t="s">
        <v>1822</v>
      </c>
      <c r="C568" s="6" t="s">
        <v>1836</v>
      </c>
      <c r="D568" s="6" t="s">
        <v>1029</v>
      </c>
      <c r="E568" s="6" t="s">
        <v>429</v>
      </c>
      <c r="F568" s="6" t="s">
        <v>984</v>
      </c>
      <c r="G568" s="6" t="s">
        <v>800</v>
      </c>
    </row>
    <row r="569" ht="15.75" customHeight="1">
      <c r="A569" s="6" t="s">
        <v>818</v>
      </c>
      <c r="B569" s="6" t="s">
        <v>1822</v>
      </c>
      <c r="C569" s="6" t="s">
        <v>1836</v>
      </c>
      <c r="D569" s="6" t="s">
        <v>747</v>
      </c>
      <c r="E569" s="6" t="s">
        <v>429</v>
      </c>
      <c r="F569" s="6" t="s">
        <v>984</v>
      </c>
      <c r="G569" s="6" t="s">
        <v>800</v>
      </c>
    </row>
    <row r="570" ht="15.75" customHeight="1">
      <c r="A570" s="6" t="s">
        <v>818</v>
      </c>
      <c r="B570" s="6" t="s">
        <v>1822</v>
      </c>
      <c r="C570" s="6" t="s">
        <v>1836</v>
      </c>
      <c r="D570" s="6" t="s">
        <v>747</v>
      </c>
      <c r="E570" s="6" t="s">
        <v>429</v>
      </c>
      <c r="F570" s="6" t="s">
        <v>984</v>
      </c>
      <c r="G570" s="6" t="s">
        <v>812</v>
      </c>
    </row>
    <row r="571" ht="15.75" customHeight="1">
      <c r="A571" s="6" t="s">
        <v>863</v>
      </c>
      <c r="B571" s="6" t="s">
        <v>1809</v>
      </c>
      <c r="C571" s="6" t="s">
        <v>1836</v>
      </c>
      <c r="D571" s="6" t="s">
        <v>1037</v>
      </c>
      <c r="E571" s="6" t="s">
        <v>553</v>
      </c>
      <c r="G571" s="6" t="s">
        <v>438</v>
      </c>
    </row>
    <row r="572" ht="15.75" customHeight="1">
      <c r="A572" s="6" t="s">
        <v>863</v>
      </c>
      <c r="B572" s="6" t="s">
        <v>1809</v>
      </c>
      <c r="C572" s="6" t="s">
        <v>1836</v>
      </c>
      <c r="D572" s="6" t="s">
        <v>840</v>
      </c>
      <c r="E572" s="6" t="s">
        <v>429</v>
      </c>
      <c r="F572" s="6" t="s">
        <v>373</v>
      </c>
      <c r="G572" s="6" t="s">
        <v>508</v>
      </c>
    </row>
    <row r="573" ht="15.75" customHeight="1">
      <c r="A573" s="6" t="s">
        <v>863</v>
      </c>
      <c r="B573" s="6" t="s">
        <v>1809</v>
      </c>
      <c r="C573" s="6" t="s">
        <v>1836</v>
      </c>
      <c r="D573" s="6" t="s">
        <v>914</v>
      </c>
      <c r="E573" s="6" t="s">
        <v>429</v>
      </c>
      <c r="F573" s="6" t="s">
        <v>59</v>
      </c>
      <c r="G573" s="6" t="s">
        <v>459</v>
      </c>
    </row>
    <row r="574" ht="15.75" customHeight="1">
      <c r="A574" s="6" t="s">
        <v>863</v>
      </c>
      <c r="B574" s="6" t="s">
        <v>1809</v>
      </c>
      <c r="C574" s="6" t="s">
        <v>1836</v>
      </c>
      <c r="D574" s="6" t="s">
        <v>670</v>
      </c>
      <c r="E574" s="6" t="s">
        <v>429</v>
      </c>
      <c r="F574" s="6" t="s">
        <v>59</v>
      </c>
      <c r="G574" s="6" t="s">
        <v>459</v>
      </c>
    </row>
    <row r="575" ht="15.75" customHeight="1">
      <c r="A575" s="6" t="s">
        <v>863</v>
      </c>
      <c r="B575" s="6" t="s">
        <v>1809</v>
      </c>
      <c r="C575" s="6" t="s">
        <v>1836</v>
      </c>
      <c r="D575" s="6" t="s">
        <v>684</v>
      </c>
      <c r="E575" s="6" t="s">
        <v>553</v>
      </c>
      <c r="G575" s="6" t="s">
        <v>430</v>
      </c>
    </row>
    <row r="576" ht="15.75" customHeight="1">
      <c r="A576" s="6" t="s">
        <v>863</v>
      </c>
      <c r="B576" s="6" t="s">
        <v>1809</v>
      </c>
      <c r="C576" s="6" t="s">
        <v>1836</v>
      </c>
      <c r="D576" s="6" t="s">
        <v>700</v>
      </c>
      <c r="E576" s="6" t="s">
        <v>429</v>
      </c>
      <c r="F576" s="6" t="s">
        <v>373</v>
      </c>
      <c r="G576" s="6" t="s">
        <v>524</v>
      </c>
    </row>
    <row r="577" ht="15.75" customHeight="1">
      <c r="A577" s="6" t="s">
        <v>863</v>
      </c>
      <c r="B577" s="6" t="s">
        <v>1809</v>
      </c>
      <c r="C577" s="6" t="s">
        <v>1836</v>
      </c>
      <c r="D577" s="6" t="s">
        <v>848</v>
      </c>
      <c r="E577" s="6" t="s">
        <v>1000</v>
      </c>
      <c r="G577" s="6" t="s">
        <v>556</v>
      </c>
    </row>
    <row r="578" ht="15.75" customHeight="1">
      <c r="A578" s="6" t="s">
        <v>863</v>
      </c>
      <c r="B578" s="6" t="s">
        <v>1809</v>
      </c>
      <c r="C578" s="6" t="s">
        <v>1836</v>
      </c>
      <c r="D578" s="6" t="s">
        <v>914</v>
      </c>
      <c r="E578" s="6" t="s">
        <v>429</v>
      </c>
      <c r="F578" s="6" t="s">
        <v>59</v>
      </c>
      <c r="G578" s="6" t="s">
        <v>524</v>
      </c>
    </row>
    <row r="579" ht="15.75" customHeight="1">
      <c r="A579" s="6" t="s">
        <v>863</v>
      </c>
      <c r="B579" s="6" t="s">
        <v>1809</v>
      </c>
      <c r="C579" s="6" t="s">
        <v>1836</v>
      </c>
      <c r="D579" s="6" t="s">
        <v>840</v>
      </c>
      <c r="E579" s="6" t="s">
        <v>429</v>
      </c>
      <c r="F579" s="6" t="s">
        <v>59</v>
      </c>
      <c r="G579" s="6" t="s">
        <v>524</v>
      </c>
    </row>
    <row r="580" ht="15.75" customHeight="1">
      <c r="A580" s="6" t="s">
        <v>863</v>
      </c>
      <c r="B580" s="6" t="s">
        <v>1809</v>
      </c>
      <c r="C580" s="6" t="s">
        <v>1836</v>
      </c>
      <c r="D580" s="6" t="s">
        <v>840</v>
      </c>
      <c r="E580" s="6" t="s">
        <v>429</v>
      </c>
      <c r="F580" s="6" t="s">
        <v>59</v>
      </c>
      <c r="G580" s="6" t="s">
        <v>541</v>
      </c>
    </row>
    <row r="581" ht="15.75" customHeight="1">
      <c r="A581" s="6" t="s">
        <v>863</v>
      </c>
      <c r="B581" s="6" t="s">
        <v>1809</v>
      </c>
      <c r="C581" s="6" t="s">
        <v>1836</v>
      </c>
      <c r="D581" s="6" t="s">
        <v>914</v>
      </c>
      <c r="E581" s="6" t="s">
        <v>429</v>
      </c>
      <c r="F581" s="6" t="s">
        <v>59</v>
      </c>
      <c r="G581" s="6" t="s">
        <v>508</v>
      </c>
    </row>
    <row r="582" ht="15.75" customHeight="1">
      <c r="A582" s="6" t="s">
        <v>863</v>
      </c>
      <c r="B582" s="6" t="s">
        <v>1809</v>
      </c>
      <c r="C582" s="6" t="s">
        <v>1836</v>
      </c>
      <c r="D582" s="6" t="s">
        <v>870</v>
      </c>
      <c r="E582" s="6" t="s">
        <v>429</v>
      </c>
      <c r="F582" s="6" t="s">
        <v>59</v>
      </c>
      <c r="G582" s="6" t="s">
        <v>282</v>
      </c>
    </row>
    <row r="583" ht="15.75" customHeight="1">
      <c r="A583" s="6" t="s">
        <v>863</v>
      </c>
      <c r="B583" s="6" t="s">
        <v>1809</v>
      </c>
      <c r="C583" s="6" t="s">
        <v>1836</v>
      </c>
      <c r="D583" s="6" t="s">
        <v>840</v>
      </c>
      <c r="E583" s="6" t="s">
        <v>429</v>
      </c>
      <c r="F583" s="6" t="s">
        <v>59</v>
      </c>
      <c r="G583" s="6" t="s">
        <v>282</v>
      </c>
    </row>
    <row r="584" ht="15.75" customHeight="1">
      <c r="A584" s="6" t="s">
        <v>863</v>
      </c>
      <c r="B584" s="6" t="s">
        <v>1809</v>
      </c>
      <c r="C584" s="6" t="s">
        <v>1836</v>
      </c>
      <c r="D584" s="6" t="s">
        <v>670</v>
      </c>
      <c r="E584" s="6" t="s">
        <v>429</v>
      </c>
      <c r="F584" s="6" t="s">
        <v>59</v>
      </c>
      <c r="G584" s="6" t="s">
        <v>459</v>
      </c>
    </row>
    <row r="585" ht="15.75" customHeight="1">
      <c r="A585" s="6" t="s">
        <v>863</v>
      </c>
      <c r="B585" s="6" t="s">
        <v>1809</v>
      </c>
      <c r="C585" s="6" t="s">
        <v>1836</v>
      </c>
      <c r="D585" s="6" t="s">
        <v>705</v>
      </c>
      <c r="E585" s="6" t="s">
        <v>429</v>
      </c>
      <c r="F585" s="6" t="s">
        <v>373</v>
      </c>
      <c r="G585" s="6" t="s">
        <v>508</v>
      </c>
    </row>
    <row r="586" ht="15.75" customHeight="1">
      <c r="A586" s="6" t="s">
        <v>863</v>
      </c>
      <c r="B586" s="6" t="s">
        <v>1809</v>
      </c>
      <c r="C586" s="6" t="s">
        <v>1836</v>
      </c>
      <c r="D586" s="6" t="s">
        <v>1042</v>
      </c>
      <c r="E586" s="6" t="s">
        <v>429</v>
      </c>
      <c r="F586" s="6" t="s">
        <v>59</v>
      </c>
      <c r="G586" s="6" t="s">
        <v>136</v>
      </c>
    </row>
    <row r="587" ht="15.75" customHeight="1">
      <c r="A587" s="6" t="s">
        <v>863</v>
      </c>
      <c r="B587" s="6" t="s">
        <v>1809</v>
      </c>
      <c r="C587" s="6" t="s">
        <v>1836</v>
      </c>
      <c r="D587" s="6" t="s">
        <v>870</v>
      </c>
      <c r="E587" s="6" t="s">
        <v>429</v>
      </c>
      <c r="F587" s="6" t="s">
        <v>59</v>
      </c>
      <c r="G587" s="6" t="s">
        <v>430</v>
      </c>
    </row>
    <row r="588" ht="15.75" customHeight="1">
      <c r="A588" s="6" t="s">
        <v>863</v>
      </c>
      <c r="B588" s="6" t="s">
        <v>1809</v>
      </c>
      <c r="C588" s="6" t="s">
        <v>1836</v>
      </c>
      <c r="D588" s="6" t="s">
        <v>870</v>
      </c>
      <c r="E588" s="6" t="s">
        <v>429</v>
      </c>
      <c r="F588" s="6" t="s">
        <v>59</v>
      </c>
      <c r="G588" s="6" t="s">
        <v>430</v>
      </c>
    </row>
    <row r="589" ht="15.75" customHeight="1">
      <c r="A589" s="6" t="s">
        <v>903</v>
      </c>
      <c r="B589" s="6" t="s">
        <v>1809</v>
      </c>
      <c r="C589" s="6" t="s">
        <v>1836</v>
      </c>
      <c r="D589" s="6" t="s">
        <v>111</v>
      </c>
      <c r="E589" s="6" t="s">
        <v>365</v>
      </c>
      <c r="F589" s="6" t="s">
        <v>59</v>
      </c>
      <c r="G589" s="6" t="s">
        <v>211</v>
      </c>
    </row>
    <row r="590" ht="15.75" customHeight="1">
      <c r="A590" s="6" t="s">
        <v>903</v>
      </c>
      <c r="B590" s="6" t="s">
        <v>1809</v>
      </c>
      <c r="C590" s="6" t="s">
        <v>1836</v>
      </c>
      <c r="D590" s="6" t="s">
        <v>94</v>
      </c>
      <c r="E590" s="6" t="s">
        <v>499</v>
      </c>
      <c r="F590" s="6" t="s">
        <v>59</v>
      </c>
      <c r="G590" s="6" t="s">
        <v>280</v>
      </c>
    </row>
    <row r="591" ht="15.75" customHeight="1">
      <c r="A591" s="6" t="s">
        <v>903</v>
      </c>
      <c r="B591" s="6" t="s">
        <v>1809</v>
      </c>
      <c r="C591" s="6" t="s">
        <v>1836</v>
      </c>
      <c r="D591" s="6" t="s">
        <v>262</v>
      </c>
      <c r="E591" s="6" t="s">
        <v>299</v>
      </c>
      <c r="F591" s="6" t="s">
        <v>59</v>
      </c>
      <c r="G591" s="6" t="s">
        <v>37</v>
      </c>
    </row>
    <row r="592" ht="15.75" customHeight="1">
      <c r="A592" s="6" t="s">
        <v>903</v>
      </c>
      <c r="B592" s="6" t="s">
        <v>1809</v>
      </c>
      <c r="C592" s="6" t="s">
        <v>1836</v>
      </c>
      <c r="D592" s="6" t="s">
        <v>21</v>
      </c>
      <c r="E592" s="6" t="s">
        <v>499</v>
      </c>
      <c r="F592" s="6" t="s">
        <v>984</v>
      </c>
      <c r="G592" s="6" t="s">
        <v>37</v>
      </c>
    </row>
    <row r="593" ht="15.75" customHeight="1">
      <c r="A593" s="6" t="s">
        <v>903</v>
      </c>
      <c r="B593" s="6" t="s">
        <v>1809</v>
      </c>
      <c r="C593" s="6" t="s">
        <v>1836</v>
      </c>
      <c r="D593" s="6" t="s">
        <v>124</v>
      </c>
      <c r="E593" s="6" t="s">
        <v>1046</v>
      </c>
      <c r="F593" s="6" t="s">
        <v>59</v>
      </c>
      <c r="G593" s="6" t="s">
        <v>907</v>
      </c>
    </row>
    <row r="594" ht="15.75" customHeight="1">
      <c r="A594" s="6" t="s">
        <v>903</v>
      </c>
      <c r="B594" s="6" t="s">
        <v>1809</v>
      </c>
      <c r="C594" s="6" t="s">
        <v>1836</v>
      </c>
      <c r="D594" s="6" t="s">
        <v>112</v>
      </c>
      <c r="E594" s="6" t="s">
        <v>1048</v>
      </c>
      <c r="F594" s="6" t="s">
        <v>59</v>
      </c>
      <c r="G594" s="6" t="s">
        <v>1049</v>
      </c>
    </row>
    <row r="595" ht="15.75" customHeight="1">
      <c r="A595" s="6" t="s">
        <v>903</v>
      </c>
      <c r="B595" s="6" t="s">
        <v>1809</v>
      </c>
      <c r="C595" s="6" t="s">
        <v>1836</v>
      </c>
      <c r="D595" s="6" t="s">
        <v>235</v>
      </c>
      <c r="E595" s="6" t="s">
        <v>552</v>
      </c>
      <c r="F595" s="6" t="s">
        <v>59</v>
      </c>
      <c r="G595" s="6" t="s">
        <v>95</v>
      </c>
    </row>
    <row r="596" ht="15.75" customHeight="1">
      <c r="A596" s="6" t="s">
        <v>903</v>
      </c>
      <c r="B596" s="6" t="s">
        <v>1809</v>
      </c>
      <c r="C596" s="6" t="s">
        <v>1836</v>
      </c>
      <c r="D596" s="6" t="s">
        <v>94</v>
      </c>
      <c r="E596" s="6" t="s">
        <v>1053</v>
      </c>
      <c r="F596" s="6" t="s">
        <v>59</v>
      </c>
      <c r="G596" s="6" t="s">
        <v>280</v>
      </c>
    </row>
    <row r="597" ht="15.75" customHeight="1">
      <c r="A597" s="6" t="s">
        <v>903</v>
      </c>
      <c r="B597" s="6" t="s">
        <v>1809</v>
      </c>
      <c r="C597" s="6" t="s">
        <v>1836</v>
      </c>
      <c r="D597" s="6" t="s">
        <v>177</v>
      </c>
      <c r="E597" s="6" t="s">
        <v>1055</v>
      </c>
      <c r="F597" s="6" t="s">
        <v>59</v>
      </c>
      <c r="G597" s="6" t="s">
        <v>53</v>
      </c>
    </row>
    <row r="598" ht="15.75" customHeight="1">
      <c r="A598" s="6" t="s">
        <v>903</v>
      </c>
      <c r="B598" s="6" t="s">
        <v>1809</v>
      </c>
      <c r="C598" s="6" t="s">
        <v>1836</v>
      </c>
      <c r="D598" s="6" t="s">
        <v>43</v>
      </c>
      <c r="E598" s="6" t="s">
        <v>365</v>
      </c>
      <c r="F598" s="6" t="s">
        <v>59</v>
      </c>
      <c r="G598" s="6" t="s">
        <v>211</v>
      </c>
    </row>
    <row r="599" ht="15.75" customHeight="1">
      <c r="A599" s="6" t="s">
        <v>903</v>
      </c>
      <c r="B599" s="6" t="s">
        <v>1809</v>
      </c>
      <c r="C599" s="6" t="s">
        <v>1836</v>
      </c>
      <c r="D599" s="6" t="s">
        <v>62</v>
      </c>
      <c r="E599" s="6" t="s">
        <v>331</v>
      </c>
      <c r="F599" s="6" t="s">
        <v>59</v>
      </c>
      <c r="G599" s="6" t="s">
        <v>211</v>
      </c>
    </row>
    <row r="600" ht="15.75" customHeight="1">
      <c r="A600" s="6" t="s">
        <v>903</v>
      </c>
      <c r="B600" s="6" t="s">
        <v>1809</v>
      </c>
      <c r="C600" s="6" t="s">
        <v>1836</v>
      </c>
      <c r="D600" s="6" t="s">
        <v>177</v>
      </c>
      <c r="E600" s="6" t="s">
        <v>1058</v>
      </c>
      <c r="F600" s="6" t="s">
        <v>59</v>
      </c>
      <c r="G600" s="6" t="s">
        <v>53</v>
      </c>
    </row>
    <row r="601" ht="15.75" customHeight="1">
      <c r="A601" s="6" t="s">
        <v>903</v>
      </c>
      <c r="B601" s="6" t="s">
        <v>1809</v>
      </c>
      <c r="C601" s="6" t="s">
        <v>1836</v>
      </c>
      <c r="D601" s="6" t="s">
        <v>35</v>
      </c>
      <c r="E601" s="6" t="s">
        <v>1060</v>
      </c>
      <c r="F601" s="6" t="s">
        <v>59</v>
      </c>
      <c r="G601" s="6" t="s">
        <v>907</v>
      </c>
    </row>
    <row r="602" ht="15.75" customHeight="1">
      <c r="A602" s="6" t="s">
        <v>903</v>
      </c>
      <c r="B602" s="6" t="s">
        <v>1809</v>
      </c>
      <c r="C602" s="6" t="s">
        <v>1836</v>
      </c>
      <c r="D602" s="6" t="s">
        <v>61</v>
      </c>
      <c r="E602" s="6" t="s">
        <v>1061</v>
      </c>
      <c r="F602" s="6" t="s">
        <v>59</v>
      </c>
      <c r="G602" s="6" t="s">
        <v>907</v>
      </c>
    </row>
    <row r="603" ht="15.75" customHeight="1">
      <c r="A603" s="6" t="s">
        <v>903</v>
      </c>
      <c r="B603" s="6" t="s">
        <v>1822</v>
      </c>
      <c r="C603" s="6" t="s">
        <v>1836</v>
      </c>
      <c r="D603" s="6" t="s">
        <v>21</v>
      </c>
      <c r="E603" s="6" t="s">
        <v>1063</v>
      </c>
      <c r="F603" s="6" t="s">
        <v>984</v>
      </c>
      <c r="G603" s="6" t="s">
        <v>242</v>
      </c>
    </row>
    <row r="604" ht="15.75" customHeight="1">
      <c r="A604" s="6" t="s">
        <v>903</v>
      </c>
      <c r="B604" s="6" t="s">
        <v>1822</v>
      </c>
      <c r="C604" s="6" t="s">
        <v>1836</v>
      </c>
      <c r="D604" s="6" t="s">
        <v>177</v>
      </c>
      <c r="E604" s="6" t="s">
        <v>401</v>
      </c>
      <c r="F604" s="6" t="s">
        <v>984</v>
      </c>
      <c r="G604" s="6" t="s">
        <v>1065</v>
      </c>
    </row>
    <row r="605" ht="15.75" customHeight="1">
      <c r="A605" s="6" t="s">
        <v>903</v>
      </c>
      <c r="B605" s="6" t="s">
        <v>1822</v>
      </c>
      <c r="C605" s="6" t="s">
        <v>1836</v>
      </c>
      <c r="D605" s="6" t="s">
        <v>71</v>
      </c>
      <c r="E605" s="6" t="s">
        <v>331</v>
      </c>
      <c r="F605" s="6" t="s">
        <v>984</v>
      </c>
      <c r="G605" s="6" t="s">
        <v>1065</v>
      </c>
    </row>
    <row r="606" ht="15.75" customHeight="1">
      <c r="A606" s="6" t="s">
        <v>19</v>
      </c>
      <c r="B606" s="6" t="s">
        <v>1809</v>
      </c>
      <c r="C606" s="6" t="s">
        <v>1837</v>
      </c>
      <c r="D606" s="6" t="s">
        <v>71</v>
      </c>
      <c r="E606" s="6" t="s">
        <v>63</v>
      </c>
      <c r="F606" s="6" t="s">
        <v>30</v>
      </c>
      <c r="G606" s="6" t="s">
        <v>73</v>
      </c>
    </row>
    <row r="607" ht="15.75" customHeight="1">
      <c r="A607" s="6" t="s">
        <v>19</v>
      </c>
      <c r="B607" s="6" t="s">
        <v>1809</v>
      </c>
      <c r="C607" s="6" t="s">
        <v>1837</v>
      </c>
      <c r="D607" s="6" t="s">
        <v>71</v>
      </c>
      <c r="E607" s="6" t="s">
        <v>93</v>
      </c>
      <c r="F607" s="6" t="s">
        <v>30</v>
      </c>
      <c r="G607" s="6" t="s">
        <v>73</v>
      </c>
    </row>
    <row r="608" ht="15.75" customHeight="1">
      <c r="A608" s="6" t="s">
        <v>19</v>
      </c>
      <c r="B608" s="6" t="s">
        <v>1809</v>
      </c>
      <c r="C608" s="6" t="s">
        <v>1837</v>
      </c>
      <c r="D608" s="6" t="s">
        <v>124</v>
      </c>
      <c r="E608" s="6" t="s">
        <v>125</v>
      </c>
      <c r="F608" s="6" t="s">
        <v>30</v>
      </c>
      <c r="G608" s="6" t="s">
        <v>37</v>
      </c>
    </row>
    <row r="609" ht="15.75" customHeight="1">
      <c r="A609" s="6" t="s">
        <v>19</v>
      </c>
      <c r="B609" s="6" t="s">
        <v>1809</v>
      </c>
      <c r="C609" s="6" t="s">
        <v>1837</v>
      </c>
      <c r="D609" s="6" t="s">
        <v>145</v>
      </c>
      <c r="E609" s="6" t="s">
        <v>22</v>
      </c>
      <c r="F609" s="6" t="s">
        <v>30</v>
      </c>
      <c r="G609" s="6" t="s">
        <v>37</v>
      </c>
    </row>
    <row r="610" ht="15.75" customHeight="1">
      <c r="A610" s="6" t="s">
        <v>19</v>
      </c>
      <c r="B610" s="6" t="s">
        <v>1809</v>
      </c>
      <c r="C610" s="6" t="s">
        <v>1837</v>
      </c>
      <c r="D610" s="6" t="s">
        <v>142</v>
      </c>
      <c r="E610" s="6" t="s">
        <v>153</v>
      </c>
      <c r="F610" s="6" t="s">
        <v>30</v>
      </c>
      <c r="G610" s="6" t="s">
        <v>53</v>
      </c>
    </row>
    <row r="611" ht="15.75" customHeight="1">
      <c r="A611" s="6" t="s">
        <v>19</v>
      </c>
      <c r="B611" s="6" t="s">
        <v>1809</v>
      </c>
      <c r="C611" s="6" t="s">
        <v>1837</v>
      </c>
      <c r="D611" s="6" t="s">
        <v>71</v>
      </c>
      <c r="E611" s="6" t="s">
        <v>64</v>
      </c>
      <c r="F611" s="6" t="s">
        <v>30</v>
      </c>
      <c r="G611" s="6" t="s">
        <v>53</v>
      </c>
    </row>
    <row r="612" ht="15.75" customHeight="1">
      <c r="A612" s="6" t="s">
        <v>183</v>
      </c>
      <c r="B612" s="6" t="s">
        <v>1809</v>
      </c>
      <c r="C612" s="6" t="s">
        <v>1837</v>
      </c>
      <c r="D612" s="6" t="s">
        <v>111</v>
      </c>
      <c r="E612" s="6" t="s">
        <v>187</v>
      </c>
      <c r="F612" s="6" t="s">
        <v>30</v>
      </c>
      <c r="G612" s="6" t="s">
        <v>77</v>
      </c>
    </row>
    <row r="613" ht="15.75" customHeight="1">
      <c r="A613" s="6" t="s">
        <v>183</v>
      </c>
      <c r="B613" s="6" t="s">
        <v>1809</v>
      </c>
      <c r="C613" s="6" t="s">
        <v>1837</v>
      </c>
      <c r="D613" s="6" t="s">
        <v>21</v>
      </c>
      <c r="E613" s="6" t="s">
        <v>194</v>
      </c>
      <c r="F613" s="6" t="s">
        <v>59</v>
      </c>
      <c r="G613" s="6" t="s">
        <v>196</v>
      </c>
    </row>
    <row r="614" ht="15.75" customHeight="1">
      <c r="A614" s="6" t="s">
        <v>183</v>
      </c>
      <c r="B614" s="6" t="s">
        <v>1809</v>
      </c>
      <c r="C614" s="6" t="s">
        <v>1837</v>
      </c>
      <c r="D614" s="6" t="s">
        <v>62</v>
      </c>
      <c r="E614" s="6" t="s">
        <v>22</v>
      </c>
      <c r="F614" s="6" t="s">
        <v>30</v>
      </c>
      <c r="G614" s="6" t="s">
        <v>211</v>
      </c>
    </row>
    <row r="615" ht="15.75" customHeight="1">
      <c r="A615" s="6" t="s">
        <v>183</v>
      </c>
      <c r="B615" s="6" t="s">
        <v>1809</v>
      </c>
      <c r="C615" s="6" t="s">
        <v>1837</v>
      </c>
      <c r="D615" s="6" t="s">
        <v>71</v>
      </c>
      <c r="E615" s="6" t="s">
        <v>194</v>
      </c>
      <c r="F615" s="6" t="s">
        <v>30</v>
      </c>
      <c r="G615" s="6" t="s">
        <v>224</v>
      </c>
    </row>
    <row r="616" ht="15.75" customHeight="1">
      <c r="A616" s="6" t="s">
        <v>183</v>
      </c>
      <c r="B616" s="6" t="s">
        <v>1809</v>
      </c>
      <c r="C616" s="6" t="s">
        <v>1837</v>
      </c>
      <c r="D616" s="6" t="s">
        <v>35</v>
      </c>
      <c r="E616" s="6" t="s">
        <v>63</v>
      </c>
      <c r="F616" s="6" t="s">
        <v>30</v>
      </c>
      <c r="G616" s="6" t="s">
        <v>37</v>
      </c>
    </row>
    <row r="617" ht="15.75" customHeight="1">
      <c r="A617" s="6" t="s">
        <v>183</v>
      </c>
      <c r="B617" s="6" t="s">
        <v>1809</v>
      </c>
      <c r="C617" s="6" t="s">
        <v>1837</v>
      </c>
      <c r="D617" s="6" t="s">
        <v>235</v>
      </c>
      <c r="E617" s="6" t="s">
        <v>153</v>
      </c>
      <c r="F617" s="6" t="s">
        <v>30</v>
      </c>
      <c r="G617" s="6" t="s">
        <v>73</v>
      </c>
    </row>
    <row r="618" ht="15.75" customHeight="1">
      <c r="A618" s="6" t="s">
        <v>183</v>
      </c>
      <c r="B618" s="6" t="s">
        <v>1809</v>
      </c>
      <c r="C618" s="6" t="s">
        <v>1837</v>
      </c>
      <c r="D618" s="6" t="s">
        <v>145</v>
      </c>
      <c r="E618" s="6" t="s">
        <v>253</v>
      </c>
      <c r="F618" s="6" t="s">
        <v>30</v>
      </c>
      <c r="G618" s="6" t="s">
        <v>196</v>
      </c>
    </row>
    <row r="619" ht="15.75" customHeight="1">
      <c r="A619" s="6" t="s">
        <v>183</v>
      </c>
      <c r="B619" s="6" t="s">
        <v>1809</v>
      </c>
      <c r="C619" s="6" t="s">
        <v>1837</v>
      </c>
      <c r="D619" s="6" t="s">
        <v>262</v>
      </c>
      <c r="E619" s="6" t="s">
        <v>263</v>
      </c>
      <c r="F619" s="6" t="s">
        <v>59</v>
      </c>
      <c r="G619" s="6" t="s">
        <v>211</v>
      </c>
    </row>
    <row r="620" ht="15.75" customHeight="1">
      <c r="A620" s="6" t="s">
        <v>183</v>
      </c>
      <c r="B620" s="6" t="s">
        <v>1809</v>
      </c>
      <c r="C620" s="6" t="s">
        <v>1837</v>
      </c>
      <c r="D620" s="6" t="s">
        <v>235</v>
      </c>
      <c r="E620" s="6" t="s">
        <v>270</v>
      </c>
      <c r="F620" s="6" t="s">
        <v>30</v>
      </c>
      <c r="G620" s="6" t="s">
        <v>196</v>
      </c>
    </row>
    <row r="621" ht="15.75" customHeight="1">
      <c r="A621" s="6" t="s">
        <v>183</v>
      </c>
      <c r="B621" s="6" t="s">
        <v>1809</v>
      </c>
      <c r="C621" s="6" t="s">
        <v>1837</v>
      </c>
      <c r="D621" s="6" t="s">
        <v>235</v>
      </c>
      <c r="E621" s="6" t="s">
        <v>93</v>
      </c>
      <c r="F621" s="6" t="s">
        <v>30</v>
      </c>
      <c r="G621" s="6" t="s">
        <v>73</v>
      </c>
    </row>
    <row r="622" ht="15.75" customHeight="1">
      <c r="A622" s="6" t="s">
        <v>297</v>
      </c>
      <c r="B622" s="6" t="s">
        <v>1809</v>
      </c>
      <c r="C622" s="6" t="s">
        <v>1837</v>
      </c>
      <c r="D622" s="6" t="s">
        <v>71</v>
      </c>
      <c r="E622" s="6" t="s">
        <v>299</v>
      </c>
      <c r="F622" s="6" t="s">
        <v>30</v>
      </c>
      <c r="G622" s="6" t="s">
        <v>73</v>
      </c>
    </row>
    <row r="623" ht="15.75" customHeight="1">
      <c r="A623" s="6" t="s">
        <v>297</v>
      </c>
      <c r="B623" s="6" t="s">
        <v>1809</v>
      </c>
      <c r="C623" s="6" t="s">
        <v>1837</v>
      </c>
      <c r="D623" s="6" t="s">
        <v>111</v>
      </c>
      <c r="E623" s="6" t="s">
        <v>22</v>
      </c>
      <c r="F623" s="6" t="s">
        <v>30</v>
      </c>
      <c r="G623" s="6" t="s">
        <v>77</v>
      </c>
    </row>
    <row r="624" ht="15.75" customHeight="1">
      <c r="A624" s="6" t="s">
        <v>297</v>
      </c>
      <c r="B624" s="6" t="s">
        <v>1809</v>
      </c>
      <c r="C624" s="6" t="s">
        <v>1837</v>
      </c>
      <c r="D624" s="6" t="s">
        <v>43</v>
      </c>
      <c r="E624" s="6" t="s">
        <v>99</v>
      </c>
      <c r="F624" s="6" t="s">
        <v>30</v>
      </c>
      <c r="G624" s="6" t="s">
        <v>37</v>
      </c>
    </row>
    <row r="625" ht="15.75" customHeight="1">
      <c r="A625" s="6" t="s">
        <v>297</v>
      </c>
      <c r="B625" s="6" t="s">
        <v>1809</v>
      </c>
      <c r="C625" s="6" t="s">
        <v>1837</v>
      </c>
      <c r="D625" s="6" t="s">
        <v>133</v>
      </c>
      <c r="E625" s="6" t="s">
        <v>194</v>
      </c>
      <c r="F625" s="6" t="s">
        <v>30</v>
      </c>
      <c r="G625" s="6" t="s">
        <v>325</v>
      </c>
    </row>
    <row r="626" ht="15.75" customHeight="1">
      <c r="A626" s="6" t="s">
        <v>297</v>
      </c>
      <c r="B626" s="6" t="s">
        <v>1809</v>
      </c>
      <c r="C626" s="6" t="s">
        <v>1837</v>
      </c>
      <c r="D626" s="6" t="s">
        <v>235</v>
      </c>
      <c r="E626" s="6" t="s">
        <v>331</v>
      </c>
      <c r="F626" s="6" t="s">
        <v>30</v>
      </c>
      <c r="G626" s="6" t="s">
        <v>65</v>
      </c>
    </row>
    <row r="627" ht="15.75" customHeight="1">
      <c r="A627" s="6" t="s">
        <v>297</v>
      </c>
      <c r="B627" s="6" t="s">
        <v>1809</v>
      </c>
      <c r="C627" s="6" t="s">
        <v>1837</v>
      </c>
      <c r="D627" s="6" t="s">
        <v>142</v>
      </c>
      <c r="E627" s="6" t="s">
        <v>340</v>
      </c>
      <c r="F627" s="6" t="s">
        <v>59</v>
      </c>
      <c r="G627" s="6" t="s">
        <v>343</v>
      </c>
    </row>
    <row r="628" ht="15.75" customHeight="1">
      <c r="A628" s="6" t="s">
        <v>297</v>
      </c>
      <c r="B628" s="6" t="s">
        <v>1809</v>
      </c>
      <c r="C628" s="6" t="s">
        <v>1837</v>
      </c>
      <c r="D628" s="6" t="s">
        <v>235</v>
      </c>
      <c r="E628" s="6" t="s">
        <v>353</v>
      </c>
      <c r="F628" s="6" t="s">
        <v>59</v>
      </c>
      <c r="G628" s="6" t="s">
        <v>37</v>
      </c>
    </row>
    <row r="629" ht="15.75" customHeight="1">
      <c r="A629" s="6" t="s">
        <v>297</v>
      </c>
      <c r="B629" s="6" t="s">
        <v>1809</v>
      </c>
      <c r="C629" s="6" t="s">
        <v>1837</v>
      </c>
      <c r="D629" s="6" t="s">
        <v>235</v>
      </c>
      <c r="E629" s="6" t="s">
        <v>361</v>
      </c>
      <c r="F629" s="6" t="s">
        <v>30</v>
      </c>
      <c r="G629" s="6" t="s">
        <v>37</v>
      </c>
    </row>
    <row r="630" ht="15.75" customHeight="1">
      <c r="A630" s="6" t="s">
        <v>297</v>
      </c>
      <c r="B630" s="6" t="s">
        <v>1809</v>
      </c>
      <c r="C630" s="6" t="s">
        <v>1837</v>
      </c>
      <c r="D630" s="6" t="s">
        <v>142</v>
      </c>
      <c r="E630" s="6" t="s">
        <v>365</v>
      </c>
      <c r="F630" s="6" t="s">
        <v>30</v>
      </c>
      <c r="G630" s="6" t="s">
        <v>53</v>
      </c>
    </row>
    <row r="631" ht="15.75" customHeight="1">
      <c r="A631" s="6" t="s">
        <v>297</v>
      </c>
      <c r="B631" s="6" t="s">
        <v>1809</v>
      </c>
      <c r="C631" s="6" t="s">
        <v>1837</v>
      </c>
      <c r="D631" s="6" t="s">
        <v>111</v>
      </c>
      <c r="E631" s="6" t="s">
        <v>299</v>
      </c>
      <c r="F631" s="6" t="s">
        <v>373</v>
      </c>
      <c r="G631" s="6" t="s">
        <v>37</v>
      </c>
    </row>
    <row r="632" ht="15.75" customHeight="1">
      <c r="A632" s="6" t="s">
        <v>297</v>
      </c>
      <c r="B632" s="6" t="s">
        <v>1809</v>
      </c>
      <c r="C632" s="6" t="s">
        <v>1837</v>
      </c>
      <c r="D632" s="6" t="s">
        <v>35</v>
      </c>
      <c r="E632" s="6" t="s">
        <v>365</v>
      </c>
      <c r="F632" s="6" t="s">
        <v>30</v>
      </c>
      <c r="G632" s="6" t="s">
        <v>311</v>
      </c>
    </row>
    <row r="633" ht="15.75" customHeight="1">
      <c r="A633" s="6" t="s">
        <v>297</v>
      </c>
      <c r="B633" s="6" t="s">
        <v>1809</v>
      </c>
      <c r="C633" s="6" t="s">
        <v>1837</v>
      </c>
      <c r="D633" s="6" t="s">
        <v>235</v>
      </c>
      <c r="E633" s="6" t="s">
        <v>382</v>
      </c>
      <c r="F633" s="6" t="s">
        <v>30</v>
      </c>
      <c r="G633" s="6" t="s">
        <v>224</v>
      </c>
    </row>
    <row r="634" ht="15.75" customHeight="1">
      <c r="A634" s="6" t="s">
        <v>297</v>
      </c>
      <c r="B634" s="6" t="s">
        <v>1809</v>
      </c>
      <c r="C634" s="6" t="s">
        <v>1837</v>
      </c>
      <c r="D634" s="6" t="s">
        <v>235</v>
      </c>
      <c r="E634" s="6" t="s">
        <v>365</v>
      </c>
      <c r="F634" s="6" t="s">
        <v>30</v>
      </c>
      <c r="G634" s="6" t="s">
        <v>73</v>
      </c>
    </row>
    <row r="635" ht="15.75" customHeight="1">
      <c r="A635" s="6" t="s">
        <v>297</v>
      </c>
      <c r="B635" s="6" t="s">
        <v>1809</v>
      </c>
      <c r="C635" s="6" t="s">
        <v>1837</v>
      </c>
      <c r="D635" s="6" t="s">
        <v>112</v>
      </c>
      <c r="E635" s="6" t="s">
        <v>394</v>
      </c>
      <c r="F635" s="6" t="s">
        <v>59</v>
      </c>
      <c r="G635" s="6" t="s">
        <v>224</v>
      </c>
    </row>
    <row r="636" ht="15.75" customHeight="1">
      <c r="A636" s="6" t="s">
        <v>297</v>
      </c>
      <c r="B636" s="6" t="s">
        <v>1809</v>
      </c>
      <c r="C636" s="6" t="s">
        <v>1837</v>
      </c>
      <c r="D636" s="6" t="s">
        <v>112</v>
      </c>
      <c r="E636" s="6" t="s">
        <v>401</v>
      </c>
      <c r="F636" s="6" t="s">
        <v>30</v>
      </c>
      <c r="G636" s="6" t="s">
        <v>311</v>
      </c>
    </row>
    <row r="637" ht="15.75" customHeight="1">
      <c r="A637" s="6" t="s">
        <v>297</v>
      </c>
      <c r="B637" s="6" t="s">
        <v>1809</v>
      </c>
      <c r="C637" s="6" t="s">
        <v>1837</v>
      </c>
      <c r="D637" s="6" t="s">
        <v>71</v>
      </c>
      <c r="E637" s="6" t="s">
        <v>340</v>
      </c>
      <c r="F637" s="6" t="s">
        <v>30</v>
      </c>
      <c r="G637" s="6" t="s">
        <v>343</v>
      </c>
    </row>
    <row r="638" ht="15.75" customHeight="1">
      <c r="A638" s="6" t="s">
        <v>424</v>
      </c>
      <c r="B638" s="6" t="s">
        <v>1809</v>
      </c>
      <c r="C638" s="6" t="s">
        <v>1837</v>
      </c>
      <c r="D638" s="6" t="s">
        <v>428</v>
      </c>
      <c r="E638" s="6" t="s">
        <v>429</v>
      </c>
      <c r="F638" s="6" t="s">
        <v>373</v>
      </c>
      <c r="G638" s="6" t="s">
        <v>430</v>
      </c>
    </row>
    <row r="639" ht="15.75" customHeight="1">
      <c r="A639" s="6" t="s">
        <v>424</v>
      </c>
      <c r="B639" s="6" t="s">
        <v>1809</v>
      </c>
      <c r="C639" s="6" t="s">
        <v>1837</v>
      </c>
      <c r="D639" s="6" t="s">
        <v>435</v>
      </c>
      <c r="E639" s="6" t="s">
        <v>429</v>
      </c>
      <c r="F639" s="6" t="s">
        <v>373</v>
      </c>
      <c r="G639" s="6" t="s">
        <v>438</v>
      </c>
    </row>
    <row r="640" ht="15.75" customHeight="1">
      <c r="A640" s="6" t="s">
        <v>424</v>
      </c>
      <c r="B640" s="6" t="s">
        <v>1809</v>
      </c>
      <c r="C640" s="6" t="s">
        <v>1837</v>
      </c>
      <c r="D640" s="6" t="s">
        <v>445</v>
      </c>
      <c r="E640" s="6" t="s">
        <v>429</v>
      </c>
      <c r="F640" s="6" t="s">
        <v>59</v>
      </c>
      <c r="G640" s="6" t="s">
        <v>325</v>
      </c>
    </row>
    <row r="641" ht="15.75" customHeight="1">
      <c r="A641" s="6" t="s">
        <v>424</v>
      </c>
      <c r="B641" s="6" t="s">
        <v>1809</v>
      </c>
      <c r="C641" s="6" t="s">
        <v>1837</v>
      </c>
      <c r="D641" s="6" t="s">
        <v>457</v>
      </c>
      <c r="E641" s="6" t="s">
        <v>429</v>
      </c>
      <c r="F641" s="6" t="s">
        <v>59</v>
      </c>
      <c r="G641" s="6" t="s">
        <v>459</v>
      </c>
    </row>
    <row r="642" ht="15.75" customHeight="1">
      <c r="A642" s="6" t="s">
        <v>424</v>
      </c>
      <c r="B642" s="6" t="s">
        <v>1809</v>
      </c>
      <c r="C642" s="6" t="s">
        <v>1837</v>
      </c>
      <c r="D642" s="6" t="s">
        <v>435</v>
      </c>
      <c r="E642" s="6" t="s">
        <v>429</v>
      </c>
      <c r="F642" s="6" t="s">
        <v>59</v>
      </c>
      <c r="G642" s="6" t="s">
        <v>459</v>
      </c>
    </row>
    <row r="643" ht="15.75" customHeight="1">
      <c r="A643" s="6" t="s">
        <v>424</v>
      </c>
      <c r="B643" s="6" t="s">
        <v>1809</v>
      </c>
      <c r="C643" s="6" t="s">
        <v>1837</v>
      </c>
      <c r="D643" s="6" t="s">
        <v>469</v>
      </c>
      <c r="E643" s="6" t="s">
        <v>429</v>
      </c>
      <c r="F643" s="6" t="s">
        <v>59</v>
      </c>
      <c r="G643" s="6" t="s">
        <v>224</v>
      </c>
    </row>
    <row r="644" ht="15.75" customHeight="1">
      <c r="A644" s="6" t="s">
        <v>424</v>
      </c>
      <c r="B644" s="6" t="s">
        <v>1809</v>
      </c>
      <c r="C644" s="6" t="s">
        <v>1837</v>
      </c>
      <c r="D644" s="6" t="s">
        <v>476</v>
      </c>
      <c r="E644" s="6" t="s">
        <v>429</v>
      </c>
      <c r="F644" s="6" t="s">
        <v>59</v>
      </c>
      <c r="G644" s="6" t="s">
        <v>240</v>
      </c>
    </row>
    <row r="645" ht="15.75" customHeight="1">
      <c r="A645" s="6" t="s">
        <v>424</v>
      </c>
      <c r="B645" s="6" t="s">
        <v>1809</v>
      </c>
      <c r="C645" s="6" t="s">
        <v>1837</v>
      </c>
      <c r="D645" s="6" t="s">
        <v>482</v>
      </c>
      <c r="E645" s="6" t="s">
        <v>429</v>
      </c>
      <c r="F645" s="6" t="s">
        <v>59</v>
      </c>
      <c r="G645" s="6" t="s">
        <v>224</v>
      </c>
    </row>
    <row r="646" ht="15.75" customHeight="1">
      <c r="A646" s="6" t="s">
        <v>424</v>
      </c>
      <c r="B646" s="6" t="s">
        <v>1809</v>
      </c>
      <c r="C646" s="6" t="s">
        <v>1837</v>
      </c>
      <c r="D646" s="6" t="s">
        <v>492</v>
      </c>
      <c r="E646" s="6" t="s">
        <v>429</v>
      </c>
      <c r="F646" s="6" t="s">
        <v>30</v>
      </c>
      <c r="G646" s="6" t="s">
        <v>240</v>
      </c>
    </row>
    <row r="647" ht="15.75" customHeight="1">
      <c r="A647" s="6" t="s">
        <v>424</v>
      </c>
      <c r="B647" s="6" t="s">
        <v>1809</v>
      </c>
      <c r="C647" s="6" t="s">
        <v>1837</v>
      </c>
      <c r="D647" s="6" t="s">
        <v>501</v>
      </c>
      <c r="E647" s="6" t="s">
        <v>429</v>
      </c>
      <c r="F647" s="6" t="s">
        <v>59</v>
      </c>
      <c r="G647" s="6" t="s">
        <v>325</v>
      </c>
    </row>
    <row r="648" ht="15.75" customHeight="1">
      <c r="A648" s="6" t="s">
        <v>424</v>
      </c>
      <c r="B648" s="6" t="s">
        <v>1809</v>
      </c>
      <c r="C648" s="6" t="s">
        <v>1837</v>
      </c>
      <c r="D648" s="6" t="s">
        <v>469</v>
      </c>
      <c r="E648" s="6" t="s">
        <v>429</v>
      </c>
      <c r="F648" s="6" t="s">
        <v>59</v>
      </c>
      <c r="G648" s="6" t="s">
        <v>508</v>
      </c>
    </row>
    <row r="649" ht="15.75" customHeight="1">
      <c r="A649" s="6" t="s">
        <v>521</v>
      </c>
      <c r="B649" s="6" t="s">
        <v>1809</v>
      </c>
      <c r="C649" s="6" t="s">
        <v>1837</v>
      </c>
      <c r="D649" s="6" t="s">
        <v>435</v>
      </c>
      <c r="E649" s="6" t="s">
        <v>429</v>
      </c>
      <c r="F649" s="6" t="s">
        <v>59</v>
      </c>
      <c r="G649" s="6" t="s">
        <v>524</v>
      </c>
    </row>
    <row r="650" ht="15.75" customHeight="1">
      <c r="A650" s="6" t="s">
        <v>521</v>
      </c>
      <c r="B650" s="6" t="s">
        <v>1809</v>
      </c>
      <c r="C650" s="6" t="s">
        <v>1837</v>
      </c>
      <c r="D650" s="6" t="s">
        <v>445</v>
      </c>
      <c r="E650" s="6" t="s">
        <v>429</v>
      </c>
      <c r="F650" s="6" t="s">
        <v>59</v>
      </c>
      <c r="G650" s="6" t="s">
        <v>282</v>
      </c>
    </row>
    <row r="651" ht="15.75" customHeight="1">
      <c r="A651" s="6" t="s">
        <v>521</v>
      </c>
      <c r="B651" s="6" t="s">
        <v>1809</v>
      </c>
      <c r="C651" s="6" t="s">
        <v>1837</v>
      </c>
      <c r="D651" s="6" t="s">
        <v>539</v>
      </c>
      <c r="E651" s="6" t="s">
        <v>429</v>
      </c>
      <c r="F651" s="6" t="s">
        <v>30</v>
      </c>
      <c r="G651" s="6" t="s">
        <v>541</v>
      </c>
    </row>
    <row r="652" ht="15.75" customHeight="1">
      <c r="A652" s="6" t="s">
        <v>521</v>
      </c>
      <c r="B652" s="6" t="s">
        <v>1809</v>
      </c>
      <c r="C652" s="6" t="s">
        <v>1837</v>
      </c>
      <c r="D652" s="6" t="s">
        <v>445</v>
      </c>
      <c r="E652" s="6" t="s">
        <v>429</v>
      </c>
      <c r="F652" s="6" t="s">
        <v>59</v>
      </c>
      <c r="G652" s="6" t="s">
        <v>459</v>
      </c>
    </row>
    <row r="653" ht="15.75" customHeight="1">
      <c r="A653" s="6" t="s">
        <v>521</v>
      </c>
      <c r="B653" s="6" t="s">
        <v>1809</v>
      </c>
      <c r="C653" s="6" t="s">
        <v>1837</v>
      </c>
      <c r="D653" s="6" t="s">
        <v>482</v>
      </c>
      <c r="E653" s="6" t="s">
        <v>553</v>
      </c>
      <c r="F653" s="6" t="s">
        <v>561</v>
      </c>
      <c r="G653" s="6" t="s">
        <v>556</v>
      </c>
    </row>
    <row r="654" ht="15.75" customHeight="1">
      <c r="A654" s="6" t="s">
        <v>521</v>
      </c>
      <c r="B654" s="6" t="s">
        <v>1809</v>
      </c>
      <c r="C654" s="6" t="s">
        <v>1837</v>
      </c>
      <c r="D654" s="6" t="s">
        <v>565</v>
      </c>
      <c r="E654" s="6" t="s">
        <v>429</v>
      </c>
      <c r="F654" s="6" t="s">
        <v>59</v>
      </c>
      <c r="G654" s="6" t="s">
        <v>459</v>
      </c>
    </row>
    <row r="655" ht="15.75" customHeight="1">
      <c r="A655" s="6" t="s">
        <v>521</v>
      </c>
      <c r="B655" s="6" t="s">
        <v>1809</v>
      </c>
      <c r="C655" s="6" t="s">
        <v>1837</v>
      </c>
      <c r="D655" s="6" t="s">
        <v>576</v>
      </c>
      <c r="E655" s="6" t="s">
        <v>429</v>
      </c>
      <c r="F655" s="6" t="s">
        <v>30</v>
      </c>
      <c r="G655" s="6" t="s">
        <v>556</v>
      </c>
    </row>
    <row r="656" ht="15.75" customHeight="1">
      <c r="A656" s="6" t="s">
        <v>521</v>
      </c>
      <c r="B656" s="6" t="s">
        <v>1809</v>
      </c>
      <c r="C656" s="6" t="s">
        <v>1837</v>
      </c>
      <c r="D656" s="6" t="s">
        <v>576</v>
      </c>
      <c r="E656" s="6" t="s">
        <v>429</v>
      </c>
      <c r="F656" s="6" t="s">
        <v>30</v>
      </c>
      <c r="G656" s="6" t="s">
        <v>556</v>
      </c>
    </row>
    <row r="657" ht="15.75" customHeight="1">
      <c r="A657" s="6" t="s">
        <v>521</v>
      </c>
      <c r="B657" s="6" t="s">
        <v>1809</v>
      </c>
      <c r="C657" s="6" t="s">
        <v>1837</v>
      </c>
      <c r="D657" s="6" t="s">
        <v>591</v>
      </c>
      <c r="E657" s="6" t="s">
        <v>429</v>
      </c>
      <c r="F657" s="6" t="s">
        <v>30</v>
      </c>
      <c r="G657" s="6" t="s">
        <v>592</v>
      </c>
    </row>
    <row r="658" ht="15.75" customHeight="1">
      <c r="A658" s="6" t="s">
        <v>521</v>
      </c>
      <c r="B658" s="6" t="s">
        <v>1809</v>
      </c>
      <c r="C658" s="6" t="s">
        <v>1837</v>
      </c>
      <c r="D658" s="6" t="s">
        <v>482</v>
      </c>
      <c r="E658" s="6" t="s">
        <v>429</v>
      </c>
      <c r="F658" s="6" t="s">
        <v>30</v>
      </c>
      <c r="G658" s="6" t="s">
        <v>524</v>
      </c>
    </row>
    <row r="659" ht="15.75" customHeight="1">
      <c r="A659" s="6" t="s">
        <v>613</v>
      </c>
      <c r="B659" s="6" t="s">
        <v>1809</v>
      </c>
      <c r="C659" s="6" t="s">
        <v>1837</v>
      </c>
      <c r="D659" s="6" t="s">
        <v>457</v>
      </c>
      <c r="E659" s="6" t="s">
        <v>526</v>
      </c>
      <c r="F659" s="6" t="s">
        <v>373</v>
      </c>
      <c r="G659" s="6" t="s">
        <v>459</v>
      </c>
    </row>
    <row r="660" ht="15.75" customHeight="1">
      <c r="A660" s="6" t="s">
        <v>613</v>
      </c>
      <c r="B660" s="6" t="s">
        <v>1809</v>
      </c>
      <c r="C660" s="6" t="s">
        <v>1837</v>
      </c>
      <c r="D660" s="6" t="s">
        <v>457</v>
      </c>
      <c r="E660" s="6" t="s">
        <v>299</v>
      </c>
      <c r="F660" s="6" t="s">
        <v>59</v>
      </c>
      <c r="G660" s="6" t="s">
        <v>459</v>
      </c>
    </row>
    <row r="661" ht="15.75" customHeight="1">
      <c r="A661" s="6" t="s">
        <v>613</v>
      </c>
      <c r="B661" s="6" t="s">
        <v>1809</v>
      </c>
      <c r="C661" s="6" t="s">
        <v>1837</v>
      </c>
      <c r="D661" s="6" t="s">
        <v>482</v>
      </c>
      <c r="E661" s="6" t="s">
        <v>331</v>
      </c>
      <c r="F661" s="6" t="s">
        <v>59</v>
      </c>
      <c r="G661" s="6" t="s">
        <v>459</v>
      </c>
    </row>
    <row r="662" ht="15.75" customHeight="1">
      <c r="A662" s="6" t="s">
        <v>613</v>
      </c>
      <c r="B662" s="6" t="s">
        <v>1809</v>
      </c>
      <c r="C662" s="6" t="s">
        <v>1837</v>
      </c>
      <c r="D662" s="6" t="s">
        <v>608</v>
      </c>
      <c r="E662" s="6" t="s">
        <v>628</v>
      </c>
      <c r="F662" s="6" t="s">
        <v>59</v>
      </c>
      <c r="G662" s="6" t="s">
        <v>240</v>
      </c>
    </row>
    <row r="663" ht="15.75" customHeight="1">
      <c r="A663" s="6" t="s">
        <v>613</v>
      </c>
      <c r="B663" s="6" t="s">
        <v>1809</v>
      </c>
      <c r="C663" s="6" t="s">
        <v>1837</v>
      </c>
      <c r="D663" s="6" t="s">
        <v>482</v>
      </c>
      <c r="E663" s="6" t="s">
        <v>443</v>
      </c>
      <c r="F663" s="6" t="s">
        <v>59</v>
      </c>
      <c r="G663" s="6" t="s">
        <v>524</v>
      </c>
    </row>
    <row r="664" ht="15.75" customHeight="1">
      <c r="A664" s="6" t="s">
        <v>613</v>
      </c>
      <c r="B664" s="6" t="s">
        <v>1809</v>
      </c>
      <c r="C664" s="6" t="s">
        <v>1837</v>
      </c>
      <c r="D664" s="6" t="s">
        <v>642</v>
      </c>
      <c r="E664" s="6" t="s">
        <v>628</v>
      </c>
      <c r="F664" s="6" t="s">
        <v>59</v>
      </c>
      <c r="G664" s="6" t="s">
        <v>224</v>
      </c>
    </row>
    <row r="665" ht="15.75" customHeight="1">
      <c r="A665" s="6" t="s">
        <v>613</v>
      </c>
      <c r="B665" s="6" t="s">
        <v>1809</v>
      </c>
      <c r="C665" s="6" t="s">
        <v>1837</v>
      </c>
      <c r="D665" s="6" t="s">
        <v>639</v>
      </c>
      <c r="E665" s="6" t="s">
        <v>299</v>
      </c>
      <c r="F665" s="6" t="s">
        <v>59</v>
      </c>
      <c r="G665" s="6" t="s">
        <v>459</v>
      </c>
    </row>
    <row r="666" ht="15.75" customHeight="1">
      <c r="A666" s="6" t="s">
        <v>613</v>
      </c>
      <c r="B666" s="6" t="s">
        <v>1809</v>
      </c>
      <c r="C666" s="6" t="s">
        <v>1837</v>
      </c>
      <c r="D666" s="6" t="s">
        <v>469</v>
      </c>
      <c r="E666" s="6" t="s">
        <v>331</v>
      </c>
      <c r="F666" s="6" t="s">
        <v>59</v>
      </c>
      <c r="G666" s="6" t="s">
        <v>508</v>
      </c>
    </row>
    <row r="667" ht="15.75" customHeight="1">
      <c r="A667" s="6" t="s">
        <v>669</v>
      </c>
      <c r="B667" s="6" t="s">
        <v>1809</v>
      </c>
      <c r="C667" s="6" t="s">
        <v>1837</v>
      </c>
      <c r="D667" s="6" t="s">
        <v>670</v>
      </c>
      <c r="E667" s="6" t="s">
        <v>429</v>
      </c>
      <c r="F667" s="6" t="s">
        <v>59</v>
      </c>
      <c r="G667" s="6" t="s">
        <v>541</v>
      </c>
    </row>
    <row r="668" ht="15.75" customHeight="1">
      <c r="A668" s="6" t="s">
        <v>669</v>
      </c>
      <c r="B668" s="6" t="s">
        <v>1809</v>
      </c>
      <c r="C668" s="6" t="s">
        <v>1837</v>
      </c>
      <c r="D668" s="6" t="s">
        <v>672</v>
      </c>
      <c r="E668" s="6" t="s">
        <v>429</v>
      </c>
      <c r="F668" s="6" t="s">
        <v>59</v>
      </c>
      <c r="G668" s="6" t="s">
        <v>196</v>
      </c>
    </row>
    <row r="669" ht="15.75" customHeight="1">
      <c r="A669" s="6" t="s">
        <v>669</v>
      </c>
      <c r="B669" s="6" t="s">
        <v>1809</v>
      </c>
      <c r="C669" s="6" t="s">
        <v>1837</v>
      </c>
      <c r="D669" s="6" t="s">
        <v>679</v>
      </c>
      <c r="E669" s="6" t="s">
        <v>429</v>
      </c>
      <c r="F669" s="6" t="s">
        <v>59</v>
      </c>
      <c r="G669" s="6" t="s">
        <v>430</v>
      </c>
    </row>
    <row r="670" ht="15.75" customHeight="1">
      <c r="A670" s="6" t="s">
        <v>669</v>
      </c>
      <c r="B670" s="6" t="s">
        <v>1809</v>
      </c>
      <c r="C670" s="6" t="s">
        <v>1837</v>
      </c>
      <c r="D670" s="6" t="s">
        <v>684</v>
      </c>
      <c r="E670" s="6" t="s">
        <v>429</v>
      </c>
      <c r="F670" s="6" t="s">
        <v>59</v>
      </c>
      <c r="G670" s="6" t="s">
        <v>459</v>
      </c>
    </row>
    <row r="671" ht="15.75" customHeight="1">
      <c r="A671" s="6" t="s">
        <v>669</v>
      </c>
      <c r="B671" s="6" t="s">
        <v>1809</v>
      </c>
      <c r="C671" s="6" t="s">
        <v>1837</v>
      </c>
      <c r="D671" s="6" t="s">
        <v>690</v>
      </c>
      <c r="E671" s="6" t="s">
        <v>429</v>
      </c>
      <c r="F671" s="6" t="s">
        <v>59</v>
      </c>
      <c r="G671" s="6" t="s">
        <v>224</v>
      </c>
    </row>
    <row r="672" ht="15.75" customHeight="1">
      <c r="A672" s="6" t="s">
        <v>669</v>
      </c>
      <c r="B672" s="6" t="s">
        <v>1809</v>
      </c>
      <c r="C672" s="6" t="s">
        <v>1837</v>
      </c>
      <c r="D672" s="6" t="s">
        <v>700</v>
      </c>
      <c r="E672" s="6" t="s">
        <v>429</v>
      </c>
      <c r="F672" s="6" t="s">
        <v>59</v>
      </c>
      <c r="G672" s="6" t="s">
        <v>459</v>
      </c>
    </row>
    <row r="673" ht="15.75" customHeight="1">
      <c r="A673" s="6" t="s">
        <v>669</v>
      </c>
      <c r="B673" s="6" t="s">
        <v>1809</v>
      </c>
      <c r="C673" s="6" t="s">
        <v>1837</v>
      </c>
      <c r="D673" s="6" t="s">
        <v>705</v>
      </c>
      <c r="E673" s="6" t="s">
        <v>429</v>
      </c>
      <c r="F673" s="6" t="s">
        <v>59</v>
      </c>
      <c r="G673" s="6" t="s">
        <v>459</v>
      </c>
    </row>
    <row r="674" ht="15.75" customHeight="1">
      <c r="A674" s="6" t="s">
        <v>669</v>
      </c>
      <c r="B674" s="6" t="s">
        <v>1809</v>
      </c>
      <c r="C674" s="6" t="s">
        <v>1837</v>
      </c>
      <c r="D674" s="6" t="s">
        <v>717</v>
      </c>
      <c r="E674" s="6" t="s">
        <v>429</v>
      </c>
      <c r="F674" s="6" t="s">
        <v>59</v>
      </c>
      <c r="G674" s="6" t="s">
        <v>240</v>
      </c>
    </row>
    <row r="675" ht="15.75" customHeight="1">
      <c r="A675" s="6" t="s">
        <v>669</v>
      </c>
      <c r="B675" s="6" t="s">
        <v>1809</v>
      </c>
      <c r="C675" s="6" t="s">
        <v>1837</v>
      </c>
      <c r="D675" s="6" t="s">
        <v>721</v>
      </c>
      <c r="E675" s="6" t="s">
        <v>429</v>
      </c>
      <c r="F675" s="6" t="s">
        <v>59</v>
      </c>
      <c r="G675" s="6" t="s">
        <v>196</v>
      </c>
    </row>
    <row r="676" ht="15.75" customHeight="1">
      <c r="A676" s="6" t="s">
        <v>669</v>
      </c>
      <c r="B676" s="6" t="s">
        <v>1809</v>
      </c>
      <c r="C676" s="6" t="s">
        <v>1837</v>
      </c>
      <c r="D676" s="6" t="s">
        <v>690</v>
      </c>
      <c r="E676" s="6" t="s">
        <v>429</v>
      </c>
      <c r="F676" s="6" t="s">
        <v>59</v>
      </c>
      <c r="G676" s="6" t="s">
        <v>196</v>
      </c>
    </row>
    <row r="677" ht="15.75" customHeight="1">
      <c r="A677" s="6" t="s">
        <v>669</v>
      </c>
      <c r="B677" s="6" t="s">
        <v>1809</v>
      </c>
      <c r="C677" s="6" t="s">
        <v>1837</v>
      </c>
      <c r="D677" s="6" t="s">
        <v>721</v>
      </c>
      <c r="E677" s="6" t="s">
        <v>429</v>
      </c>
      <c r="F677" s="6" t="s">
        <v>59</v>
      </c>
      <c r="G677" s="6" t="s">
        <v>508</v>
      </c>
    </row>
    <row r="678" ht="15.75" customHeight="1">
      <c r="A678" s="6" t="s">
        <v>745</v>
      </c>
      <c r="B678" s="6" t="s">
        <v>1809</v>
      </c>
      <c r="C678" s="6" t="s">
        <v>1837</v>
      </c>
      <c r="D678" s="6" t="s">
        <v>747</v>
      </c>
      <c r="E678" s="6" t="s">
        <v>429</v>
      </c>
      <c r="F678" s="6" t="s">
        <v>59</v>
      </c>
      <c r="G678" s="6" t="s">
        <v>524</v>
      </c>
    </row>
    <row r="679" ht="15.75" customHeight="1">
      <c r="A679" s="6" t="s">
        <v>745</v>
      </c>
      <c r="B679" s="6" t="s">
        <v>1809</v>
      </c>
      <c r="C679" s="6" t="s">
        <v>1837</v>
      </c>
      <c r="D679" s="6" t="s">
        <v>750</v>
      </c>
      <c r="E679" s="6" t="s">
        <v>553</v>
      </c>
      <c r="G679" s="6" t="s">
        <v>430</v>
      </c>
    </row>
    <row r="680" ht="15.75" customHeight="1">
      <c r="A680" s="6" t="s">
        <v>745</v>
      </c>
      <c r="B680" s="6" t="s">
        <v>1809</v>
      </c>
      <c r="C680" s="6" t="s">
        <v>1837</v>
      </c>
      <c r="D680" s="6" t="s">
        <v>757</v>
      </c>
      <c r="E680" s="6" t="s">
        <v>429</v>
      </c>
      <c r="F680" s="6" t="s">
        <v>59</v>
      </c>
      <c r="G680" s="6" t="s">
        <v>240</v>
      </c>
    </row>
    <row r="681" ht="15.75" customHeight="1">
      <c r="A681" s="6" t="s">
        <v>745</v>
      </c>
      <c r="B681" s="6" t="s">
        <v>1809</v>
      </c>
      <c r="C681" s="6" t="s">
        <v>1837</v>
      </c>
      <c r="D681" s="6" t="s">
        <v>764</v>
      </c>
      <c r="E681" s="6" t="s">
        <v>429</v>
      </c>
      <c r="F681" s="6" t="s">
        <v>59</v>
      </c>
      <c r="G681" s="6" t="s">
        <v>325</v>
      </c>
    </row>
    <row r="682" ht="15.75" customHeight="1">
      <c r="A682" s="6" t="s">
        <v>745</v>
      </c>
      <c r="B682" s="6" t="s">
        <v>1809</v>
      </c>
      <c r="C682" s="6" t="s">
        <v>1837</v>
      </c>
      <c r="D682" s="6" t="s">
        <v>684</v>
      </c>
      <c r="E682" s="6" t="s">
        <v>429</v>
      </c>
      <c r="F682" s="6" t="s">
        <v>373</v>
      </c>
      <c r="G682" s="6" t="s">
        <v>459</v>
      </c>
    </row>
    <row r="683" ht="15.75" customHeight="1">
      <c r="A683" s="6" t="s">
        <v>745</v>
      </c>
      <c r="B683" s="6" t="s">
        <v>1809</v>
      </c>
      <c r="C683" s="6" t="s">
        <v>1837</v>
      </c>
      <c r="D683" s="6" t="s">
        <v>770</v>
      </c>
      <c r="E683" s="6" t="s">
        <v>429</v>
      </c>
      <c r="F683" s="6" t="s">
        <v>59</v>
      </c>
      <c r="G683" s="6" t="s">
        <v>459</v>
      </c>
    </row>
    <row r="684" ht="15.75" customHeight="1">
      <c r="A684" s="6" t="s">
        <v>745</v>
      </c>
      <c r="B684" s="6" t="s">
        <v>1809</v>
      </c>
      <c r="C684" s="6" t="s">
        <v>1837</v>
      </c>
      <c r="D684" s="6" t="s">
        <v>717</v>
      </c>
      <c r="E684" s="6" t="s">
        <v>429</v>
      </c>
      <c r="F684" s="6" t="s">
        <v>59</v>
      </c>
      <c r="G684" s="6" t="s">
        <v>240</v>
      </c>
    </row>
    <row r="685" ht="15.75" customHeight="1">
      <c r="A685" s="6" t="s">
        <v>745</v>
      </c>
      <c r="B685" s="6" t="s">
        <v>1809</v>
      </c>
      <c r="C685" s="6" t="s">
        <v>1837</v>
      </c>
      <c r="D685" s="6" t="s">
        <v>747</v>
      </c>
      <c r="E685" s="6" t="s">
        <v>429</v>
      </c>
      <c r="F685" s="6" t="s">
        <v>59</v>
      </c>
      <c r="G685" s="6" t="s">
        <v>224</v>
      </c>
    </row>
    <row r="686" ht="15.75" customHeight="1">
      <c r="A686" s="6" t="s">
        <v>745</v>
      </c>
      <c r="B686" s="6" t="s">
        <v>1809</v>
      </c>
      <c r="C686" s="6" t="s">
        <v>1837</v>
      </c>
      <c r="D686" s="6" t="s">
        <v>690</v>
      </c>
      <c r="E686" s="6" t="s">
        <v>429</v>
      </c>
      <c r="F686" s="6" t="s">
        <v>59</v>
      </c>
      <c r="G686" s="6" t="s">
        <v>224</v>
      </c>
    </row>
    <row r="687" ht="15.75" customHeight="1">
      <c r="A687" s="6" t="s">
        <v>745</v>
      </c>
      <c r="B687" s="6" t="s">
        <v>1809</v>
      </c>
      <c r="C687" s="6" t="s">
        <v>1837</v>
      </c>
      <c r="D687" s="6" t="s">
        <v>770</v>
      </c>
      <c r="E687" s="6" t="s">
        <v>429</v>
      </c>
      <c r="F687" s="6" t="s">
        <v>59</v>
      </c>
      <c r="G687" s="6" t="s">
        <v>508</v>
      </c>
    </row>
    <row r="688" ht="15.75" customHeight="1">
      <c r="A688" s="6" t="s">
        <v>745</v>
      </c>
      <c r="B688" s="6" t="s">
        <v>1809</v>
      </c>
      <c r="C688" s="6" t="s">
        <v>1837</v>
      </c>
      <c r="D688" s="6" t="s">
        <v>705</v>
      </c>
      <c r="E688" s="6" t="s">
        <v>429</v>
      </c>
      <c r="F688" s="6" t="s">
        <v>59</v>
      </c>
      <c r="G688" s="6" t="s">
        <v>224</v>
      </c>
    </row>
    <row r="689" ht="15.75" customHeight="1">
      <c r="A689" s="6" t="s">
        <v>745</v>
      </c>
      <c r="B689" s="6" t="s">
        <v>1809</v>
      </c>
      <c r="C689" s="6" t="s">
        <v>1837</v>
      </c>
      <c r="D689" s="6" t="s">
        <v>781</v>
      </c>
      <c r="E689" s="6" t="s">
        <v>553</v>
      </c>
      <c r="G689" s="6" t="s">
        <v>325</v>
      </c>
    </row>
    <row r="690" ht="15.75" customHeight="1">
      <c r="A690" s="6" t="s">
        <v>745</v>
      </c>
      <c r="B690" s="6" t="s">
        <v>1809</v>
      </c>
      <c r="C690" s="6" t="s">
        <v>1837</v>
      </c>
      <c r="D690" s="6" t="s">
        <v>789</v>
      </c>
      <c r="E690" s="6" t="s">
        <v>429</v>
      </c>
      <c r="F690" s="6" t="s">
        <v>373</v>
      </c>
      <c r="G690" s="6" t="s">
        <v>240</v>
      </c>
    </row>
    <row r="691" ht="15.75" customHeight="1">
      <c r="A691" s="6" t="s">
        <v>745</v>
      </c>
      <c r="B691" s="6" t="s">
        <v>1809</v>
      </c>
      <c r="C691" s="6" t="s">
        <v>1837</v>
      </c>
      <c r="D691" s="6" t="s">
        <v>747</v>
      </c>
      <c r="E691" s="6" t="s">
        <v>429</v>
      </c>
      <c r="F691" s="6" t="s">
        <v>59</v>
      </c>
      <c r="G691" s="6" t="s">
        <v>508</v>
      </c>
    </row>
    <row r="692" ht="15.75" customHeight="1">
      <c r="A692" s="6" t="s">
        <v>745</v>
      </c>
      <c r="B692" s="6" t="s">
        <v>1809</v>
      </c>
      <c r="C692" s="6" t="s">
        <v>1837</v>
      </c>
      <c r="D692" s="6" t="s">
        <v>799</v>
      </c>
      <c r="E692" s="6" t="s">
        <v>429</v>
      </c>
      <c r="F692" s="6" t="s">
        <v>373</v>
      </c>
      <c r="G692" s="6" t="s">
        <v>240</v>
      </c>
    </row>
    <row r="693" ht="15.75" customHeight="1">
      <c r="A693" s="6" t="s">
        <v>745</v>
      </c>
      <c r="B693" s="6" t="s">
        <v>1809</v>
      </c>
      <c r="C693" s="6" t="s">
        <v>1837</v>
      </c>
      <c r="D693" s="6" t="s">
        <v>805</v>
      </c>
      <c r="E693" s="6" t="s">
        <v>429</v>
      </c>
      <c r="F693" s="6" t="s">
        <v>59</v>
      </c>
      <c r="G693" s="6" t="s">
        <v>508</v>
      </c>
    </row>
    <row r="694" ht="15.75" customHeight="1">
      <c r="A694" s="6" t="s">
        <v>818</v>
      </c>
      <c r="B694" s="6" t="s">
        <v>1809</v>
      </c>
      <c r="C694" s="6" t="s">
        <v>1837</v>
      </c>
      <c r="D694" s="6" t="s">
        <v>805</v>
      </c>
      <c r="E694" s="6" t="s">
        <v>429</v>
      </c>
      <c r="F694" s="6" t="s">
        <v>59</v>
      </c>
      <c r="G694" s="6" t="s">
        <v>524</v>
      </c>
    </row>
    <row r="695" ht="15.75" customHeight="1">
      <c r="A695" s="6" t="s">
        <v>818</v>
      </c>
      <c r="B695" s="6" t="s">
        <v>1809</v>
      </c>
      <c r="C695" s="6" t="s">
        <v>1837</v>
      </c>
      <c r="D695" s="6" t="s">
        <v>764</v>
      </c>
      <c r="E695" s="6" t="s">
        <v>553</v>
      </c>
      <c r="G695" s="6" t="s">
        <v>282</v>
      </c>
    </row>
    <row r="696" ht="15.75" customHeight="1">
      <c r="A696" s="6" t="s">
        <v>818</v>
      </c>
      <c r="B696" s="6" t="s">
        <v>1809</v>
      </c>
      <c r="C696" s="6" t="s">
        <v>1837</v>
      </c>
      <c r="D696" s="6" t="s">
        <v>825</v>
      </c>
      <c r="E696" s="6" t="s">
        <v>429</v>
      </c>
      <c r="F696" s="6" t="s">
        <v>59</v>
      </c>
      <c r="G696" s="6" t="s">
        <v>541</v>
      </c>
    </row>
    <row r="697" ht="15.75" customHeight="1">
      <c r="A697" s="6" t="s">
        <v>818</v>
      </c>
      <c r="B697" s="6" t="s">
        <v>1809</v>
      </c>
      <c r="C697" s="6" t="s">
        <v>1837</v>
      </c>
      <c r="D697" s="6" t="s">
        <v>684</v>
      </c>
      <c r="E697" s="6" t="s">
        <v>429</v>
      </c>
      <c r="F697" s="6" t="s">
        <v>59</v>
      </c>
      <c r="G697" s="6" t="s">
        <v>459</v>
      </c>
    </row>
    <row r="698" ht="15.75" customHeight="1">
      <c r="A698" s="6" t="s">
        <v>818</v>
      </c>
      <c r="B698" s="6" t="s">
        <v>1809</v>
      </c>
      <c r="C698" s="6" t="s">
        <v>1837</v>
      </c>
      <c r="D698" s="6" t="s">
        <v>690</v>
      </c>
      <c r="E698" s="6" t="s">
        <v>429</v>
      </c>
      <c r="F698" s="6" t="s">
        <v>59</v>
      </c>
      <c r="G698" s="6" t="s">
        <v>556</v>
      </c>
    </row>
    <row r="699" ht="15.75" customHeight="1">
      <c r="A699" s="6" t="s">
        <v>818</v>
      </c>
      <c r="B699" s="6" t="s">
        <v>1809</v>
      </c>
      <c r="C699" s="6" t="s">
        <v>1837</v>
      </c>
      <c r="D699" s="6" t="s">
        <v>837</v>
      </c>
      <c r="E699" s="6" t="s">
        <v>429</v>
      </c>
      <c r="F699" s="6" t="s">
        <v>59</v>
      </c>
      <c r="G699" s="6" t="s">
        <v>459</v>
      </c>
    </row>
    <row r="700" ht="15.75" customHeight="1">
      <c r="A700" s="6" t="s">
        <v>818</v>
      </c>
      <c r="B700" s="6" t="s">
        <v>1809</v>
      </c>
      <c r="C700" s="6" t="s">
        <v>1837</v>
      </c>
      <c r="D700" s="6" t="s">
        <v>840</v>
      </c>
      <c r="E700" s="6" t="s">
        <v>429</v>
      </c>
      <c r="F700" s="6" t="s">
        <v>59</v>
      </c>
      <c r="G700" s="6" t="s">
        <v>556</v>
      </c>
    </row>
    <row r="701" ht="15.75" customHeight="1">
      <c r="A701" s="6" t="s">
        <v>818</v>
      </c>
      <c r="B701" s="6" t="s">
        <v>1809</v>
      </c>
      <c r="C701" s="6" t="s">
        <v>1837</v>
      </c>
      <c r="D701" s="6" t="s">
        <v>721</v>
      </c>
      <c r="E701" s="6" t="s">
        <v>429</v>
      </c>
      <c r="F701" s="6" t="s">
        <v>59</v>
      </c>
      <c r="G701" s="6" t="s">
        <v>224</v>
      </c>
    </row>
    <row r="702" ht="15.75" customHeight="1">
      <c r="A702" s="6" t="s">
        <v>818</v>
      </c>
      <c r="B702" s="6" t="s">
        <v>1809</v>
      </c>
      <c r="C702" s="6" t="s">
        <v>1837</v>
      </c>
      <c r="D702" s="6" t="s">
        <v>705</v>
      </c>
      <c r="E702" s="6" t="s">
        <v>429</v>
      </c>
      <c r="F702" s="6" t="s">
        <v>373</v>
      </c>
      <c r="G702" s="6" t="s">
        <v>592</v>
      </c>
    </row>
    <row r="703" ht="15.75" customHeight="1">
      <c r="A703" s="6" t="s">
        <v>818</v>
      </c>
      <c r="B703" s="6" t="s">
        <v>1809</v>
      </c>
      <c r="C703" s="6" t="s">
        <v>1837</v>
      </c>
      <c r="D703" s="6" t="s">
        <v>690</v>
      </c>
      <c r="E703" s="6" t="s">
        <v>429</v>
      </c>
      <c r="F703" s="6" t="s">
        <v>59</v>
      </c>
      <c r="G703" s="6" t="s">
        <v>524</v>
      </c>
    </row>
    <row r="704" ht="15.75" customHeight="1">
      <c r="A704" s="6" t="s">
        <v>818</v>
      </c>
      <c r="B704" s="6" t="s">
        <v>1809</v>
      </c>
      <c r="C704" s="6" t="s">
        <v>1837</v>
      </c>
      <c r="D704" s="6" t="s">
        <v>747</v>
      </c>
      <c r="E704" s="6" t="s">
        <v>429</v>
      </c>
      <c r="F704" s="6" t="s">
        <v>59</v>
      </c>
      <c r="G704" s="6" t="s">
        <v>343</v>
      </c>
    </row>
    <row r="705" ht="15.75" customHeight="1">
      <c r="A705" s="6" t="s">
        <v>863</v>
      </c>
      <c r="B705" s="6" t="s">
        <v>1809</v>
      </c>
      <c r="C705" s="6" t="s">
        <v>1837</v>
      </c>
      <c r="D705" s="6" t="s">
        <v>770</v>
      </c>
      <c r="E705" s="6" t="s">
        <v>429</v>
      </c>
      <c r="F705" s="6" t="s">
        <v>59</v>
      </c>
      <c r="G705" s="6" t="s">
        <v>438</v>
      </c>
    </row>
    <row r="706" ht="15.75" customHeight="1">
      <c r="A706" s="6" t="s">
        <v>863</v>
      </c>
      <c r="B706" s="6" t="s">
        <v>1809</v>
      </c>
      <c r="C706" s="6" t="s">
        <v>1837</v>
      </c>
      <c r="D706" s="6" t="s">
        <v>848</v>
      </c>
      <c r="E706" s="6" t="s">
        <v>429</v>
      </c>
      <c r="F706" s="6" t="s">
        <v>59</v>
      </c>
      <c r="G706" s="6" t="s">
        <v>459</v>
      </c>
    </row>
    <row r="707" ht="15.75" customHeight="1">
      <c r="A707" s="6" t="s">
        <v>863</v>
      </c>
      <c r="B707" s="6" t="s">
        <v>1809</v>
      </c>
      <c r="C707" s="6" t="s">
        <v>1837</v>
      </c>
      <c r="D707" s="6" t="s">
        <v>870</v>
      </c>
      <c r="E707" s="6" t="s">
        <v>553</v>
      </c>
      <c r="G707" s="6" t="s">
        <v>459</v>
      </c>
    </row>
    <row r="708" ht="15.75" customHeight="1">
      <c r="A708" s="6" t="s">
        <v>863</v>
      </c>
      <c r="B708" s="6" t="s">
        <v>1809</v>
      </c>
      <c r="C708" s="6" t="s">
        <v>1837</v>
      </c>
      <c r="D708" s="6" t="s">
        <v>690</v>
      </c>
      <c r="E708" s="6" t="s">
        <v>429</v>
      </c>
      <c r="F708" s="6" t="s">
        <v>59</v>
      </c>
      <c r="G708" s="6" t="s">
        <v>459</v>
      </c>
    </row>
    <row r="709" ht="15.75" customHeight="1">
      <c r="A709" s="6" t="s">
        <v>863</v>
      </c>
      <c r="B709" s="6" t="s">
        <v>1809</v>
      </c>
      <c r="C709" s="6" t="s">
        <v>1837</v>
      </c>
      <c r="D709" s="6" t="s">
        <v>770</v>
      </c>
      <c r="E709" s="6" t="s">
        <v>429</v>
      </c>
      <c r="F709" s="6" t="s">
        <v>59</v>
      </c>
      <c r="G709" s="6" t="s">
        <v>508</v>
      </c>
    </row>
    <row r="710" ht="15.75" customHeight="1">
      <c r="A710" s="6" t="s">
        <v>863</v>
      </c>
      <c r="B710" s="6" t="s">
        <v>1809</v>
      </c>
      <c r="C710" s="6" t="s">
        <v>1837</v>
      </c>
      <c r="D710" s="6" t="s">
        <v>705</v>
      </c>
      <c r="E710" s="6" t="s">
        <v>429</v>
      </c>
      <c r="F710" s="6" t="s">
        <v>59</v>
      </c>
      <c r="G710" s="6" t="s">
        <v>282</v>
      </c>
    </row>
    <row r="711" ht="15.75" customHeight="1">
      <c r="A711" s="6" t="s">
        <v>863</v>
      </c>
      <c r="B711" s="6" t="s">
        <v>1809</v>
      </c>
      <c r="C711" s="6" t="s">
        <v>1837</v>
      </c>
      <c r="D711" s="6" t="s">
        <v>882</v>
      </c>
      <c r="E711" s="6" t="s">
        <v>553</v>
      </c>
      <c r="G711" s="6" t="s">
        <v>240</v>
      </c>
    </row>
    <row r="712" ht="15.75" customHeight="1">
      <c r="A712" s="6" t="s">
        <v>863</v>
      </c>
      <c r="B712" s="6" t="s">
        <v>1809</v>
      </c>
      <c r="C712" s="6" t="s">
        <v>1837</v>
      </c>
      <c r="D712" s="6" t="s">
        <v>747</v>
      </c>
      <c r="E712" s="6" t="s">
        <v>429</v>
      </c>
      <c r="F712" s="6" t="s">
        <v>59</v>
      </c>
      <c r="G712" s="6" t="s">
        <v>224</v>
      </c>
    </row>
    <row r="713" ht="15.75" customHeight="1">
      <c r="A713" s="6" t="s">
        <v>863</v>
      </c>
      <c r="B713" s="6" t="s">
        <v>1809</v>
      </c>
      <c r="C713" s="6" t="s">
        <v>1837</v>
      </c>
      <c r="D713" s="6" t="s">
        <v>889</v>
      </c>
      <c r="E713" s="6" t="s">
        <v>429</v>
      </c>
      <c r="F713" s="6" t="s">
        <v>59</v>
      </c>
      <c r="G713" s="6" t="s">
        <v>224</v>
      </c>
    </row>
    <row r="714" ht="15.75" customHeight="1">
      <c r="A714" s="6" t="s">
        <v>863</v>
      </c>
      <c r="B714" s="6" t="s">
        <v>1809</v>
      </c>
      <c r="C714" s="6" t="s">
        <v>1837</v>
      </c>
      <c r="D714" s="6" t="s">
        <v>892</v>
      </c>
      <c r="E714" s="6" t="s">
        <v>553</v>
      </c>
      <c r="G714" s="6" t="s">
        <v>240</v>
      </c>
    </row>
    <row r="715" ht="15.75" customHeight="1">
      <c r="A715" s="6" t="s">
        <v>863</v>
      </c>
      <c r="B715" s="6" t="s">
        <v>1809</v>
      </c>
      <c r="C715" s="6" t="s">
        <v>1837</v>
      </c>
      <c r="D715" s="6" t="s">
        <v>805</v>
      </c>
      <c r="E715" s="6" t="s">
        <v>429</v>
      </c>
      <c r="F715" s="6" t="s">
        <v>59</v>
      </c>
      <c r="G715" s="6" t="s">
        <v>508</v>
      </c>
    </row>
    <row r="716" ht="15.75" customHeight="1">
      <c r="A716" s="6" t="s">
        <v>903</v>
      </c>
      <c r="B716" s="6" t="s">
        <v>1809</v>
      </c>
      <c r="C716" s="6" t="s">
        <v>1837</v>
      </c>
      <c r="D716" s="6" t="s">
        <v>111</v>
      </c>
      <c r="E716" s="6" t="s">
        <v>153</v>
      </c>
      <c r="F716" s="6" t="s">
        <v>30</v>
      </c>
      <c r="G716" s="6" t="s">
        <v>77</v>
      </c>
    </row>
    <row r="717" ht="15.75" customHeight="1">
      <c r="A717" s="6" t="s">
        <v>903</v>
      </c>
      <c r="B717" s="6" t="s">
        <v>1809</v>
      </c>
      <c r="C717" s="6" t="s">
        <v>1837</v>
      </c>
      <c r="D717" s="6" t="s">
        <v>21</v>
      </c>
      <c r="E717" s="6" t="s">
        <v>394</v>
      </c>
      <c r="F717" s="6" t="s">
        <v>59</v>
      </c>
      <c r="G717" s="6" t="s">
        <v>907</v>
      </c>
    </row>
    <row r="718" ht="15.75" customHeight="1">
      <c r="A718" s="6" t="s">
        <v>903</v>
      </c>
      <c r="B718" s="6" t="s">
        <v>1809</v>
      </c>
      <c r="C718" s="6" t="s">
        <v>1837</v>
      </c>
      <c r="D718" s="6" t="s">
        <v>62</v>
      </c>
      <c r="E718" s="6" t="s">
        <v>299</v>
      </c>
      <c r="F718" s="6" t="s">
        <v>59</v>
      </c>
      <c r="G718" s="6" t="s">
        <v>211</v>
      </c>
    </row>
    <row r="719" ht="15.75" customHeight="1">
      <c r="A719" s="6" t="s">
        <v>903</v>
      </c>
      <c r="B719" s="6" t="s">
        <v>1809</v>
      </c>
      <c r="C719" s="6" t="s">
        <v>1837</v>
      </c>
      <c r="D719" s="6" t="s">
        <v>912</v>
      </c>
      <c r="E719" s="6" t="s">
        <v>353</v>
      </c>
      <c r="F719" s="6" t="s">
        <v>59</v>
      </c>
      <c r="G719" s="6" t="s">
        <v>73</v>
      </c>
    </row>
    <row r="720" ht="15.75" customHeight="1">
      <c r="A720" s="6" t="s">
        <v>903</v>
      </c>
      <c r="B720" s="6" t="s">
        <v>1809</v>
      </c>
      <c r="C720" s="6" t="s">
        <v>1837</v>
      </c>
      <c r="D720" s="6" t="s">
        <v>912</v>
      </c>
      <c r="E720" s="6" t="s">
        <v>361</v>
      </c>
      <c r="F720" s="6" t="s">
        <v>59</v>
      </c>
      <c r="G720" s="6" t="s">
        <v>73</v>
      </c>
    </row>
    <row r="721" ht="15.75" customHeight="1">
      <c r="A721" s="6" t="s">
        <v>903</v>
      </c>
      <c r="B721" s="6" t="s">
        <v>1809</v>
      </c>
      <c r="C721" s="6" t="s">
        <v>1837</v>
      </c>
      <c r="D721" s="6" t="s">
        <v>235</v>
      </c>
      <c r="E721" s="6" t="s">
        <v>806</v>
      </c>
      <c r="F721" s="6" t="s">
        <v>59</v>
      </c>
      <c r="G721" s="6" t="s">
        <v>73</v>
      </c>
    </row>
    <row r="722" ht="15.75" customHeight="1">
      <c r="A722" s="6" t="s">
        <v>903</v>
      </c>
      <c r="B722" s="6" t="s">
        <v>1809</v>
      </c>
      <c r="C722" s="6" t="s">
        <v>1837</v>
      </c>
      <c r="D722" s="6" t="s">
        <v>145</v>
      </c>
      <c r="E722" s="6" t="s">
        <v>628</v>
      </c>
      <c r="F722" s="6" t="s">
        <v>59</v>
      </c>
      <c r="G722" s="6" t="s">
        <v>907</v>
      </c>
    </row>
    <row r="723" ht="15.75" customHeight="1">
      <c r="A723" s="6" t="s">
        <v>903</v>
      </c>
      <c r="B723" s="6" t="s">
        <v>1809</v>
      </c>
      <c r="C723" s="6" t="s">
        <v>1837</v>
      </c>
      <c r="D723" s="6" t="s">
        <v>262</v>
      </c>
      <c r="E723" s="6" t="s">
        <v>731</v>
      </c>
      <c r="F723" s="6" t="s">
        <v>59</v>
      </c>
      <c r="G723" s="6" t="s">
        <v>211</v>
      </c>
    </row>
    <row r="724" ht="15.75" customHeight="1">
      <c r="A724" s="6" t="s">
        <v>903</v>
      </c>
      <c r="B724" s="6" t="s">
        <v>1809</v>
      </c>
      <c r="C724" s="6" t="s">
        <v>1837</v>
      </c>
      <c r="D724" s="6" t="s">
        <v>235</v>
      </c>
      <c r="E724" s="6" t="s">
        <v>353</v>
      </c>
      <c r="F724" s="6" t="s">
        <v>59</v>
      </c>
      <c r="G724" s="6" t="s">
        <v>907</v>
      </c>
    </row>
    <row r="725" ht="15.75" customHeight="1">
      <c r="A725" s="6" t="s">
        <v>903</v>
      </c>
      <c r="B725" s="6" t="s">
        <v>1809</v>
      </c>
      <c r="C725" s="6" t="s">
        <v>1837</v>
      </c>
      <c r="D725" s="6" t="s">
        <v>50</v>
      </c>
      <c r="E725" s="6" t="s">
        <v>821</v>
      </c>
      <c r="F725" s="6" t="s">
        <v>59</v>
      </c>
      <c r="G725" s="6" t="s">
        <v>53</v>
      </c>
    </row>
    <row r="726" ht="15.75" customHeight="1">
      <c r="A726" s="6" t="s">
        <v>19</v>
      </c>
      <c r="B726" s="6" t="s">
        <v>1809</v>
      </c>
      <c r="C726" s="6" t="s">
        <v>1838</v>
      </c>
      <c r="D726" s="6" t="s">
        <v>21</v>
      </c>
      <c r="E726" s="6" t="s">
        <v>76</v>
      </c>
      <c r="F726" s="6" t="s">
        <v>30</v>
      </c>
      <c r="G726" s="6" t="s">
        <v>77</v>
      </c>
    </row>
    <row r="727" ht="15.75" customHeight="1">
      <c r="A727" s="6" t="s">
        <v>19</v>
      </c>
      <c r="B727" s="6" t="s">
        <v>1809</v>
      </c>
      <c r="C727" s="6" t="s">
        <v>1838</v>
      </c>
      <c r="D727" s="6" t="s">
        <v>94</v>
      </c>
      <c r="E727" s="6" t="s">
        <v>97</v>
      </c>
      <c r="F727" s="6" t="s">
        <v>30</v>
      </c>
      <c r="G727" s="6" t="s">
        <v>77</v>
      </c>
    </row>
    <row r="728" ht="15.75" customHeight="1">
      <c r="A728" s="6" t="s">
        <v>19</v>
      </c>
      <c r="B728" s="6" t="s">
        <v>1809</v>
      </c>
      <c r="C728" s="6" t="s">
        <v>1838</v>
      </c>
      <c r="D728" s="6" t="s">
        <v>111</v>
      </c>
      <c r="E728" s="6" t="s">
        <v>115</v>
      </c>
      <c r="F728" s="6" t="s">
        <v>30</v>
      </c>
      <c r="G728" s="6" t="s">
        <v>65</v>
      </c>
    </row>
    <row r="729" ht="15.75" customHeight="1">
      <c r="A729" s="6" t="s">
        <v>19</v>
      </c>
      <c r="B729" s="6" t="s">
        <v>1809</v>
      </c>
      <c r="C729" s="6" t="s">
        <v>1838</v>
      </c>
      <c r="D729" s="6" t="s">
        <v>133</v>
      </c>
      <c r="E729" s="6" t="s">
        <v>135</v>
      </c>
      <c r="F729" s="6" t="s">
        <v>30</v>
      </c>
      <c r="G729" s="6" t="s">
        <v>37</v>
      </c>
    </row>
    <row r="730" ht="15.75" customHeight="1">
      <c r="A730" s="6" t="s">
        <v>19</v>
      </c>
      <c r="B730" s="6" t="s">
        <v>1809</v>
      </c>
      <c r="C730" s="6" t="s">
        <v>1838</v>
      </c>
      <c r="D730" s="6" t="s">
        <v>43</v>
      </c>
      <c r="E730" s="6" t="s">
        <v>135</v>
      </c>
      <c r="F730" s="6" t="s">
        <v>30</v>
      </c>
      <c r="G730" s="6" t="s">
        <v>37</v>
      </c>
    </row>
    <row r="731" ht="15.75" customHeight="1">
      <c r="A731" s="6" t="s">
        <v>19</v>
      </c>
      <c r="B731" s="6" t="s">
        <v>1809</v>
      </c>
      <c r="C731" s="6" t="s">
        <v>1838</v>
      </c>
      <c r="D731" s="6" t="s">
        <v>94</v>
      </c>
      <c r="E731" s="6" t="s">
        <v>115</v>
      </c>
      <c r="F731" s="6" t="s">
        <v>30</v>
      </c>
      <c r="G731" s="6" t="s">
        <v>53</v>
      </c>
    </row>
    <row r="732" ht="15.75" customHeight="1">
      <c r="A732" s="6" t="s">
        <v>19</v>
      </c>
      <c r="B732" s="6" t="s">
        <v>1809</v>
      </c>
      <c r="C732" s="6" t="s">
        <v>1838</v>
      </c>
      <c r="D732" s="6" t="s">
        <v>50</v>
      </c>
      <c r="E732" s="6" t="s">
        <v>166</v>
      </c>
      <c r="F732" s="6" t="s">
        <v>30</v>
      </c>
      <c r="G732" s="6" t="s">
        <v>77</v>
      </c>
    </row>
    <row r="733" ht="15.75" customHeight="1">
      <c r="A733" s="6" t="s">
        <v>19</v>
      </c>
      <c r="B733" s="6" t="s">
        <v>1809</v>
      </c>
      <c r="C733" s="6" t="s">
        <v>1838</v>
      </c>
      <c r="D733" s="6" t="s">
        <v>177</v>
      </c>
      <c r="E733" s="6" t="s">
        <v>178</v>
      </c>
      <c r="F733" s="6" t="s">
        <v>30</v>
      </c>
      <c r="G733" s="6" t="s">
        <v>77</v>
      </c>
    </row>
    <row r="734" ht="15.75" customHeight="1">
      <c r="A734" s="6" t="s">
        <v>19</v>
      </c>
      <c r="B734" s="6" t="s">
        <v>1809</v>
      </c>
      <c r="C734" s="6" t="s">
        <v>1838</v>
      </c>
      <c r="D734" s="6" t="s">
        <v>50</v>
      </c>
      <c r="E734" s="6" t="s">
        <v>97</v>
      </c>
      <c r="F734" s="6" t="s">
        <v>30</v>
      </c>
      <c r="G734" s="6" t="s">
        <v>73</v>
      </c>
    </row>
    <row r="735" ht="15.75" customHeight="1">
      <c r="A735" s="6" t="s">
        <v>19</v>
      </c>
      <c r="B735" s="6" t="s">
        <v>1809</v>
      </c>
      <c r="C735" s="6" t="s">
        <v>1838</v>
      </c>
      <c r="D735" s="6" t="s">
        <v>21</v>
      </c>
      <c r="E735" s="6" t="s">
        <v>135</v>
      </c>
      <c r="F735" s="6" t="s">
        <v>30</v>
      </c>
      <c r="G735" s="6" t="s">
        <v>37</v>
      </c>
    </row>
    <row r="736" ht="15.75" customHeight="1">
      <c r="A736" s="6" t="s">
        <v>19</v>
      </c>
      <c r="B736" s="6" t="s">
        <v>1809</v>
      </c>
      <c r="C736" s="6" t="s">
        <v>1838</v>
      </c>
      <c r="D736" s="6" t="s">
        <v>94</v>
      </c>
      <c r="E736" s="6" t="s">
        <v>215</v>
      </c>
      <c r="F736" s="6" t="s">
        <v>30</v>
      </c>
      <c r="G736" s="6" t="s">
        <v>73</v>
      </c>
    </row>
    <row r="737" ht="15.75" customHeight="1">
      <c r="A737" s="6" t="s">
        <v>19</v>
      </c>
      <c r="B737" s="6" t="s">
        <v>1809</v>
      </c>
      <c r="C737" s="6" t="s">
        <v>1838</v>
      </c>
      <c r="D737" s="6" t="s">
        <v>62</v>
      </c>
      <c r="E737" s="6" t="s">
        <v>115</v>
      </c>
      <c r="F737" s="6" t="s">
        <v>30</v>
      </c>
      <c r="G737" s="6" t="s">
        <v>65</v>
      </c>
    </row>
    <row r="738" ht="15.75" customHeight="1">
      <c r="A738" s="6" t="s">
        <v>19</v>
      </c>
      <c r="B738" s="6" t="s">
        <v>1809</v>
      </c>
      <c r="C738" s="6" t="s">
        <v>1838</v>
      </c>
      <c r="D738" s="6" t="s">
        <v>112</v>
      </c>
      <c r="E738" s="6" t="s">
        <v>115</v>
      </c>
      <c r="F738" s="6" t="s">
        <v>30</v>
      </c>
      <c r="G738" s="6" t="s">
        <v>37</v>
      </c>
    </row>
    <row r="739" ht="15.75" customHeight="1">
      <c r="A739" s="6" t="s">
        <v>19</v>
      </c>
      <c r="B739" s="6" t="s">
        <v>1809</v>
      </c>
      <c r="C739" s="6" t="s">
        <v>1838</v>
      </c>
      <c r="D739" s="6" t="s">
        <v>133</v>
      </c>
      <c r="E739" s="6" t="s">
        <v>215</v>
      </c>
      <c r="F739" s="6" t="s">
        <v>30</v>
      </c>
      <c r="G739" s="6" t="s">
        <v>65</v>
      </c>
    </row>
    <row r="740" ht="15.75" customHeight="1">
      <c r="A740" s="6" t="s">
        <v>19</v>
      </c>
      <c r="B740" s="6" t="s">
        <v>1809</v>
      </c>
      <c r="C740" s="6" t="s">
        <v>1838</v>
      </c>
      <c r="D740" s="6" t="s">
        <v>62</v>
      </c>
      <c r="E740" s="6" t="s">
        <v>97</v>
      </c>
      <c r="F740" s="6" t="s">
        <v>30</v>
      </c>
      <c r="G740" s="6" t="s">
        <v>95</v>
      </c>
    </row>
    <row r="741" ht="15.75" customHeight="1">
      <c r="A741" s="6" t="s">
        <v>19</v>
      </c>
      <c r="B741" s="6" t="s">
        <v>1809</v>
      </c>
      <c r="C741" s="6" t="s">
        <v>1838</v>
      </c>
      <c r="D741" s="6" t="s">
        <v>94</v>
      </c>
      <c r="E741" s="6" t="s">
        <v>115</v>
      </c>
      <c r="F741" s="6" t="s">
        <v>30</v>
      </c>
      <c r="G741" s="6" t="s">
        <v>95</v>
      </c>
    </row>
    <row r="742" ht="15.75" customHeight="1">
      <c r="A742" s="6" t="s">
        <v>19</v>
      </c>
      <c r="B742" s="6" t="s">
        <v>1809</v>
      </c>
      <c r="C742" s="6" t="s">
        <v>1838</v>
      </c>
      <c r="D742" s="6" t="s">
        <v>21</v>
      </c>
      <c r="E742" s="6" t="s">
        <v>166</v>
      </c>
      <c r="F742" s="6" t="s">
        <v>30</v>
      </c>
      <c r="G742" s="6" t="s">
        <v>65</v>
      </c>
    </row>
    <row r="743" ht="15.75" customHeight="1">
      <c r="A743" s="6" t="s">
        <v>183</v>
      </c>
      <c r="B743" s="6" t="s">
        <v>1809</v>
      </c>
      <c r="C743" s="6" t="s">
        <v>1838</v>
      </c>
      <c r="D743" s="6" t="s">
        <v>50</v>
      </c>
      <c r="E743" s="6" t="s">
        <v>97</v>
      </c>
      <c r="F743" s="6" t="s">
        <v>30</v>
      </c>
      <c r="G743" s="6" t="s">
        <v>37</v>
      </c>
    </row>
    <row r="744" ht="15.75" customHeight="1">
      <c r="A744" s="6" t="s">
        <v>183</v>
      </c>
      <c r="B744" s="6" t="s">
        <v>1809</v>
      </c>
      <c r="C744" s="6" t="s">
        <v>1838</v>
      </c>
      <c r="D744" s="6" t="s">
        <v>62</v>
      </c>
      <c r="E744" s="6" t="s">
        <v>135</v>
      </c>
      <c r="F744" s="6" t="s">
        <v>30</v>
      </c>
      <c r="G744" s="6" t="s">
        <v>311</v>
      </c>
    </row>
    <row r="745" ht="15.75" customHeight="1">
      <c r="A745" s="6" t="s">
        <v>183</v>
      </c>
      <c r="B745" s="6" t="s">
        <v>1809</v>
      </c>
      <c r="C745" s="6" t="s">
        <v>1838</v>
      </c>
      <c r="D745" s="6" t="s">
        <v>62</v>
      </c>
      <c r="E745" s="6" t="s">
        <v>135</v>
      </c>
      <c r="F745" s="6" t="s">
        <v>30</v>
      </c>
      <c r="G745" s="6" t="s">
        <v>77</v>
      </c>
    </row>
    <row r="746" ht="15.75" customHeight="1">
      <c r="A746" s="6" t="s">
        <v>183</v>
      </c>
      <c r="B746" s="6" t="s">
        <v>1809</v>
      </c>
      <c r="C746" s="6" t="s">
        <v>1838</v>
      </c>
      <c r="D746" s="6" t="s">
        <v>133</v>
      </c>
      <c r="E746" s="6" t="s">
        <v>97</v>
      </c>
      <c r="F746" s="6" t="s">
        <v>30</v>
      </c>
      <c r="G746" s="6" t="s">
        <v>77</v>
      </c>
    </row>
    <row r="747" ht="15.75" customHeight="1">
      <c r="A747" s="6" t="s">
        <v>183</v>
      </c>
      <c r="B747" s="6" t="s">
        <v>1809</v>
      </c>
      <c r="C747" s="6" t="s">
        <v>1838</v>
      </c>
      <c r="D747" s="6" t="s">
        <v>43</v>
      </c>
      <c r="E747" s="6" t="s">
        <v>332</v>
      </c>
      <c r="F747" s="6" t="s">
        <v>30</v>
      </c>
      <c r="G747" s="6" t="s">
        <v>311</v>
      </c>
    </row>
    <row r="748" ht="15.75" customHeight="1">
      <c r="A748" s="6" t="s">
        <v>183</v>
      </c>
      <c r="B748" s="6" t="s">
        <v>1809</v>
      </c>
      <c r="C748" s="6" t="s">
        <v>1838</v>
      </c>
      <c r="D748" s="6" t="s">
        <v>111</v>
      </c>
      <c r="E748" s="6" t="s">
        <v>115</v>
      </c>
      <c r="F748" s="6" t="s">
        <v>30</v>
      </c>
      <c r="G748" s="6" t="s">
        <v>280</v>
      </c>
    </row>
    <row r="749" ht="15.75" customHeight="1">
      <c r="A749" s="6" t="s">
        <v>183</v>
      </c>
      <c r="B749" s="6" t="s">
        <v>1809</v>
      </c>
      <c r="C749" s="6" t="s">
        <v>1838</v>
      </c>
      <c r="D749" s="6" t="s">
        <v>112</v>
      </c>
      <c r="E749" s="6" t="s">
        <v>97</v>
      </c>
      <c r="F749" s="6" t="s">
        <v>30</v>
      </c>
      <c r="G749" s="6" t="s">
        <v>73</v>
      </c>
    </row>
    <row r="750" ht="15.75" customHeight="1">
      <c r="A750" s="6" t="s">
        <v>183</v>
      </c>
      <c r="B750" s="6" t="s">
        <v>1809</v>
      </c>
      <c r="C750" s="6" t="s">
        <v>1838</v>
      </c>
      <c r="D750" s="6" t="s">
        <v>50</v>
      </c>
      <c r="E750" s="6" t="s">
        <v>215</v>
      </c>
      <c r="F750" s="6" t="s">
        <v>30</v>
      </c>
      <c r="G750" s="6" t="s">
        <v>53</v>
      </c>
    </row>
    <row r="751" ht="15.75" customHeight="1">
      <c r="A751" s="6" t="s">
        <v>183</v>
      </c>
      <c r="B751" s="6" t="s">
        <v>1809</v>
      </c>
      <c r="C751" s="6" t="s">
        <v>1838</v>
      </c>
      <c r="D751" s="6" t="s">
        <v>61</v>
      </c>
      <c r="E751" s="6" t="s">
        <v>97</v>
      </c>
      <c r="F751" s="6" t="s">
        <v>30</v>
      </c>
      <c r="G751" s="6" t="s">
        <v>280</v>
      </c>
    </row>
    <row r="752" ht="15.75" customHeight="1">
      <c r="A752" s="6" t="s">
        <v>183</v>
      </c>
      <c r="B752" s="6" t="s">
        <v>1809</v>
      </c>
      <c r="C752" s="6" t="s">
        <v>1838</v>
      </c>
      <c r="D752" s="6" t="s">
        <v>21</v>
      </c>
      <c r="E752" s="6" t="s">
        <v>97</v>
      </c>
      <c r="F752" s="6" t="s">
        <v>30</v>
      </c>
      <c r="G752" s="6" t="s">
        <v>311</v>
      </c>
    </row>
    <row r="753" ht="15.75" customHeight="1">
      <c r="A753" s="6" t="s">
        <v>183</v>
      </c>
      <c r="B753" s="6" t="s">
        <v>1809</v>
      </c>
      <c r="C753" s="6" t="s">
        <v>1838</v>
      </c>
      <c r="D753" s="6" t="s">
        <v>61</v>
      </c>
      <c r="E753" s="6" t="s">
        <v>166</v>
      </c>
      <c r="F753" s="6" t="s">
        <v>30</v>
      </c>
      <c r="G753" s="6" t="s">
        <v>77</v>
      </c>
    </row>
    <row r="754" ht="15.75" customHeight="1">
      <c r="A754" s="6" t="s">
        <v>183</v>
      </c>
      <c r="B754" s="6" t="s">
        <v>1809</v>
      </c>
      <c r="C754" s="6" t="s">
        <v>1838</v>
      </c>
      <c r="D754" s="6" t="s">
        <v>50</v>
      </c>
      <c r="E754" s="6" t="s">
        <v>76</v>
      </c>
      <c r="F754" s="6" t="s">
        <v>30</v>
      </c>
      <c r="G754" s="6" t="s">
        <v>37</v>
      </c>
    </row>
    <row r="755" ht="15.75" customHeight="1">
      <c r="A755" s="6" t="s">
        <v>183</v>
      </c>
      <c r="B755" s="6" t="s">
        <v>1809</v>
      </c>
      <c r="C755" s="6" t="s">
        <v>1838</v>
      </c>
      <c r="D755" s="6" t="s">
        <v>177</v>
      </c>
      <c r="E755" s="6" t="s">
        <v>166</v>
      </c>
      <c r="F755" s="6" t="s">
        <v>30</v>
      </c>
      <c r="G755" s="6" t="s">
        <v>280</v>
      </c>
    </row>
    <row r="756" ht="15.75" customHeight="1">
      <c r="A756" s="6" t="s">
        <v>183</v>
      </c>
      <c r="B756" s="6" t="s">
        <v>1809</v>
      </c>
      <c r="C756" s="6" t="s">
        <v>1838</v>
      </c>
      <c r="D756" s="6" t="s">
        <v>62</v>
      </c>
      <c r="E756" s="6" t="s">
        <v>332</v>
      </c>
      <c r="F756" s="6" t="s">
        <v>30</v>
      </c>
      <c r="G756" s="6" t="s">
        <v>280</v>
      </c>
    </row>
    <row r="757" ht="15.75" customHeight="1">
      <c r="A757" s="6" t="s">
        <v>183</v>
      </c>
      <c r="B757" s="6" t="s">
        <v>1809</v>
      </c>
      <c r="C757" s="6" t="s">
        <v>1838</v>
      </c>
      <c r="D757" s="6" t="s">
        <v>111</v>
      </c>
      <c r="E757" s="6" t="s">
        <v>215</v>
      </c>
      <c r="F757" s="6" t="s">
        <v>30</v>
      </c>
      <c r="G757" s="6" t="s">
        <v>311</v>
      </c>
    </row>
    <row r="758" ht="15.75" customHeight="1">
      <c r="A758" s="6" t="s">
        <v>297</v>
      </c>
      <c r="B758" s="6" t="s">
        <v>1809</v>
      </c>
      <c r="C758" s="6" t="s">
        <v>1838</v>
      </c>
      <c r="D758" s="6" t="s">
        <v>177</v>
      </c>
      <c r="E758" s="6" t="s">
        <v>437</v>
      </c>
      <c r="F758" s="6" t="s">
        <v>59</v>
      </c>
      <c r="G758" s="6" t="s">
        <v>280</v>
      </c>
    </row>
    <row r="759" ht="15.75" customHeight="1">
      <c r="A759" s="6" t="s">
        <v>297</v>
      </c>
      <c r="B759" s="6" t="s">
        <v>1809</v>
      </c>
      <c r="C759" s="6" t="s">
        <v>1838</v>
      </c>
      <c r="D759" s="6" t="s">
        <v>262</v>
      </c>
      <c r="E759" s="6" t="s">
        <v>115</v>
      </c>
      <c r="F759" s="6" t="s">
        <v>30</v>
      </c>
      <c r="G759" s="6" t="s">
        <v>77</v>
      </c>
    </row>
    <row r="760" ht="15.75" customHeight="1">
      <c r="A760" s="6" t="s">
        <v>297</v>
      </c>
      <c r="B760" s="6" t="s">
        <v>1809</v>
      </c>
      <c r="C760" s="6" t="s">
        <v>1838</v>
      </c>
      <c r="D760" s="6" t="s">
        <v>43</v>
      </c>
      <c r="E760" s="6" t="s">
        <v>115</v>
      </c>
      <c r="F760" s="6" t="s">
        <v>30</v>
      </c>
      <c r="G760" s="6" t="s">
        <v>311</v>
      </c>
    </row>
    <row r="761" ht="15.75" customHeight="1">
      <c r="A761" s="6" t="s">
        <v>297</v>
      </c>
      <c r="B761" s="6" t="s">
        <v>1809</v>
      </c>
      <c r="C761" s="6" t="s">
        <v>1838</v>
      </c>
      <c r="D761" s="6" t="s">
        <v>50</v>
      </c>
      <c r="E761" s="6" t="s">
        <v>461</v>
      </c>
      <c r="F761" s="6" t="s">
        <v>59</v>
      </c>
      <c r="G761" s="6" t="s">
        <v>53</v>
      </c>
    </row>
    <row r="762" ht="15.75" customHeight="1">
      <c r="A762" s="6" t="s">
        <v>297</v>
      </c>
      <c r="B762" s="6" t="s">
        <v>1809</v>
      </c>
      <c r="C762" s="6" t="s">
        <v>1838</v>
      </c>
      <c r="D762" s="6" t="s">
        <v>61</v>
      </c>
      <c r="E762" s="6" t="s">
        <v>467</v>
      </c>
      <c r="F762" s="6" t="s">
        <v>59</v>
      </c>
      <c r="G762" s="6" t="s">
        <v>280</v>
      </c>
    </row>
    <row r="763" ht="15.75" customHeight="1">
      <c r="A763" s="6" t="s">
        <v>297</v>
      </c>
      <c r="B763" s="6" t="s">
        <v>1809</v>
      </c>
      <c r="C763" s="6" t="s">
        <v>1838</v>
      </c>
      <c r="D763" s="6" t="s">
        <v>112</v>
      </c>
      <c r="E763" s="6" t="s">
        <v>437</v>
      </c>
      <c r="F763" s="6" t="s">
        <v>59</v>
      </c>
      <c r="G763" s="6" t="s">
        <v>95</v>
      </c>
    </row>
    <row r="764" ht="15.75" customHeight="1">
      <c r="A764" s="6" t="s">
        <v>297</v>
      </c>
      <c r="B764" s="6" t="s">
        <v>1809</v>
      </c>
      <c r="C764" s="6" t="s">
        <v>1838</v>
      </c>
      <c r="D764" s="6" t="s">
        <v>133</v>
      </c>
      <c r="E764" s="6" t="s">
        <v>490</v>
      </c>
      <c r="F764" s="6" t="s">
        <v>59</v>
      </c>
      <c r="G764" s="6" t="s">
        <v>77</v>
      </c>
    </row>
    <row r="765" ht="15.75" customHeight="1">
      <c r="A765" s="6" t="s">
        <v>297</v>
      </c>
      <c r="B765" s="6" t="s">
        <v>1809</v>
      </c>
      <c r="C765" s="6" t="s">
        <v>1838</v>
      </c>
      <c r="D765" s="6" t="s">
        <v>43</v>
      </c>
      <c r="E765" s="6" t="s">
        <v>467</v>
      </c>
      <c r="F765" s="6" t="s">
        <v>59</v>
      </c>
      <c r="G765" s="6" t="s">
        <v>280</v>
      </c>
    </row>
    <row r="766" ht="15.75" customHeight="1">
      <c r="A766" s="6" t="s">
        <v>297</v>
      </c>
      <c r="B766" s="6" t="s">
        <v>1809</v>
      </c>
      <c r="C766" s="6" t="s">
        <v>1838</v>
      </c>
      <c r="D766" s="6" t="s">
        <v>21</v>
      </c>
      <c r="E766" s="6" t="s">
        <v>467</v>
      </c>
      <c r="F766" s="6" t="s">
        <v>59</v>
      </c>
      <c r="G766" s="6" t="s">
        <v>311</v>
      </c>
    </row>
    <row r="767" ht="15.75" customHeight="1">
      <c r="A767" s="6" t="s">
        <v>297</v>
      </c>
      <c r="B767" s="6" t="s">
        <v>1809</v>
      </c>
      <c r="C767" s="6" t="s">
        <v>1838</v>
      </c>
      <c r="D767" s="6" t="s">
        <v>62</v>
      </c>
      <c r="E767" s="6" t="s">
        <v>332</v>
      </c>
      <c r="F767" s="6" t="s">
        <v>30</v>
      </c>
      <c r="G767" s="6" t="s">
        <v>77</v>
      </c>
    </row>
    <row r="768" ht="15.75" customHeight="1">
      <c r="A768" s="6" t="s">
        <v>297</v>
      </c>
      <c r="B768" s="6" t="s">
        <v>1809</v>
      </c>
      <c r="C768" s="6" t="s">
        <v>1838</v>
      </c>
      <c r="D768" s="6" t="s">
        <v>177</v>
      </c>
      <c r="E768" s="6" t="s">
        <v>490</v>
      </c>
      <c r="F768" s="6" t="s">
        <v>59</v>
      </c>
      <c r="G768" s="6" t="s">
        <v>280</v>
      </c>
    </row>
    <row r="769" ht="15.75" customHeight="1">
      <c r="A769" s="6" t="s">
        <v>297</v>
      </c>
      <c r="B769" s="6" t="s">
        <v>1809</v>
      </c>
      <c r="C769" s="6" t="s">
        <v>1838</v>
      </c>
      <c r="D769" s="6" t="s">
        <v>124</v>
      </c>
      <c r="E769" s="6" t="s">
        <v>437</v>
      </c>
      <c r="F769" s="6" t="s">
        <v>59</v>
      </c>
      <c r="G769" s="6" t="s">
        <v>77</v>
      </c>
    </row>
    <row r="770" ht="15.75" customHeight="1">
      <c r="A770" s="6" t="s">
        <v>297</v>
      </c>
      <c r="B770" s="6" t="s">
        <v>1809</v>
      </c>
      <c r="C770" s="6" t="s">
        <v>1838</v>
      </c>
      <c r="D770" s="6" t="s">
        <v>94</v>
      </c>
      <c r="E770" s="6" t="s">
        <v>519</v>
      </c>
      <c r="F770" s="6" t="s">
        <v>59</v>
      </c>
      <c r="G770" s="6" t="s">
        <v>65</v>
      </c>
    </row>
    <row r="771" ht="15.75" customHeight="1">
      <c r="A771" s="6" t="s">
        <v>297</v>
      </c>
      <c r="B771" s="6" t="s">
        <v>1809</v>
      </c>
      <c r="C771" s="6" t="s">
        <v>1838</v>
      </c>
      <c r="D771" s="6" t="s">
        <v>62</v>
      </c>
      <c r="E771" s="6" t="s">
        <v>522</v>
      </c>
      <c r="F771" s="6" t="s">
        <v>59</v>
      </c>
      <c r="G771" s="6" t="s">
        <v>280</v>
      </c>
    </row>
    <row r="772" ht="15.75" customHeight="1">
      <c r="A772" s="6" t="s">
        <v>297</v>
      </c>
      <c r="B772" s="6" t="s">
        <v>1809</v>
      </c>
      <c r="C772" s="6" t="s">
        <v>1838</v>
      </c>
      <c r="D772" s="6" t="s">
        <v>177</v>
      </c>
      <c r="E772" s="6" t="s">
        <v>519</v>
      </c>
      <c r="F772" s="6" t="s">
        <v>59</v>
      </c>
      <c r="G772" s="6" t="s">
        <v>65</v>
      </c>
    </row>
    <row r="773" ht="15.75" customHeight="1">
      <c r="A773" s="6" t="s">
        <v>297</v>
      </c>
      <c r="B773" s="6" t="s">
        <v>1809</v>
      </c>
      <c r="C773" s="6" t="s">
        <v>1838</v>
      </c>
      <c r="D773" s="6" t="s">
        <v>145</v>
      </c>
      <c r="E773" s="6" t="s">
        <v>467</v>
      </c>
      <c r="F773" s="6" t="s">
        <v>59</v>
      </c>
      <c r="G773" s="6" t="s">
        <v>311</v>
      </c>
    </row>
    <row r="774" ht="15.75" customHeight="1">
      <c r="A774" s="6" t="s">
        <v>297</v>
      </c>
      <c r="B774" s="6" t="s">
        <v>1809</v>
      </c>
      <c r="C774" s="6" t="s">
        <v>1838</v>
      </c>
      <c r="D774" s="6" t="s">
        <v>177</v>
      </c>
      <c r="E774" s="6" t="s">
        <v>437</v>
      </c>
      <c r="F774" s="6" t="s">
        <v>59</v>
      </c>
      <c r="G774" s="6" t="s">
        <v>311</v>
      </c>
    </row>
    <row r="775" ht="15.75" customHeight="1">
      <c r="A775" s="6" t="s">
        <v>297</v>
      </c>
      <c r="B775" s="6" t="s">
        <v>1809</v>
      </c>
      <c r="C775" s="6" t="s">
        <v>1838</v>
      </c>
      <c r="D775" s="6" t="s">
        <v>94</v>
      </c>
      <c r="E775" s="6" t="s">
        <v>548</v>
      </c>
      <c r="F775" s="6" t="s">
        <v>59</v>
      </c>
      <c r="G775" s="6" t="s">
        <v>53</v>
      </c>
    </row>
    <row r="776" ht="15.75" customHeight="1">
      <c r="A776" s="6" t="s">
        <v>424</v>
      </c>
      <c r="B776" s="6" t="s">
        <v>1809</v>
      </c>
      <c r="C776" s="6" t="s">
        <v>1838</v>
      </c>
      <c r="D776" s="6" t="s">
        <v>428</v>
      </c>
      <c r="E776" s="6" t="s">
        <v>429</v>
      </c>
      <c r="F776" s="6" t="s">
        <v>30</v>
      </c>
      <c r="G776" s="6" t="s">
        <v>541</v>
      </c>
    </row>
    <row r="777" ht="15.75" customHeight="1">
      <c r="A777" s="6" t="s">
        <v>424</v>
      </c>
      <c r="B777" s="6" t="s">
        <v>1809</v>
      </c>
      <c r="C777" s="6" t="s">
        <v>1838</v>
      </c>
      <c r="D777" s="6" t="s">
        <v>588</v>
      </c>
      <c r="E777" s="6" t="s">
        <v>429</v>
      </c>
      <c r="F777" s="6" t="s">
        <v>30</v>
      </c>
      <c r="G777" s="6" t="s">
        <v>541</v>
      </c>
    </row>
    <row r="778" ht="15.75" customHeight="1">
      <c r="A778" s="6" t="s">
        <v>424</v>
      </c>
      <c r="B778" s="6" t="s">
        <v>1809</v>
      </c>
      <c r="C778" s="6" t="s">
        <v>1838</v>
      </c>
      <c r="D778" s="6" t="s">
        <v>596</v>
      </c>
      <c r="E778" s="6" t="s">
        <v>429</v>
      </c>
      <c r="F778" s="6" t="s">
        <v>30</v>
      </c>
      <c r="G778" s="6" t="s">
        <v>459</v>
      </c>
    </row>
    <row r="779" ht="15.75" customHeight="1">
      <c r="A779" s="6" t="s">
        <v>424</v>
      </c>
      <c r="B779" s="6" t="s">
        <v>1809</v>
      </c>
      <c r="C779" s="6" t="s">
        <v>1838</v>
      </c>
      <c r="D779" s="6" t="s">
        <v>608</v>
      </c>
      <c r="E779" s="6" t="s">
        <v>30</v>
      </c>
      <c r="F779" s="6" t="s">
        <v>30</v>
      </c>
      <c r="G779" s="6" t="s">
        <v>556</v>
      </c>
    </row>
    <row r="780" ht="15.75" customHeight="1">
      <c r="A780" s="6" t="s">
        <v>424</v>
      </c>
      <c r="B780" s="6" t="s">
        <v>1809</v>
      </c>
      <c r="C780" s="6" t="s">
        <v>1838</v>
      </c>
      <c r="D780" s="6" t="s">
        <v>616</v>
      </c>
      <c r="E780" s="6" t="s">
        <v>429</v>
      </c>
      <c r="F780" s="6" t="s">
        <v>30</v>
      </c>
      <c r="G780" s="6" t="s">
        <v>459</v>
      </c>
    </row>
    <row r="781" ht="15.75" customHeight="1">
      <c r="A781" s="6" t="s">
        <v>424</v>
      </c>
      <c r="B781" s="6" t="s">
        <v>1809</v>
      </c>
      <c r="C781" s="6" t="s">
        <v>1838</v>
      </c>
      <c r="D781" s="6" t="s">
        <v>445</v>
      </c>
      <c r="E781" s="6" t="s">
        <v>429</v>
      </c>
      <c r="F781" s="6" t="s">
        <v>30</v>
      </c>
      <c r="G781" s="6" t="s">
        <v>459</v>
      </c>
    </row>
    <row r="782" ht="15.75" customHeight="1">
      <c r="A782" s="6" t="s">
        <v>424</v>
      </c>
      <c r="B782" s="6" t="s">
        <v>1809</v>
      </c>
      <c r="C782" s="6" t="s">
        <v>1838</v>
      </c>
      <c r="D782" s="6" t="s">
        <v>445</v>
      </c>
      <c r="E782" s="6" t="s">
        <v>429</v>
      </c>
      <c r="F782" s="6" t="s">
        <v>30</v>
      </c>
      <c r="G782" s="6" t="s">
        <v>541</v>
      </c>
    </row>
    <row r="783" ht="15.75" customHeight="1">
      <c r="A783" s="6" t="s">
        <v>424</v>
      </c>
      <c r="B783" s="6" t="s">
        <v>1809</v>
      </c>
      <c r="C783" s="6" t="s">
        <v>1838</v>
      </c>
      <c r="D783" s="6" t="s">
        <v>482</v>
      </c>
      <c r="E783" s="6" t="s">
        <v>429</v>
      </c>
      <c r="F783" s="6" t="s">
        <v>30</v>
      </c>
      <c r="G783" s="6" t="s">
        <v>524</v>
      </c>
    </row>
    <row r="784" ht="15.75" customHeight="1">
      <c r="A784" s="6" t="s">
        <v>424</v>
      </c>
      <c r="B784" s="6" t="s">
        <v>1809</v>
      </c>
      <c r="C784" s="6" t="s">
        <v>1838</v>
      </c>
      <c r="D784" s="6" t="s">
        <v>565</v>
      </c>
      <c r="E784" s="6" t="s">
        <v>429</v>
      </c>
      <c r="F784" s="6" t="s">
        <v>30</v>
      </c>
      <c r="G784" s="6" t="s">
        <v>459</v>
      </c>
    </row>
    <row r="785" ht="15.75" customHeight="1">
      <c r="A785" s="6" t="s">
        <v>424</v>
      </c>
      <c r="B785" s="6" t="s">
        <v>1809</v>
      </c>
      <c r="C785" s="6" t="s">
        <v>1838</v>
      </c>
      <c r="D785" s="6" t="s">
        <v>501</v>
      </c>
      <c r="E785" s="6" t="s">
        <v>429</v>
      </c>
      <c r="F785" s="6" t="s">
        <v>30</v>
      </c>
      <c r="G785" s="6" t="s">
        <v>541</v>
      </c>
    </row>
    <row r="786" ht="15.75" customHeight="1">
      <c r="A786" s="6" t="s">
        <v>424</v>
      </c>
      <c r="B786" s="6" t="s">
        <v>1809</v>
      </c>
      <c r="C786" s="6" t="s">
        <v>1838</v>
      </c>
      <c r="D786" s="6" t="s">
        <v>639</v>
      </c>
      <c r="E786" s="6" t="s">
        <v>429</v>
      </c>
      <c r="F786" s="6" t="s">
        <v>30</v>
      </c>
      <c r="G786" s="6" t="s">
        <v>541</v>
      </c>
    </row>
    <row r="787" ht="15.75" customHeight="1">
      <c r="A787" s="6" t="s">
        <v>424</v>
      </c>
      <c r="B787" s="6" t="s">
        <v>1809</v>
      </c>
      <c r="C787" s="6" t="s">
        <v>1838</v>
      </c>
      <c r="D787" s="6" t="s">
        <v>596</v>
      </c>
      <c r="E787" s="6" t="s">
        <v>429</v>
      </c>
      <c r="F787" s="6" t="s">
        <v>30</v>
      </c>
      <c r="G787" s="6" t="s">
        <v>524</v>
      </c>
    </row>
    <row r="788" ht="15.75" customHeight="1">
      <c r="A788" s="6" t="s">
        <v>424</v>
      </c>
      <c r="B788" s="6" t="s">
        <v>1809</v>
      </c>
      <c r="C788" s="6" t="s">
        <v>1838</v>
      </c>
      <c r="D788" s="6" t="s">
        <v>428</v>
      </c>
      <c r="E788" s="6" t="s">
        <v>429</v>
      </c>
      <c r="F788" s="6" t="s">
        <v>30</v>
      </c>
      <c r="G788" s="6" t="s">
        <v>459</v>
      </c>
    </row>
    <row r="789" ht="15.75" customHeight="1">
      <c r="A789" s="6" t="s">
        <v>424</v>
      </c>
      <c r="B789" s="6" t="s">
        <v>1809</v>
      </c>
      <c r="C789" s="6" t="s">
        <v>1838</v>
      </c>
      <c r="D789" s="6" t="s">
        <v>588</v>
      </c>
      <c r="E789" s="6" t="s">
        <v>429</v>
      </c>
      <c r="F789" s="6" t="s">
        <v>30</v>
      </c>
      <c r="G789" s="6" t="s">
        <v>524</v>
      </c>
    </row>
    <row r="790" ht="15.75" customHeight="1">
      <c r="A790" s="6" t="s">
        <v>424</v>
      </c>
      <c r="B790" s="6" t="s">
        <v>1809</v>
      </c>
      <c r="C790" s="6" t="s">
        <v>1838</v>
      </c>
      <c r="D790" s="6" t="s">
        <v>501</v>
      </c>
      <c r="E790" s="6" t="s">
        <v>429</v>
      </c>
      <c r="F790" s="6" t="s">
        <v>30</v>
      </c>
      <c r="G790" s="6" t="s">
        <v>556</v>
      </c>
    </row>
    <row r="791" ht="15.75" customHeight="1">
      <c r="A791" s="6" t="s">
        <v>424</v>
      </c>
      <c r="B791" s="6" t="s">
        <v>1809</v>
      </c>
      <c r="C791" s="6" t="s">
        <v>1838</v>
      </c>
      <c r="D791" s="6" t="s">
        <v>576</v>
      </c>
      <c r="E791" s="6" t="s">
        <v>429</v>
      </c>
      <c r="F791" s="6" t="s">
        <v>30</v>
      </c>
      <c r="G791" s="6" t="s">
        <v>459</v>
      </c>
    </row>
    <row r="792" ht="15.75" customHeight="1">
      <c r="A792" s="6" t="s">
        <v>424</v>
      </c>
      <c r="B792" s="6" t="s">
        <v>1809</v>
      </c>
      <c r="C792" s="6" t="s">
        <v>1838</v>
      </c>
      <c r="D792" s="6" t="s">
        <v>445</v>
      </c>
      <c r="E792" s="6" t="s">
        <v>429</v>
      </c>
      <c r="F792" s="6" t="s">
        <v>30</v>
      </c>
      <c r="G792" s="6" t="s">
        <v>556</v>
      </c>
    </row>
    <row r="793" ht="15.75" customHeight="1">
      <c r="A793" s="6" t="s">
        <v>424</v>
      </c>
      <c r="B793" s="6" t="s">
        <v>1809</v>
      </c>
      <c r="C793" s="6" t="s">
        <v>1838</v>
      </c>
      <c r="D793" s="6" t="s">
        <v>445</v>
      </c>
      <c r="E793" s="6" t="s">
        <v>429</v>
      </c>
      <c r="F793" s="6" t="s">
        <v>30</v>
      </c>
      <c r="G793" s="6" t="s">
        <v>438</v>
      </c>
    </row>
    <row r="794" ht="15.75" customHeight="1">
      <c r="A794" s="6" t="s">
        <v>424</v>
      </c>
      <c r="B794" s="6" t="s">
        <v>1809</v>
      </c>
      <c r="C794" s="6" t="s">
        <v>1838</v>
      </c>
      <c r="D794" s="6" t="s">
        <v>588</v>
      </c>
      <c r="E794" s="6" t="s">
        <v>429</v>
      </c>
      <c r="F794" s="6" t="s">
        <v>30</v>
      </c>
      <c r="G794" s="6" t="s">
        <v>438</v>
      </c>
    </row>
    <row r="795" ht="15.75" customHeight="1">
      <c r="A795" s="6" t="s">
        <v>424</v>
      </c>
      <c r="B795" s="6" t="s">
        <v>1809</v>
      </c>
      <c r="C795" s="6" t="s">
        <v>1838</v>
      </c>
      <c r="D795" s="6" t="s">
        <v>428</v>
      </c>
      <c r="E795" s="6" t="s">
        <v>429</v>
      </c>
      <c r="F795" s="6" t="s">
        <v>30</v>
      </c>
      <c r="G795" s="6" t="s">
        <v>556</v>
      </c>
    </row>
    <row r="796" ht="15.75" customHeight="1">
      <c r="A796" s="6" t="s">
        <v>521</v>
      </c>
      <c r="B796" s="6" t="s">
        <v>1809</v>
      </c>
      <c r="C796" s="6" t="s">
        <v>1838</v>
      </c>
      <c r="D796" s="6" t="s">
        <v>482</v>
      </c>
      <c r="E796" s="6" t="s">
        <v>429</v>
      </c>
      <c r="F796" s="6" t="s">
        <v>30</v>
      </c>
      <c r="G796" s="6" t="s">
        <v>592</v>
      </c>
    </row>
    <row r="797" ht="15.75" customHeight="1">
      <c r="A797" s="6" t="s">
        <v>521</v>
      </c>
      <c r="B797" s="6" t="s">
        <v>1809</v>
      </c>
      <c r="C797" s="6" t="s">
        <v>1838</v>
      </c>
      <c r="D797" s="6" t="s">
        <v>501</v>
      </c>
      <c r="E797" s="6" t="s">
        <v>429</v>
      </c>
      <c r="F797" s="6" t="s">
        <v>30</v>
      </c>
      <c r="G797" s="6" t="s">
        <v>541</v>
      </c>
    </row>
    <row r="798" ht="15.75" customHeight="1">
      <c r="A798" s="6" t="s">
        <v>521</v>
      </c>
      <c r="B798" s="6" t="s">
        <v>1809</v>
      </c>
      <c r="C798" s="6" t="s">
        <v>1838</v>
      </c>
      <c r="D798" s="6" t="s">
        <v>445</v>
      </c>
      <c r="E798" s="6" t="s">
        <v>553</v>
      </c>
      <c r="F798" s="6" t="s">
        <v>561</v>
      </c>
      <c r="G798" s="6" t="s">
        <v>459</v>
      </c>
    </row>
    <row r="799" ht="15.75" customHeight="1">
      <c r="A799" s="6" t="s">
        <v>521</v>
      </c>
      <c r="B799" s="6" t="s">
        <v>1809</v>
      </c>
      <c r="C799" s="6" t="s">
        <v>1838</v>
      </c>
      <c r="D799" s="6" t="s">
        <v>608</v>
      </c>
      <c r="E799" s="6" t="s">
        <v>429</v>
      </c>
      <c r="F799" s="6" t="s">
        <v>30</v>
      </c>
      <c r="G799" s="6" t="s">
        <v>714</v>
      </c>
    </row>
    <row r="800" ht="15.75" customHeight="1">
      <c r="A800" s="6" t="s">
        <v>521</v>
      </c>
      <c r="B800" s="6" t="s">
        <v>1809</v>
      </c>
      <c r="C800" s="6" t="s">
        <v>1838</v>
      </c>
      <c r="D800" s="6" t="s">
        <v>576</v>
      </c>
      <c r="E800" s="6" t="s">
        <v>429</v>
      </c>
      <c r="F800" s="6" t="s">
        <v>30</v>
      </c>
      <c r="G800" s="6" t="s">
        <v>438</v>
      </c>
    </row>
    <row r="801" ht="15.75" customHeight="1">
      <c r="A801" s="6" t="s">
        <v>521</v>
      </c>
      <c r="B801" s="6" t="s">
        <v>1809</v>
      </c>
      <c r="C801" s="6" t="s">
        <v>1838</v>
      </c>
      <c r="D801" s="6" t="s">
        <v>445</v>
      </c>
      <c r="E801" s="6" t="s">
        <v>429</v>
      </c>
      <c r="F801" s="6" t="s">
        <v>30</v>
      </c>
      <c r="G801" s="6" t="s">
        <v>541</v>
      </c>
    </row>
    <row r="802" ht="15.75" customHeight="1">
      <c r="A802" s="6" t="s">
        <v>521</v>
      </c>
      <c r="B802" s="6" t="s">
        <v>1809</v>
      </c>
      <c r="C802" s="6" t="s">
        <v>1838</v>
      </c>
      <c r="D802" s="6" t="s">
        <v>565</v>
      </c>
      <c r="E802" s="6" t="s">
        <v>429</v>
      </c>
      <c r="F802" s="6" t="s">
        <v>30</v>
      </c>
      <c r="G802" s="6" t="s">
        <v>714</v>
      </c>
    </row>
    <row r="803" ht="15.75" customHeight="1">
      <c r="A803" s="6" t="s">
        <v>521</v>
      </c>
      <c r="B803" s="6" t="s">
        <v>1809</v>
      </c>
      <c r="C803" s="6" t="s">
        <v>1838</v>
      </c>
      <c r="D803" s="6" t="s">
        <v>616</v>
      </c>
      <c r="E803" s="6" t="s">
        <v>429</v>
      </c>
      <c r="F803" s="6" t="s">
        <v>30</v>
      </c>
      <c r="G803" s="6" t="s">
        <v>541</v>
      </c>
    </row>
    <row r="804" ht="15.75" customHeight="1">
      <c r="A804" s="6" t="s">
        <v>521</v>
      </c>
      <c r="B804" s="6" t="s">
        <v>1809</v>
      </c>
      <c r="C804" s="6" t="s">
        <v>1838</v>
      </c>
      <c r="D804" s="6" t="s">
        <v>457</v>
      </c>
      <c r="E804" s="6" t="s">
        <v>429</v>
      </c>
      <c r="F804" s="6" t="s">
        <v>30</v>
      </c>
      <c r="G804" s="6" t="s">
        <v>541</v>
      </c>
    </row>
    <row r="805" ht="15.75" customHeight="1">
      <c r="A805" s="6" t="s">
        <v>521</v>
      </c>
      <c r="B805" s="6" t="s">
        <v>1809</v>
      </c>
      <c r="C805" s="6" t="s">
        <v>1838</v>
      </c>
      <c r="D805" s="6" t="s">
        <v>588</v>
      </c>
      <c r="E805" s="6" t="s">
        <v>429</v>
      </c>
      <c r="F805" s="6" t="s">
        <v>30</v>
      </c>
      <c r="G805" s="6" t="s">
        <v>556</v>
      </c>
    </row>
    <row r="806" ht="15.75" customHeight="1">
      <c r="A806" s="6" t="s">
        <v>521</v>
      </c>
      <c r="B806" s="6" t="s">
        <v>1809</v>
      </c>
      <c r="C806" s="6" t="s">
        <v>1838</v>
      </c>
      <c r="D806" s="6" t="s">
        <v>639</v>
      </c>
      <c r="E806" s="6" t="s">
        <v>429</v>
      </c>
      <c r="F806" s="6" t="s">
        <v>30</v>
      </c>
      <c r="G806" s="6" t="s">
        <v>556</v>
      </c>
    </row>
    <row r="807" ht="15.75" customHeight="1">
      <c r="A807" s="6" t="s">
        <v>521</v>
      </c>
      <c r="B807" s="6" t="s">
        <v>1809</v>
      </c>
      <c r="C807" s="6" t="s">
        <v>1838</v>
      </c>
      <c r="D807" s="6" t="s">
        <v>539</v>
      </c>
      <c r="E807" s="6" t="s">
        <v>30</v>
      </c>
      <c r="F807" s="6" t="s">
        <v>30</v>
      </c>
      <c r="G807" s="6" t="s">
        <v>592</v>
      </c>
    </row>
    <row r="808" ht="15.75" customHeight="1">
      <c r="A808" s="6" t="s">
        <v>521</v>
      </c>
      <c r="B808" s="6" t="s">
        <v>1809</v>
      </c>
      <c r="C808" s="6" t="s">
        <v>1838</v>
      </c>
      <c r="D808" s="6" t="s">
        <v>588</v>
      </c>
      <c r="E808" s="6" t="s">
        <v>429</v>
      </c>
      <c r="F808" s="6" t="s">
        <v>30</v>
      </c>
      <c r="G808" s="6" t="s">
        <v>592</v>
      </c>
    </row>
    <row r="809" ht="15.75" customHeight="1">
      <c r="A809" s="6" t="s">
        <v>521</v>
      </c>
      <c r="B809" s="6" t="s">
        <v>1809</v>
      </c>
      <c r="C809" s="6" t="s">
        <v>1838</v>
      </c>
      <c r="D809" s="6" t="s">
        <v>639</v>
      </c>
      <c r="E809" s="6" t="s">
        <v>429</v>
      </c>
      <c r="F809" s="6" t="s">
        <v>30</v>
      </c>
      <c r="G809" s="6" t="s">
        <v>592</v>
      </c>
    </row>
    <row r="810" ht="15.75" customHeight="1">
      <c r="A810" s="6" t="s">
        <v>613</v>
      </c>
      <c r="B810" s="6" t="s">
        <v>1809</v>
      </c>
      <c r="C810" s="6" t="s">
        <v>1838</v>
      </c>
      <c r="D810" s="6" t="s">
        <v>428</v>
      </c>
      <c r="E810" s="6" t="s">
        <v>490</v>
      </c>
      <c r="F810" s="6" t="s">
        <v>59</v>
      </c>
      <c r="G810" s="6" t="s">
        <v>541</v>
      </c>
    </row>
    <row r="811" ht="15.75" customHeight="1">
      <c r="A811" s="6" t="s">
        <v>613</v>
      </c>
      <c r="B811" s="6" t="s">
        <v>1809</v>
      </c>
      <c r="C811" s="6" t="s">
        <v>1838</v>
      </c>
      <c r="D811" s="6" t="s">
        <v>588</v>
      </c>
      <c r="E811" s="6" t="s">
        <v>437</v>
      </c>
      <c r="F811" s="6" t="s">
        <v>59</v>
      </c>
      <c r="G811" s="6" t="s">
        <v>541</v>
      </c>
    </row>
    <row r="812" ht="15.75" customHeight="1">
      <c r="A812" s="6" t="s">
        <v>613</v>
      </c>
      <c r="B812" s="6" t="s">
        <v>1809</v>
      </c>
      <c r="C812" s="6" t="s">
        <v>1838</v>
      </c>
      <c r="D812" s="6" t="s">
        <v>539</v>
      </c>
      <c r="E812" s="6" t="s">
        <v>519</v>
      </c>
      <c r="F812" s="6" t="s">
        <v>30</v>
      </c>
      <c r="G812" s="6" t="s">
        <v>541</v>
      </c>
    </row>
    <row r="813" ht="15.75" customHeight="1">
      <c r="A813" s="6" t="s">
        <v>613</v>
      </c>
      <c r="B813" s="6" t="s">
        <v>1809</v>
      </c>
      <c r="C813" s="6" t="s">
        <v>1838</v>
      </c>
      <c r="D813" s="6" t="s">
        <v>445</v>
      </c>
      <c r="E813" s="6" t="s">
        <v>522</v>
      </c>
      <c r="F813" s="6" t="s">
        <v>59</v>
      </c>
      <c r="G813" s="6" t="s">
        <v>459</v>
      </c>
    </row>
    <row r="814" ht="15.75" customHeight="1">
      <c r="A814" s="6" t="s">
        <v>613</v>
      </c>
      <c r="B814" s="6" t="s">
        <v>1809</v>
      </c>
      <c r="C814" s="6" t="s">
        <v>1838</v>
      </c>
      <c r="D814" s="6" t="s">
        <v>565</v>
      </c>
      <c r="E814" s="6" t="s">
        <v>522</v>
      </c>
      <c r="F814" s="6" t="s">
        <v>59</v>
      </c>
      <c r="G814" s="6" t="s">
        <v>459</v>
      </c>
    </row>
    <row r="815" ht="15.75" customHeight="1">
      <c r="A815" s="6" t="s">
        <v>613</v>
      </c>
      <c r="B815" s="6" t="s">
        <v>1809</v>
      </c>
      <c r="C815" s="6" t="s">
        <v>1838</v>
      </c>
      <c r="D815" s="6" t="s">
        <v>639</v>
      </c>
      <c r="E815" s="6" t="s">
        <v>784</v>
      </c>
      <c r="F815" s="6" t="s">
        <v>59</v>
      </c>
      <c r="G815" s="6" t="s">
        <v>541</v>
      </c>
    </row>
    <row r="816" ht="15.75" customHeight="1">
      <c r="A816" s="6" t="s">
        <v>613</v>
      </c>
      <c r="B816" s="6" t="s">
        <v>1809</v>
      </c>
      <c r="C816" s="6" t="s">
        <v>1838</v>
      </c>
      <c r="D816" s="6" t="s">
        <v>639</v>
      </c>
      <c r="E816" s="6" t="s">
        <v>522</v>
      </c>
      <c r="F816" s="6" t="s">
        <v>373</v>
      </c>
      <c r="G816" s="6" t="s">
        <v>430</v>
      </c>
    </row>
    <row r="817" ht="15.75" customHeight="1">
      <c r="A817" s="6" t="s">
        <v>613</v>
      </c>
      <c r="B817" s="6" t="s">
        <v>1809</v>
      </c>
      <c r="C817" s="6" t="s">
        <v>1838</v>
      </c>
      <c r="D817" s="6" t="s">
        <v>596</v>
      </c>
      <c r="E817" s="6" t="s">
        <v>437</v>
      </c>
      <c r="F817" s="6" t="s">
        <v>30</v>
      </c>
      <c r="G817" s="6" t="s">
        <v>524</v>
      </c>
    </row>
    <row r="818" ht="15.75" customHeight="1">
      <c r="A818" s="6" t="s">
        <v>613</v>
      </c>
      <c r="B818" s="6" t="s">
        <v>1809</v>
      </c>
      <c r="C818" s="6" t="s">
        <v>1838</v>
      </c>
      <c r="D818" s="6" t="s">
        <v>428</v>
      </c>
      <c r="E818" s="6" t="s">
        <v>522</v>
      </c>
      <c r="F818" s="6" t="s">
        <v>59</v>
      </c>
      <c r="G818" s="6" t="s">
        <v>459</v>
      </c>
    </row>
    <row r="819" ht="15.75" customHeight="1">
      <c r="A819" s="6" t="s">
        <v>613</v>
      </c>
      <c r="B819" s="6" t="s">
        <v>1809</v>
      </c>
      <c r="C819" s="6" t="s">
        <v>1838</v>
      </c>
      <c r="D819" s="6" t="s">
        <v>576</v>
      </c>
      <c r="E819" s="6" t="s">
        <v>461</v>
      </c>
      <c r="F819" s="6" t="s">
        <v>30</v>
      </c>
      <c r="G819" s="6" t="s">
        <v>459</v>
      </c>
    </row>
    <row r="820" ht="15.75" customHeight="1">
      <c r="A820" s="6" t="s">
        <v>613</v>
      </c>
      <c r="B820" s="6" t="s">
        <v>1809</v>
      </c>
      <c r="C820" s="6" t="s">
        <v>1838</v>
      </c>
      <c r="D820" s="6" t="s">
        <v>445</v>
      </c>
      <c r="E820" s="6" t="s">
        <v>548</v>
      </c>
      <c r="F820" s="6" t="s">
        <v>59</v>
      </c>
      <c r="G820" s="6" t="s">
        <v>556</v>
      </c>
    </row>
    <row r="821" ht="15.75" customHeight="1">
      <c r="A821" s="6" t="s">
        <v>613</v>
      </c>
      <c r="B821" s="6" t="s">
        <v>1809</v>
      </c>
      <c r="C821" s="6" t="s">
        <v>1838</v>
      </c>
      <c r="D821" s="6" t="s">
        <v>501</v>
      </c>
      <c r="E821" s="6" t="s">
        <v>437</v>
      </c>
      <c r="F821" s="6" t="s">
        <v>59</v>
      </c>
      <c r="G821" s="6" t="s">
        <v>438</v>
      </c>
    </row>
    <row r="822" ht="15.75" customHeight="1">
      <c r="A822" s="6" t="s">
        <v>613</v>
      </c>
      <c r="B822" s="6" t="s">
        <v>1809</v>
      </c>
      <c r="C822" s="6" t="s">
        <v>1838</v>
      </c>
      <c r="D822" s="6" t="s">
        <v>428</v>
      </c>
      <c r="E822" s="6" t="s">
        <v>467</v>
      </c>
      <c r="F822" s="6" t="s">
        <v>59</v>
      </c>
      <c r="G822" s="6" t="s">
        <v>556</v>
      </c>
    </row>
    <row r="823" ht="15.75" customHeight="1">
      <c r="A823" s="6" t="s">
        <v>613</v>
      </c>
      <c r="B823" s="6" t="s">
        <v>1809</v>
      </c>
      <c r="C823" s="6" t="s">
        <v>1838</v>
      </c>
      <c r="D823" s="6" t="s">
        <v>588</v>
      </c>
      <c r="E823" s="6" t="s">
        <v>490</v>
      </c>
      <c r="F823" s="6" t="s">
        <v>59</v>
      </c>
      <c r="G823" s="6" t="s">
        <v>508</v>
      </c>
    </row>
    <row r="824" ht="15.75" customHeight="1">
      <c r="A824" s="6" t="s">
        <v>613</v>
      </c>
      <c r="B824" s="6" t="s">
        <v>1809</v>
      </c>
      <c r="C824" s="6" t="s">
        <v>1838</v>
      </c>
      <c r="D824" s="6" t="s">
        <v>501</v>
      </c>
      <c r="E824" s="6" t="s">
        <v>548</v>
      </c>
      <c r="F824" s="6" t="s">
        <v>59</v>
      </c>
      <c r="G824" s="6" t="s">
        <v>541</v>
      </c>
    </row>
    <row r="825" ht="15.75" customHeight="1">
      <c r="A825" s="6" t="s">
        <v>669</v>
      </c>
      <c r="B825" s="6" t="s">
        <v>1809</v>
      </c>
      <c r="C825" s="6" t="s">
        <v>1838</v>
      </c>
      <c r="D825" s="6" t="s">
        <v>679</v>
      </c>
      <c r="E825" s="6" t="s">
        <v>429</v>
      </c>
      <c r="F825" s="6" t="s">
        <v>59</v>
      </c>
      <c r="G825" s="6" t="s">
        <v>592</v>
      </c>
    </row>
    <row r="826" ht="15.75" customHeight="1">
      <c r="A826" s="6" t="s">
        <v>669</v>
      </c>
      <c r="B826" s="6" t="s">
        <v>1809</v>
      </c>
      <c r="C826" s="6" t="s">
        <v>1838</v>
      </c>
      <c r="D826" s="6" t="s">
        <v>781</v>
      </c>
      <c r="E826" s="6" t="s">
        <v>553</v>
      </c>
      <c r="G826" s="6" t="s">
        <v>541</v>
      </c>
    </row>
    <row r="827" ht="15.75" customHeight="1">
      <c r="A827" s="6" t="s">
        <v>669</v>
      </c>
      <c r="B827" s="6" t="s">
        <v>1809</v>
      </c>
      <c r="C827" s="6" t="s">
        <v>1838</v>
      </c>
      <c r="D827" s="6" t="s">
        <v>848</v>
      </c>
      <c r="E827" s="6" t="s">
        <v>429</v>
      </c>
      <c r="F827" s="6" t="s">
        <v>59</v>
      </c>
      <c r="G827" s="6" t="s">
        <v>459</v>
      </c>
    </row>
    <row r="828" ht="15.75" customHeight="1">
      <c r="A828" s="6" t="s">
        <v>669</v>
      </c>
      <c r="B828" s="6" t="s">
        <v>1809</v>
      </c>
      <c r="C828" s="6" t="s">
        <v>1838</v>
      </c>
      <c r="D828" s="6" t="s">
        <v>764</v>
      </c>
      <c r="E828" s="6" t="s">
        <v>429</v>
      </c>
      <c r="F828" s="6" t="s">
        <v>59</v>
      </c>
      <c r="G828" s="6" t="s">
        <v>541</v>
      </c>
    </row>
    <row r="829" ht="15.75" customHeight="1">
      <c r="A829" s="6" t="s">
        <v>669</v>
      </c>
      <c r="B829" s="6" t="s">
        <v>1809</v>
      </c>
      <c r="C829" s="6" t="s">
        <v>1838</v>
      </c>
      <c r="D829" s="6" t="s">
        <v>837</v>
      </c>
      <c r="E829" s="6" t="s">
        <v>429</v>
      </c>
      <c r="F829" s="6" t="s">
        <v>59</v>
      </c>
      <c r="G829" s="6" t="s">
        <v>592</v>
      </c>
    </row>
    <row r="830" ht="15.75" customHeight="1">
      <c r="A830" s="6" t="s">
        <v>669</v>
      </c>
      <c r="B830" s="6" t="s">
        <v>1809</v>
      </c>
      <c r="C830" s="6" t="s">
        <v>1838</v>
      </c>
      <c r="D830" s="6" t="s">
        <v>670</v>
      </c>
      <c r="E830" s="6" t="s">
        <v>429</v>
      </c>
      <c r="F830" s="6" t="s">
        <v>59</v>
      </c>
      <c r="G830" s="6" t="s">
        <v>714</v>
      </c>
    </row>
    <row r="831" ht="15.75" customHeight="1">
      <c r="A831" s="6" t="s">
        <v>669</v>
      </c>
      <c r="B831" s="6" t="s">
        <v>1809</v>
      </c>
      <c r="C831" s="6" t="s">
        <v>1838</v>
      </c>
      <c r="D831" s="6" t="s">
        <v>866</v>
      </c>
      <c r="E831" s="6" t="s">
        <v>429</v>
      </c>
      <c r="F831" s="6" t="s">
        <v>59</v>
      </c>
      <c r="G831" s="6" t="s">
        <v>508</v>
      </c>
    </row>
    <row r="832" ht="15.75" customHeight="1">
      <c r="A832" s="6" t="s">
        <v>669</v>
      </c>
      <c r="B832" s="6" t="s">
        <v>1809</v>
      </c>
      <c r="C832" s="6" t="s">
        <v>1838</v>
      </c>
      <c r="D832" s="6" t="s">
        <v>672</v>
      </c>
      <c r="E832" s="6" t="s">
        <v>429</v>
      </c>
      <c r="F832" s="6" t="s">
        <v>59</v>
      </c>
      <c r="G832" s="6" t="s">
        <v>592</v>
      </c>
    </row>
    <row r="833" ht="15.75" customHeight="1">
      <c r="A833" s="6" t="s">
        <v>669</v>
      </c>
      <c r="B833" s="6" t="s">
        <v>1809</v>
      </c>
      <c r="C833" s="6" t="s">
        <v>1838</v>
      </c>
      <c r="D833" s="6" t="s">
        <v>870</v>
      </c>
      <c r="E833" s="6" t="s">
        <v>429</v>
      </c>
      <c r="F833" s="6" t="s">
        <v>59</v>
      </c>
      <c r="G833" s="6" t="s">
        <v>714</v>
      </c>
    </row>
    <row r="834" ht="15.75" customHeight="1">
      <c r="A834" s="6" t="s">
        <v>669</v>
      </c>
      <c r="B834" s="6" t="s">
        <v>1809</v>
      </c>
      <c r="C834" s="6" t="s">
        <v>1838</v>
      </c>
      <c r="D834" s="6" t="s">
        <v>670</v>
      </c>
      <c r="E834" s="6" t="s">
        <v>429</v>
      </c>
      <c r="F834" s="6" t="s">
        <v>373</v>
      </c>
      <c r="G834" s="6" t="s">
        <v>714</v>
      </c>
    </row>
    <row r="835" ht="15.75" customHeight="1">
      <c r="A835" s="6" t="s">
        <v>745</v>
      </c>
      <c r="B835" s="6" t="s">
        <v>1809</v>
      </c>
      <c r="C835" s="6" t="s">
        <v>1838</v>
      </c>
      <c r="D835" s="6" t="s">
        <v>672</v>
      </c>
      <c r="E835" s="6" t="s">
        <v>429</v>
      </c>
      <c r="F835" s="6" t="s">
        <v>59</v>
      </c>
      <c r="G835" s="6" t="s">
        <v>541</v>
      </c>
    </row>
    <row r="836" ht="15.75" customHeight="1">
      <c r="A836" s="6" t="s">
        <v>745</v>
      </c>
      <c r="B836" s="6" t="s">
        <v>1809</v>
      </c>
      <c r="C836" s="6" t="s">
        <v>1838</v>
      </c>
      <c r="D836" s="6" t="s">
        <v>700</v>
      </c>
      <c r="E836" s="6" t="s">
        <v>429</v>
      </c>
      <c r="F836" s="6" t="s">
        <v>59</v>
      </c>
      <c r="G836" s="6" t="s">
        <v>541</v>
      </c>
    </row>
    <row r="837" ht="15.75" customHeight="1">
      <c r="A837" s="6" t="s">
        <v>745</v>
      </c>
      <c r="B837" s="6" t="s">
        <v>1809</v>
      </c>
      <c r="C837" s="6" t="s">
        <v>1838</v>
      </c>
      <c r="D837" s="6" t="s">
        <v>840</v>
      </c>
      <c r="E837" s="6" t="s">
        <v>429</v>
      </c>
      <c r="F837" s="6" t="s">
        <v>59</v>
      </c>
      <c r="G837" s="6" t="s">
        <v>459</v>
      </c>
    </row>
    <row r="838" ht="15.75" customHeight="1">
      <c r="A838" s="6" t="s">
        <v>745</v>
      </c>
      <c r="B838" s="6" t="s">
        <v>1809</v>
      </c>
      <c r="C838" s="6" t="s">
        <v>1838</v>
      </c>
      <c r="D838" s="6" t="s">
        <v>848</v>
      </c>
      <c r="E838" s="6" t="s">
        <v>429</v>
      </c>
      <c r="F838" s="6" t="s">
        <v>59</v>
      </c>
      <c r="G838" s="6" t="s">
        <v>459</v>
      </c>
    </row>
    <row r="839" ht="15.75" customHeight="1">
      <c r="A839" s="6" t="s">
        <v>745</v>
      </c>
      <c r="B839" s="6" t="s">
        <v>1809</v>
      </c>
      <c r="C839" s="6" t="s">
        <v>1838</v>
      </c>
      <c r="D839" s="6" t="s">
        <v>764</v>
      </c>
      <c r="E839" s="6" t="s">
        <v>429</v>
      </c>
      <c r="F839" s="6" t="s">
        <v>59</v>
      </c>
      <c r="G839" s="6" t="s">
        <v>459</v>
      </c>
    </row>
    <row r="840" ht="15.75" customHeight="1">
      <c r="A840" s="6" t="s">
        <v>745</v>
      </c>
      <c r="B840" s="6" t="s">
        <v>1809</v>
      </c>
      <c r="C840" s="6" t="s">
        <v>1838</v>
      </c>
      <c r="D840" s="6" t="s">
        <v>764</v>
      </c>
      <c r="E840" s="6" t="s">
        <v>429</v>
      </c>
      <c r="F840" s="6" t="s">
        <v>59</v>
      </c>
      <c r="G840" s="6" t="s">
        <v>541</v>
      </c>
    </row>
    <row r="841" ht="15.75" customHeight="1">
      <c r="A841" s="6" t="s">
        <v>745</v>
      </c>
      <c r="B841" s="6" t="s">
        <v>1809</v>
      </c>
      <c r="C841" s="6" t="s">
        <v>1838</v>
      </c>
      <c r="D841" s="6" t="s">
        <v>899</v>
      </c>
      <c r="E841" s="6" t="s">
        <v>429</v>
      </c>
      <c r="F841" s="6" t="s">
        <v>30</v>
      </c>
      <c r="G841" s="6" t="s">
        <v>524</v>
      </c>
    </row>
    <row r="842" ht="15.75" customHeight="1">
      <c r="A842" s="6" t="s">
        <v>745</v>
      </c>
      <c r="B842" s="6" t="s">
        <v>1809</v>
      </c>
      <c r="C842" s="6" t="s">
        <v>1838</v>
      </c>
      <c r="D842" s="6" t="s">
        <v>837</v>
      </c>
      <c r="E842" s="6" t="s">
        <v>429</v>
      </c>
      <c r="F842" s="6" t="s">
        <v>59</v>
      </c>
      <c r="G842" s="6" t="s">
        <v>459</v>
      </c>
    </row>
    <row r="843" ht="15.75" customHeight="1">
      <c r="A843" s="6" t="s">
        <v>745</v>
      </c>
      <c r="B843" s="6" t="s">
        <v>1809</v>
      </c>
      <c r="C843" s="6" t="s">
        <v>1838</v>
      </c>
      <c r="D843" s="6" t="s">
        <v>840</v>
      </c>
      <c r="E843" s="6" t="s">
        <v>429</v>
      </c>
      <c r="F843" s="6" t="s">
        <v>59</v>
      </c>
      <c r="G843" s="6" t="s">
        <v>508</v>
      </c>
    </row>
    <row r="844" ht="15.75" customHeight="1">
      <c r="A844" s="6" t="s">
        <v>745</v>
      </c>
      <c r="B844" s="6" t="s">
        <v>1809</v>
      </c>
      <c r="C844" s="6" t="s">
        <v>1838</v>
      </c>
      <c r="D844" s="6" t="s">
        <v>690</v>
      </c>
      <c r="E844" s="6" t="s">
        <v>429</v>
      </c>
      <c r="F844" s="6" t="s">
        <v>59</v>
      </c>
      <c r="G844" s="6" t="s">
        <v>438</v>
      </c>
    </row>
    <row r="845" ht="15.75" customHeight="1">
      <c r="A845" s="6" t="s">
        <v>745</v>
      </c>
      <c r="B845" s="6" t="s">
        <v>1809</v>
      </c>
      <c r="C845" s="6" t="s">
        <v>1838</v>
      </c>
      <c r="D845" s="6" t="s">
        <v>870</v>
      </c>
      <c r="E845" s="6" t="s">
        <v>429</v>
      </c>
      <c r="F845" s="6" t="s">
        <v>59</v>
      </c>
      <c r="G845" s="6" t="s">
        <v>541</v>
      </c>
    </row>
    <row r="846" ht="15.75" customHeight="1">
      <c r="A846" s="6" t="s">
        <v>745</v>
      </c>
      <c r="B846" s="6" t="s">
        <v>1809</v>
      </c>
      <c r="C846" s="6" t="s">
        <v>1838</v>
      </c>
      <c r="D846" s="6" t="s">
        <v>914</v>
      </c>
      <c r="E846" s="6" t="s">
        <v>553</v>
      </c>
      <c r="G846" s="6" t="s">
        <v>430</v>
      </c>
    </row>
    <row r="847" ht="15.75" customHeight="1">
      <c r="A847" s="6" t="s">
        <v>745</v>
      </c>
      <c r="B847" s="6" t="s">
        <v>1809</v>
      </c>
      <c r="C847" s="6" t="s">
        <v>1838</v>
      </c>
      <c r="D847" s="6" t="s">
        <v>840</v>
      </c>
      <c r="E847" s="6" t="s">
        <v>429</v>
      </c>
      <c r="F847" s="6" t="s">
        <v>59</v>
      </c>
      <c r="G847" s="6" t="s">
        <v>524</v>
      </c>
    </row>
    <row r="848" ht="15.75" customHeight="1">
      <c r="A848" s="6" t="s">
        <v>745</v>
      </c>
      <c r="B848" s="6" t="s">
        <v>1809</v>
      </c>
      <c r="C848" s="6" t="s">
        <v>1838</v>
      </c>
      <c r="D848" s="6" t="s">
        <v>672</v>
      </c>
      <c r="E848" s="6" t="s">
        <v>429</v>
      </c>
      <c r="F848" s="6" t="s">
        <v>59</v>
      </c>
      <c r="G848" s="6" t="s">
        <v>459</v>
      </c>
    </row>
    <row r="849" ht="15.75" customHeight="1">
      <c r="A849" s="6" t="s">
        <v>745</v>
      </c>
      <c r="B849" s="6" t="s">
        <v>1809</v>
      </c>
      <c r="C849" s="6" t="s">
        <v>1838</v>
      </c>
      <c r="D849" s="6" t="s">
        <v>700</v>
      </c>
      <c r="E849" s="6" t="s">
        <v>429</v>
      </c>
      <c r="F849" s="6" t="s">
        <v>373</v>
      </c>
      <c r="G849" s="6" t="s">
        <v>524</v>
      </c>
    </row>
    <row r="850" ht="15.75" customHeight="1">
      <c r="A850" s="6" t="s">
        <v>745</v>
      </c>
      <c r="B850" s="6" t="s">
        <v>1809</v>
      </c>
      <c r="C850" s="6" t="s">
        <v>1838</v>
      </c>
      <c r="D850" s="6" t="s">
        <v>764</v>
      </c>
      <c r="E850" s="6" t="s">
        <v>429</v>
      </c>
      <c r="F850" s="6" t="s">
        <v>59</v>
      </c>
      <c r="G850" s="6" t="s">
        <v>556</v>
      </c>
    </row>
    <row r="851" ht="15.75" customHeight="1">
      <c r="A851" s="6" t="s">
        <v>745</v>
      </c>
      <c r="B851" s="6" t="s">
        <v>1809</v>
      </c>
      <c r="C851" s="6" t="s">
        <v>1838</v>
      </c>
      <c r="D851" s="6" t="s">
        <v>781</v>
      </c>
      <c r="E851" s="6" t="s">
        <v>429</v>
      </c>
      <c r="F851" s="6" t="s">
        <v>373</v>
      </c>
      <c r="G851" s="6" t="s">
        <v>438</v>
      </c>
    </row>
    <row r="852" ht="15.75" customHeight="1">
      <c r="A852" s="6" t="s">
        <v>745</v>
      </c>
      <c r="B852" s="6" t="s">
        <v>1809</v>
      </c>
      <c r="C852" s="6" t="s">
        <v>1838</v>
      </c>
      <c r="D852" s="6" t="s">
        <v>700</v>
      </c>
      <c r="E852" s="6" t="s">
        <v>429</v>
      </c>
      <c r="F852" s="6" t="s">
        <v>59</v>
      </c>
      <c r="G852" s="6" t="s">
        <v>438</v>
      </c>
    </row>
    <row r="853" ht="15.75" customHeight="1">
      <c r="A853" s="6" t="s">
        <v>745</v>
      </c>
      <c r="B853" s="6" t="s">
        <v>1809</v>
      </c>
      <c r="C853" s="6" t="s">
        <v>1838</v>
      </c>
      <c r="D853" s="6" t="s">
        <v>781</v>
      </c>
      <c r="E853" s="6" t="s">
        <v>429</v>
      </c>
      <c r="F853" s="6" t="s">
        <v>59</v>
      </c>
      <c r="G853" s="6" t="s">
        <v>556</v>
      </c>
    </row>
    <row r="854" ht="15.75" customHeight="1">
      <c r="A854" s="6" t="s">
        <v>818</v>
      </c>
      <c r="B854" s="6" t="s">
        <v>1809</v>
      </c>
      <c r="C854" s="6" t="s">
        <v>1838</v>
      </c>
      <c r="D854" s="6" t="s">
        <v>899</v>
      </c>
      <c r="E854" s="6" t="s">
        <v>429</v>
      </c>
      <c r="F854" s="6" t="s">
        <v>59</v>
      </c>
      <c r="G854" s="6" t="s">
        <v>592</v>
      </c>
    </row>
    <row r="855" ht="15.75" customHeight="1">
      <c r="A855" s="6" t="s">
        <v>818</v>
      </c>
      <c r="B855" s="6" t="s">
        <v>1809</v>
      </c>
      <c r="C855" s="6" t="s">
        <v>1838</v>
      </c>
      <c r="D855" s="6" t="s">
        <v>781</v>
      </c>
      <c r="E855" s="6" t="s">
        <v>429</v>
      </c>
      <c r="F855" s="6" t="s">
        <v>59</v>
      </c>
      <c r="G855" s="6" t="s">
        <v>541</v>
      </c>
    </row>
    <row r="856" ht="15.75" customHeight="1">
      <c r="A856" s="6" t="s">
        <v>818</v>
      </c>
      <c r="B856" s="6" t="s">
        <v>1809</v>
      </c>
      <c r="C856" s="6" t="s">
        <v>1838</v>
      </c>
      <c r="D856" s="6" t="s">
        <v>670</v>
      </c>
      <c r="E856" s="6" t="s">
        <v>553</v>
      </c>
      <c r="G856" s="6" t="s">
        <v>592</v>
      </c>
    </row>
    <row r="857" ht="15.75" customHeight="1">
      <c r="A857" s="6" t="s">
        <v>818</v>
      </c>
      <c r="B857" s="6" t="s">
        <v>1809</v>
      </c>
      <c r="C857" s="6" t="s">
        <v>1838</v>
      </c>
      <c r="D857" s="6" t="s">
        <v>672</v>
      </c>
      <c r="E857" s="6" t="s">
        <v>429</v>
      </c>
      <c r="F857" s="6" t="s">
        <v>59</v>
      </c>
      <c r="G857" s="6" t="s">
        <v>459</v>
      </c>
    </row>
    <row r="858" ht="15.75" customHeight="1">
      <c r="A858" s="6" t="s">
        <v>818</v>
      </c>
      <c r="B858" s="6" t="s">
        <v>1809</v>
      </c>
      <c r="C858" s="6" t="s">
        <v>1838</v>
      </c>
      <c r="D858" s="6" t="s">
        <v>764</v>
      </c>
      <c r="E858" s="6" t="s">
        <v>429</v>
      </c>
      <c r="F858" s="6" t="s">
        <v>59</v>
      </c>
      <c r="G858" s="6" t="s">
        <v>541</v>
      </c>
    </row>
    <row r="859" ht="15.75" customHeight="1">
      <c r="A859" s="6" t="s">
        <v>818</v>
      </c>
      <c r="B859" s="6" t="s">
        <v>1809</v>
      </c>
      <c r="C859" s="6" t="s">
        <v>1838</v>
      </c>
      <c r="D859" s="6" t="s">
        <v>670</v>
      </c>
      <c r="E859" s="6" t="s">
        <v>429</v>
      </c>
      <c r="F859" s="6" t="s">
        <v>373</v>
      </c>
      <c r="G859" s="6" t="s">
        <v>714</v>
      </c>
    </row>
    <row r="860" ht="15.75" customHeight="1">
      <c r="A860" s="6" t="s">
        <v>818</v>
      </c>
      <c r="B860" s="6" t="s">
        <v>1809</v>
      </c>
      <c r="C860" s="6" t="s">
        <v>1838</v>
      </c>
      <c r="D860" s="6" t="s">
        <v>700</v>
      </c>
      <c r="E860" s="6" t="s">
        <v>429</v>
      </c>
      <c r="F860" s="6" t="s">
        <v>59</v>
      </c>
      <c r="G860" s="6" t="s">
        <v>592</v>
      </c>
    </row>
    <row r="861" ht="15.75" customHeight="1">
      <c r="A861" s="6" t="s">
        <v>818</v>
      </c>
      <c r="B861" s="6" t="s">
        <v>1809</v>
      </c>
      <c r="C861" s="6" t="s">
        <v>1838</v>
      </c>
      <c r="D861" s="6" t="s">
        <v>672</v>
      </c>
      <c r="E861" s="6" t="s">
        <v>429</v>
      </c>
      <c r="F861" s="6" t="s">
        <v>373</v>
      </c>
      <c r="G861" s="6" t="s">
        <v>541</v>
      </c>
    </row>
    <row r="862" ht="15.75" customHeight="1">
      <c r="A862" s="6" t="s">
        <v>818</v>
      </c>
      <c r="B862" s="6" t="s">
        <v>1809</v>
      </c>
      <c r="C862" s="6" t="s">
        <v>1838</v>
      </c>
      <c r="D862" s="6" t="s">
        <v>848</v>
      </c>
      <c r="E862" s="6" t="s">
        <v>429</v>
      </c>
      <c r="F862" s="6" t="s">
        <v>59</v>
      </c>
      <c r="G862" s="6" t="s">
        <v>541</v>
      </c>
    </row>
    <row r="863" ht="15.75" customHeight="1">
      <c r="A863" s="6" t="s">
        <v>818</v>
      </c>
      <c r="B863" s="6" t="s">
        <v>1809</v>
      </c>
      <c r="C863" s="6" t="s">
        <v>1838</v>
      </c>
      <c r="D863" s="6" t="s">
        <v>848</v>
      </c>
      <c r="E863" s="6" t="s">
        <v>429</v>
      </c>
      <c r="F863" s="6" t="s">
        <v>59</v>
      </c>
      <c r="G863" s="6" t="s">
        <v>714</v>
      </c>
    </row>
    <row r="864" ht="15.75" customHeight="1">
      <c r="A864" s="6" t="s">
        <v>818</v>
      </c>
      <c r="B864" s="6" t="s">
        <v>1809</v>
      </c>
      <c r="C864" s="6" t="s">
        <v>1838</v>
      </c>
      <c r="D864" s="6" t="s">
        <v>684</v>
      </c>
      <c r="E864" s="6" t="s">
        <v>429</v>
      </c>
      <c r="F864" s="6" t="s">
        <v>59</v>
      </c>
      <c r="G864" s="6" t="s">
        <v>541</v>
      </c>
    </row>
    <row r="865" ht="15.75" customHeight="1">
      <c r="A865" s="6" t="s">
        <v>818</v>
      </c>
      <c r="B865" s="6" t="s">
        <v>1809</v>
      </c>
      <c r="C865" s="6" t="s">
        <v>1838</v>
      </c>
      <c r="D865" s="6" t="s">
        <v>700</v>
      </c>
      <c r="E865" s="6" t="s">
        <v>429</v>
      </c>
      <c r="F865" s="6" t="s">
        <v>59</v>
      </c>
      <c r="G865" s="6" t="s">
        <v>556</v>
      </c>
    </row>
    <row r="866" ht="15.75" customHeight="1">
      <c r="A866" s="6" t="s">
        <v>818</v>
      </c>
      <c r="B866" s="6" t="s">
        <v>1809</v>
      </c>
      <c r="C866" s="6" t="s">
        <v>1838</v>
      </c>
      <c r="D866" s="6" t="s">
        <v>781</v>
      </c>
      <c r="E866" s="6" t="s">
        <v>429</v>
      </c>
      <c r="F866" s="6" t="s">
        <v>373</v>
      </c>
      <c r="G866" s="6" t="s">
        <v>714</v>
      </c>
    </row>
    <row r="867" ht="15.75" customHeight="1">
      <c r="A867" s="6" t="s">
        <v>818</v>
      </c>
      <c r="B867" s="6" t="s">
        <v>1809</v>
      </c>
      <c r="C867" s="6" t="s">
        <v>1838</v>
      </c>
      <c r="D867" s="6" t="s">
        <v>870</v>
      </c>
      <c r="E867" s="6" t="s">
        <v>429</v>
      </c>
      <c r="F867" s="6" t="s">
        <v>59</v>
      </c>
      <c r="G867" s="6" t="s">
        <v>556</v>
      </c>
    </row>
    <row r="868" ht="15.75" customHeight="1">
      <c r="A868" s="6" t="s">
        <v>818</v>
      </c>
      <c r="B868" s="6" t="s">
        <v>1809</v>
      </c>
      <c r="C868" s="6" t="s">
        <v>1838</v>
      </c>
      <c r="D868" s="6" t="s">
        <v>670</v>
      </c>
      <c r="E868" s="6" t="s">
        <v>429</v>
      </c>
      <c r="F868" s="6" t="s">
        <v>373</v>
      </c>
      <c r="G868" s="6" t="s">
        <v>714</v>
      </c>
    </row>
    <row r="869" ht="15.75" customHeight="1">
      <c r="A869" s="6" t="s">
        <v>818</v>
      </c>
      <c r="B869" s="6" t="s">
        <v>1809</v>
      </c>
      <c r="C869" s="6" t="s">
        <v>1838</v>
      </c>
      <c r="D869" s="6" t="s">
        <v>840</v>
      </c>
      <c r="E869" s="6" t="s">
        <v>429</v>
      </c>
      <c r="F869" s="6" t="s">
        <v>59</v>
      </c>
      <c r="G869" s="6" t="s">
        <v>592</v>
      </c>
    </row>
    <row r="870" ht="15.75" customHeight="1">
      <c r="A870" s="6" t="s">
        <v>818</v>
      </c>
      <c r="B870" s="6" t="s">
        <v>1809</v>
      </c>
      <c r="C870" s="6" t="s">
        <v>1838</v>
      </c>
      <c r="D870" s="6" t="s">
        <v>870</v>
      </c>
      <c r="E870" s="6" t="s">
        <v>429</v>
      </c>
      <c r="F870" s="6" t="s">
        <v>59</v>
      </c>
      <c r="G870" s="6" t="s">
        <v>592</v>
      </c>
    </row>
    <row r="871" ht="15.75" customHeight="1">
      <c r="A871" s="6" t="s">
        <v>863</v>
      </c>
      <c r="B871" s="6" t="s">
        <v>1809</v>
      </c>
      <c r="C871" s="6" t="s">
        <v>1838</v>
      </c>
      <c r="D871" s="6" t="s">
        <v>672</v>
      </c>
      <c r="E871" s="6" t="s">
        <v>429</v>
      </c>
      <c r="F871" s="6" t="s">
        <v>59</v>
      </c>
      <c r="G871" s="6" t="s">
        <v>541</v>
      </c>
    </row>
    <row r="872" ht="15.75" customHeight="1">
      <c r="A872" s="6" t="s">
        <v>863</v>
      </c>
      <c r="B872" s="6" t="s">
        <v>1809</v>
      </c>
      <c r="C872" s="6" t="s">
        <v>1838</v>
      </c>
      <c r="D872" s="6" t="s">
        <v>700</v>
      </c>
      <c r="E872" s="6" t="s">
        <v>429</v>
      </c>
      <c r="F872" s="6" t="s">
        <v>59</v>
      </c>
      <c r="G872" s="6" t="s">
        <v>541</v>
      </c>
    </row>
    <row r="873" ht="15.75" customHeight="1">
      <c r="A873" s="6" t="s">
        <v>863</v>
      </c>
      <c r="B873" s="6" t="s">
        <v>1809</v>
      </c>
      <c r="C873" s="6" t="s">
        <v>1838</v>
      </c>
      <c r="D873" s="6" t="s">
        <v>825</v>
      </c>
      <c r="E873" s="6" t="s">
        <v>553</v>
      </c>
      <c r="G873" s="6" t="s">
        <v>541</v>
      </c>
    </row>
    <row r="874" ht="15.75" customHeight="1">
      <c r="A874" s="6" t="s">
        <v>863</v>
      </c>
      <c r="B874" s="6" t="s">
        <v>1809</v>
      </c>
      <c r="C874" s="6" t="s">
        <v>1838</v>
      </c>
      <c r="D874" s="6" t="s">
        <v>764</v>
      </c>
      <c r="E874" s="6" t="s">
        <v>429</v>
      </c>
      <c r="F874" s="6" t="s">
        <v>59</v>
      </c>
      <c r="G874" s="6" t="s">
        <v>459</v>
      </c>
    </row>
    <row r="875" ht="15.75" customHeight="1">
      <c r="A875" s="6" t="s">
        <v>863</v>
      </c>
      <c r="B875" s="6" t="s">
        <v>1809</v>
      </c>
      <c r="C875" s="6" t="s">
        <v>1838</v>
      </c>
      <c r="D875" s="6" t="s">
        <v>837</v>
      </c>
      <c r="E875" s="6" t="s">
        <v>429</v>
      </c>
      <c r="F875" s="6" t="s">
        <v>59</v>
      </c>
      <c r="G875" s="6" t="s">
        <v>459</v>
      </c>
    </row>
    <row r="876" ht="15.75" customHeight="1">
      <c r="A876" s="6" t="s">
        <v>863</v>
      </c>
      <c r="B876" s="6" t="s">
        <v>1809</v>
      </c>
      <c r="C876" s="6" t="s">
        <v>1838</v>
      </c>
      <c r="D876" s="6" t="s">
        <v>870</v>
      </c>
      <c r="E876" s="6" t="s">
        <v>429</v>
      </c>
      <c r="F876" s="6" t="s">
        <v>59</v>
      </c>
      <c r="G876" s="6" t="s">
        <v>541</v>
      </c>
    </row>
    <row r="877" ht="15.75" customHeight="1">
      <c r="A877" s="6" t="s">
        <v>863</v>
      </c>
      <c r="B877" s="6" t="s">
        <v>1809</v>
      </c>
      <c r="C877" s="6" t="s">
        <v>1838</v>
      </c>
      <c r="D877" s="6" t="s">
        <v>870</v>
      </c>
      <c r="E877" s="6" t="s">
        <v>429</v>
      </c>
      <c r="F877" s="6" t="s">
        <v>59</v>
      </c>
      <c r="G877" s="6" t="s">
        <v>541</v>
      </c>
    </row>
    <row r="878" ht="15.75" customHeight="1">
      <c r="A878" s="6" t="s">
        <v>863</v>
      </c>
      <c r="B878" s="6" t="s">
        <v>1809</v>
      </c>
      <c r="C878" s="6" t="s">
        <v>1838</v>
      </c>
      <c r="D878" s="6" t="s">
        <v>840</v>
      </c>
      <c r="E878" s="6" t="s">
        <v>429</v>
      </c>
      <c r="F878" s="6" t="s">
        <v>59</v>
      </c>
      <c r="G878" s="6" t="s">
        <v>524</v>
      </c>
    </row>
    <row r="879" ht="15.75" customHeight="1">
      <c r="A879" s="6" t="s">
        <v>863</v>
      </c>
      <c r="B879" s="6" t="s">
        <v>1809</v>
      </c>
      <c r="C879" s="6" t="s">
        <v>1838</v>
      </c>
      <c r="D879" s="6" t="s">
        <v>672</v>
      </c>
      <c r="E879" s="6" t="s">
        <v>429</v>
      </c>
      <c r="F879" s="6" t="s">
        <v>59</v>
      </c>
      <c r="G879" s="6" t="s">
        <v>459</v>
      </c>
    </row>
    <row r="880" ht="15.75" customHeight="1">
      <c r="A880" s="6" t="s">
        <v>863</v>
      </c>
      <c r="B880" s="6" t="s">
        <v>1809</v>
      </c>
      <c r="C880" s="6" t="s">
        <v>1838</v>
      </c>
      <c r="D880" s="6" t="s">
        <v>764</v>
      </c>
      <c r="E880" s="6" t="s">
        <v>429</v>
      </c>
      <c r="F880" s="6" t="s">
        <v>59</v>
      </c>
      <c r="G880" s="6" t="s">
        <v>541</v>
      </c>
    </row>
    <row r="881" ht="15.75" customHeight="1">
      <c r="A881" s="6" t="s">
        <v>863</v>
      </c>
      <c r="B881" s="6" t="s">
        <v>1809</v>
      </c>
      <c r="C881" s="6" t="s">
        <v>1838</v>
      </c>
      <c r="D881" s="6" t="s">
        <v>764</v>
      </c>
      <c r="E881" s="6" t="s">
        <v>1000</v>
      </c>
      <c r="F881" s="6" t="s">
        <v>373</v>
      </c>
      <c r="G881" s="6" t="s">
        <v>556</v>
      </c>
    </row>
    <row r="882" ht="15.75" customHeight="1">
      <c r="A882" s="6" t="s">
        <v>863</v>
      </c>
      <c r="B882" s="6" t="s">
        <v>1809</v>
      </c>
      <c r="C882" s="6" t="s">
        <v>1838</v>
      </c>
      <c r="D882" s="6" t="s">
        <v>781</v>
      </c>
      <c r="E882" s="6" t="s">
        <v>429</v>
      </c>
      <c r="F882" s="6" t="s">
        <v>59</v>
      </c>
      <c r="G882" s="6" t="s">
        <v>438</v>
      </c>
    </row>
    <row r="883" ht="15.75" customHeight="1">
      <c r="A883" s="6" t="s">
        <v>863</v>
      </c>
      <c r="B883" s="6" t="s">
        <v>1809</v>
      </c>
      <c r="C883" s="6" t="s">
        <v>1838</v>
      </c>
      <c r="D883" s="6" t="s">
        <v>672</v>
      </c>
      <c r="E883" s="6" t="s">
        <v>1000</v>
      </c>
      <c r="G883" s="6" t="s">
        <v>556</v>
      </c>
    </row>
    <row r="884" ht="15.75" customHeight="1">
      <c r="A884" s="6" t="s">
        <v>863</v>
      </c>
      <c r="B884" s="6" t="s">
        <v>1809</v>
      </c>
      <c r="C884" s="6" t="s">
        <v>1838</v>
      </c>
      <c r="D884" s="6" t="s">
        <v>700</v>
      </c>
      <c r="E884" s="6" t="s">
        <v>429</v>
      </c>
      <c r="F884" s="6" t="s">
        <v>59</v>
      </c>
      <c r="G884" s="6" t="s">
        <v>508</v>
      </c>
    </row>
    <row r="885" ht="15.75" customHeight="1">
      <c r="A885" s="6" t="s">
        <v>863</v>
      </c>
      <c r="B885" s="6" t="s">
        <v>1809</v>
      </c>
      <c r="C885" s="6" t="s">
        <v>1838</v>
      </c>
      <c r="D885" s="6" t="s">
        <v>781</v>
      </c>
      <c r="E885" s="6" t="s">
        <v>429</v>
      </c>
      <c r="F885" s="6" t="s">
        <v>59</v>
      </c>
      <c r="G885" s="6" t="s">
        <v>541</v>
      </c>
    </row>
    <row r="886" ht="15.75" customHeight="1">
      <c r="A886" s="6" t="s">
        <v>903</v>
      </c>
      <c r="B886" s="6" t="s">
        <v>1809</v>
      </c>
      <c r="C886" s="6" t="s">
        <v>1838</v>
      </c>
      <c r="D886" s="6" t="s">
        <v>62</v>
      </c>
      <c r="E886" s="6" t="s">
        <v>461</v>
      </c>
      <c r="F886" s="6" t="s">
        <v>59</v>
      </c>
      <c r="G886" s="6" t="s">
        <v>311</v>
      </c>
    </row>
    <row r="887" ht="15.75" customHeight="1">
      <c r="A887" s="6" t="s">
        <v>903</v>
      </c>
      <c r="B887" s="6" t="s">
        <v>1809</v>
      </c>
      <c r="C887" s="6" t="s">
        <v>1838</v>
      </c>
      <c r="D887" s="6" t="s">
        <v>61</v>
      </c>
      <c r="E887" s="6" t="s">
        <v>437</v>
      </c>
      <c r="F887" s="6" t="s">
        <v>59</v>
      </c>
      <c r="G887" s="6" t="s">
        <v>37</v>
      </c>
    </row>
    <row r="888" ht="15.75" customHeight="1">
      <c r="A888" s="6" t="s">
        <v>903</v>
      </c>
      <c r="B888" s="6" t="s">
        <v>1809</v>
      </c>
      <c r="C888" s="6" t="s">
        <v>1838</v>
      </c>
      <c r="D888" s="6" t="s">
        <v>133</v>
      </c>
      <c r="E888" s="6" t="s">
        <v>522</v>
      </c>
      <c r="F888" s="6" t="s">
        <v>59</v>
      </c>
      <c r="G888" s="6" t="s">
        <v>77</v>
      </c>
    </row>
    <row r="889" ht="15.75" customHeight="1">
      <c r="A889" s="6" t="s">
        <v>903</v>
      </c>
      <c r="B889" s="6" t="s">
        <v>1809</v>
      </c>
      <c r="C889" s="6" t="s">
        <v>1838</v>
      </c>
      <c r="D889" s="6" t="s">
        <v>43</v>
      </c>
      <c r="E889" s="6" t="s">
        <v>461</v>
      </c>
      <c r="F889" s="6" t="s">
        <v>59</v>
      </c>
      <c r="G889" s="6" t="s">
        <v>311</v>
      </c>
    </row>
    <row r="890" ht="15.75" customHeight="1">
      <c r="A890" s="6" t="s">
        <v>903</v>
      </c>
      <c r="B890" s="6" t="s">
        <v>1809</v>
      </c>
      <c r="C890" s="6" t="s">
        <v>1838</v>
      </c>
      <c r="D890" s="6" t="s">
        <v>112</v>
      </c>
      <c r="E890" s="6" t="s">
        <v>784</v>
      </c>
      <c r="F890" s="6" t="s">
        <v>59</v>
      </c>
      <c r="G890" s="6" t="s">
        <v>73</v>
      </c>
    </row>
    <row r="891" ht="15.75" customHeight="1">
      <c r="A891" s="6" t="s">
        <v>903</v>
      </c>
      <c r="B891" s="6" t="s">
        <v>1809</v>
      </c>
      <c r="C891" s="6" t="s">
        <v>1838</v>
      </c>
      <c r="D891" s="6" t="s">
        <v>50</v>
      </c>
      <c r="E891" s="6" t="s">
        <v>467</v>
      </c>
      <c r="F891" s="6" t="s">
        <v>59</v>
      </c>
      <c r="G891" s="6" t="s">
        <v>53</v>
      </c>
    </row>
    <row r="892" ht="15.75" customHeight="1">
      <c r="A892" s="6" t="s">
        <v>903</v>
      </c>
      <c r="B892" s="6" t="s">
        <v>1809</v>
      </c>
      <c r="C892" s="6" t="s">
        <v>1838</v>
      </c>
      <c r="D892" s="6" t="s">
        <v>61</v>
      </c>
      <c r="E892" s="6" t="s">
        <v>437</v>
      </c>
      <c r="F892" s="6" t="s">
        <v>59</v>
      </c>
      <c r="G892" s="6" t="s">
        <v>280</v>
      </c>
    </row>
    <row r="893" ht="15.75" customHeight="1">
      <c r="A893" s="6" t="s">
        <v>903</v>
      </c>
      <c r="B893" s="6" t="s">
        <v>1809</v>
      </c>
      <c r="C893" s="6" t="s">
        <v>1838</v>
      </c>
      <c r="D893" s="6" t="s">
        <v>62</v>
      </c>
      <c r="E893" s="6" t="s">
        <v>784</v>
      </c>
      <c r="F893" s="6" t="s">
        <v>59</v>
      </c>
      <c r="G893" s="6" t="s">
        <v>77</v>
      </c>
    </row>
    <row r="894" ht="15.75" customHeight="1">
      <c r="A894" s="6" t="s">
        <v>903</v>
      </c>
      <c r="B894" s="6" t="s">
        <v>1809</v>
      </c>
      <c r="C894" s="6" t="s">
        <v>1838</v>
      </c>
      <c r="D894" s="6" t="s">
        <v>21</v>
      </c>
      <c r="E894" s="6" t="s">
        <v>522</v>
      </c>
      <c r="F894" s="6" t="s">
        <v>59</v>
      </c>
      <c r="G894" s="6" t="s">
        <v>311</v>
      </c>
    </row>
    <row r="895" ht="15.75" customHeight="1">
      <c r="A895" s="6" t="s">
        <v>903</v>
      </c>
      <c r="B895" s="6" t="s">
        <v>1809</v>
      </c>
      <c r="C895" s="6" t="s">
        <v>1838</v>
      </c>
      <c r="D895" s="6" t="s">
        <v>21</v>
      </c>
      <c r="E895" s="6" t="s">
        <v>490</v>
      </c>
      <c r="F895" s="6" t="s">
        <v>59</v>
      </c>
      <c r="G895" s="6" t="s">
        <v>77</v>
      </c>
    </row>
    <row r="896" ht="15.75" customHeight="1">
      <c r="A896" s="6" t="s">
        <v>903</v>
      </c>
      <c r="B896" s="6" t="s">
        <v>1809</v>
      </c>
      <c r="C896" s="6" t="s">
        <v>1838</v>
      </c>
      <c r="D896" s="6" t="s">
        <v>61</v>
      </c>
      <c r="E896" s="6" t="s">
        <v>784</v>
      </c>
      <c r="F896" s="6" t="s">
        <v>59</v>
      </c>
      <c r="G896" s="6" t="s">
        <v>77</v>
      </c>
    </row>
    <row r="897" ht="15.75" customHeight="1">
      <c r="A897" s="6" t="s">
        <v>903</v>
      </c>
      <c r="B897" s="6" t="s">
        <v>1809</v>
      </c>
      <c r="C897" s="6" t="s">
        <v>1838</v>
      </c>
      <c r="D897" s="6" t="s">
        <v>94</v>
      </c>
      <c r="E897" s="6" t="s">
        <v>548</v>
      </c>
      <c r="F897" s="6" t="s">
        <v>373</v>
      </c>
      <c r="G897" s="6" t="s">
        <v>73</v>
      </c>
    </row>
    <row r="898" ht="15.75" customHeight="1">
      <c r="A898" s="6" t="s">
        <v>903</v>
      </c>
      <c r="B898" s="6" t="s">
        <v>1809</v>
      </c>
      <c r="C898" s="6" t="s">
        <v>1838</v>
      </c>
      <c r="D898" s="6" t="s">
        <v>124</v>
      </c>
      <c r="E898" s="6" t="s">
        <v>548</v>
      </c>
      <c r="F898" s="6" t="s">
        <v>59</v>
      </c>
      <c r="G898" s="6" t="s">
        <v>311</v>
      </c>
    </row>
    <row r="899" ht="15.75" customHeight="1">
      <c r="A899" s="6" t="s">
        <v>903</v>
      </c>
      <c r="B899" s="6" t="s">
        <v>1809</v>
      </c>
      <c r="C899" s="6" t="s">
        <v>1838</v>
      </c>
      <c r="D899" s="6" t="s">
        <v>61</v>
      </c>
      <c r="E899" s="6" t="s">
        <v>548</v>
      </c>
      <c r="F899" s="6" t="s">
        <v>59</v>
      </c>
      <c r="G899" s="6" t="s">
        <v>280</v>
      </c>
    </row>
    <row r="900" ht="15.75" customHeight="1">
      <c r="A900" s="6" t="s">
        <v>19</v>
      </c>
      <c r="B900" s="6" t="s">
        <v>1809</v>
      </c>
      <c r="C900" s="6" t="s">
        <v>1850</v>
      </c>
      <c r="D900" s="6" t="s">
        <v>94</v>
      </c>
      <c r="E900" s="6" t="s">
        <v>64</v>
      </c>
      <c r="F900" s="6" t="s">
        <v>30</v>
      </c>
      <c r="G900" s="6" t="s">
        <v>211</v>
      </c>
    </row>
    <row r="901" ht="15.75" customHeight="1">
      <c r="A901" s="6" t="s">
        <v>19</v>
      </c>
      <c r="B901" s="6" t="s">
        <v>1809</v>
      </c>
      <c r="C901" s="6" t="s">
        <v>1850</v>
      </c>
      <c r="D901" s="6" t="s">
        <v>50</v>
      </c>
      <c r="E901" s="6" t="s">
        <v>153</v>
      </c>
      <c r="F901" s="6" t="s">
        <v>30</v>
      </c>
      <c r="G901" s="6" t="s">
        <v>37</v>
      </c>
    </row>
    <row r="902" ht="15.75" customHeight="1">
      <c r="A902" s="6" t="s">
        <v>19</v>
      </c>
      <c r="B902" s="6" t="s">
        <v>1809</v>
      </c>
      <c r="C902" s="6" t="s">
        <v>1850</v>
      </c>
      <c r="D902" s="6" t="s">
        <v>35</v>
      </c>
      <c r="E902" s="6" t="s">
        <v>44</v>
      </c>
      <c r="F902" s="6" t="s">
        <v>30</v>
      </c>
      <c r="G902" s="6" t="s">
        <v>73</v>
      </c>
    </row>
    <row r="903" ht="15.75" customHeight="1">
      <c r="A903" s="6" t="s">
        <v>19</v>
      </c>
      <c r="B903" s="6" t="s">
        <v>1809</v>
      </c>
      <c r="C903" s="6" t="s">
        <v>1850</v>
      </c>
      <c r="D903" s="6" t="s">
        <v>235</v>
      </c>
      <c r="E903" s="6" t="s">
        <v>160</v>
      </c>
      <c r="F903" s="6" t="s">
        <v>30</v>
      </c>
      <c r="G903" s="6" t="s">
        <v>211</v>
      </c>
    </row>
    <row r="904" ht="15.75" customHeight="1">
      <c r="A904" s="6" t="s">
        <v>183</v>
      </c>
      <c r="B904" s="6" t="s">
        <v>1809</v>
      </c>
      <c r="C904" s="6" t="s">
        <v>1850</v>
      </c>
      <c r="D904" s="6" t="s">
        <v>112</v>
      </c>
      <c r="E904" s="6" t="s">
        <v>1240</v>
      </c>
      <c r="F904" s="6" t="s">
        <v>59</v>
      </c>
      <c r="G904" s="6" t="s">
        <v>196</v>
      </c>
    </row>
    <row r="905" ht="15.75" customHeight="1">
      <c r="A905" s="6" t="s">
        <v>183</v>
      </c>
      <c r="B905" s="6" t="s">
        <v>1809</v>
      </c>
      <c r="C905" s="6" t="s">
        <v>1850</v>
      </c>
      <c r="D905" s="6" t="s">
        <v>177</v>
      </c>
      <c r="E905" s="6" t="s">
        <v>63</v>
      </c>
      <c r="F905" s="6" t="s">
        <v>30</v>
      </c>
      <c r="G905" s="6" t="s">
        <v>280</v>
      </c>
    </row>
    <row r="906" ht="15.75" customHeight="1">
      <c r="A906" s="6" t="s">
        <v>183</v>
      </c>
      <c r="B906" s="6" t="s">
        <v>1809</v>
      </c>
      <c r="C906" s="6" t="s">
        <v>1850</v>
      </c>
      <c r="D906" s="6" t="s">
        <v>43</v>
      </c>
      <c r="E906" s="6" t="s">
        <v>1245</v>
      </c>
      <c r="F906" s="6" t="s">
        <v>30</v>
      </c>
      <c r="G906" s="6" t="s">
        <v>196</v>
      </c>
    </row>
    <row r="907" ht="15.75" customHeight="1">
      <c r="A907" s="6" t="s">
        <v>183</v>
      </c>
      <c r="B907" s="6" t="s">
        <v>1809</v>
      </c>
      <c r="C907" s="6" t="s">
        <v>1850</v>
      </c>
      <c r="D907" s="6" t="s">
        <v>235</v>
      </c>
      <c r="E907" s="6" t="s">
        <v>1248</v>
      </c>
      <c r="F907" s="6" t="s">
        <v>30</v>
      </c>
      <c r="G907" s="6" t="s">
        <v>224</v>
      </c>
    </row>
    <row r="908" ht="15.75" customHeight="1">
      <c r="A908" s="6" t="s">
        <v>297</v>
      </c>
      <c r="B908" s="6" t="s">
        <v>1809</v>
      </c>
      <c r="C908" s="6" t="s">
        <v>1850</v>
      </c>
      <c r="D908" s="6" t="s">
        <v>21</v>
      </c>
      <c r="E908" s="6" t="s">
        <v>925</v>
      </c>
      <c r="F908" s="6" t="s">
        <v>373</v>
      </c>
      <c r="G908" s="6" t="s">
        <v>325</v>
      </c>
    </row>
    <row r="909" ht="15.75" customHeight="1">
      <c r="A909" s="6" t="s">
        <v>297</v>
      </c>
      <c r="B909" s="6" t="s">
        <v>1809</v>
      </c>
      <c r="C909" s="6" t="s">
        <v>1850</v>
      </c>
      <c r="D909" s="6" t="s">
        <v>142</v>
      </c>
      <c r="E909" s="6" t="s">
        <v>731</v>
      </c>
      <c r="F909" s="6" t="s">
        <v>59</v>
      </c>
      <c r="G909" s="6" t="s">
        <v>37</v>
      </c>
    </row>
    <row r="910" ht="15.75" customHeight="1">
      <c r="A910" s="6" t="s">
        <v>424</v>
      </c>
      <c r="B910" s="6" t="s">
        <v>1809</v>
      </c>
      <c r="C910" s="6" t="s">
        <v>1850</v>
      </c>
      <c r="D910" s="6" t="s">
        <v>591</v>
      </c>
      <c r="E910" s="6" t="s">
        <v>429</v>
      </c>
      <c r="F910" s="6" t="s">
        <v>30</v>
      </c>
      <c r="G910" s="6" t="s">
        <v>508</v>
      </c>
    </row>
    <row r="911" ht="15.75" customHeight="1">
      <c r="A911" s="6" t="s">
        <v>424</v>
      </c>
      <c r="B911" s="6" t="s">
        <v>1809</v>
      </c>
      <c r="C911" s="6" t="s">
        <v>1850</v>
      </c>
      <c r="D911" s="6" t="s">
        <v>482</v>
      </c>
      <c r="E911" s="6" t="s">
        <v>429</v>
      </c>
      <c r="F911" s="6" t="s">
        <v>30</v>
      </c>
      <c r="G911" s="6" t="s">
        <v>459</v>
      </c>
    </row>
    <row r="912" ht="15.75" customHeight="1">
      <c r="A912" s="6" t="s">
        <v>521</v>
      </c>
      <c r="B912" s="6" t="s">
        <v>1809</v>
      </c>
      <c r="C912" s="6" t="s">
        <v>1850</v>
      </c>
      <c r="D912" s="6" t="s">
        <v>608</v>
      </c>
      <c r="E912" s="6" t="s">
        <v>429</v>
      </c>
      <c r="F912" s="6" t="s">
        <v>59</v>
      </c>
      <c r="G912" s="6" t="s">
        <v>459</v>
      </c>
    </row>
    <row r="913" ht="15.75" customHeight="1">
      <c r="A913" s="6" t="s">
        <v>521</v>
      </c>
      <c r="B913" s="6" t="s">
        <v>1809</v>
      </c>
      <c r="C913" s="6" t="s">
        <v>1850</v>
      </c>
      <c r="D913" s="6" t="s">
        <v>501</v>
      </c>
      <c r="E913" s="6" t="s">
        <v>553</v>
      </c>
      <c r="F913" s="6" t="s">
        <v>561</v>
      </c>
      <c r="G913" s="6" t="s">
        <v>430</v>
      </c>
    </row>
    <row r="914" ht="15.75" customHeight="1">
      <c r="A914" s="6" t="s">
        <v>521</v>
      </c>
      <c r="B914" s="6" t="s">
        <v>1809</v>
      </c>
      <c r="C914" s="6" t="s">
        <v>1850</v>
      </c>
      <c r="D914" s="6" t="s">
        <v>596</v>
      </c>
      <c r="E914" s="6" t="s">
        <v>429</v>
      </c>
      <c r="F914" s="6" t="s">
        <v>59</v>
      </c>
      <c r="G914" s="6" t="s">
        <v>224</v>
      </c>
    </row>
    <row r="915" ht="15.75" customHeight="1">
      <c r="A915" s="6" t="s">
        <v>613</v>
      </c>
      <c r="B915" s="6" t="s">
        <v>1809</v>
      </c>
      <c r="C915" s="6" t="s">
        <v>1850</v>
      </c>
      <c r="D915" s="6" t="s">
        <v>469</v>
      </c>
      <c r="E915" s="6" t="s">
        <v>401</v>
      </c>
      <c r="F915" s="6" t="s">
        <v>59</v>
      </c>
      <c r="G915" s="6" t="s">
        <v>430</v>
      </c>
    </row>
    <row r="916" ht="15.75" customHeight="1">
      <c r="A916" s="6" t="s">
        <v>613</v>
      </c>
      <c r="B916" s="6" t="s">
        <v>1809</v>
      </c>
      <c r="C916" s="6" t="s">
        <v>1850</v>
      </c>
      <c r="D916" s="6" t="s">
        <v>435</v>
      </c>
      <c r="E916" s="6" t="s">
        <v>365</v>
      </c>
      <c r="F916" s="6" t="s">
        <v>59</v>
      </c>
      <c r="G916" s="6" t="s">
        <v>459</v>
      </c>
    </row>
    <row r="917" ht="15.75" customHeight="1">
      <c r="A917" s="6" t="s">
        <v>613</v>
      </c>
      <c r="B917" s="6" t="s">
        <v>1809</v>
      </c>
      <c r="C917" s="6" t="s">
        <v>1850</v>
      </c>
      <c r="D917" s="6" t="s">
        <v>591</v>
      </c>
      <c r="E917" s="6" t="s">
        <v>731</v>
      </c>
      <c r="F917" s="6" t="s">
        <v>373</v>
      </c>
      <c r="G917" s="6" t="s">
        <v>524</v>
      </c>
    </row>
    <row r="918" ht="15.75" customHeight="1">
      <c r="A918" s="6" t="s">
        <v>613</v>
      </c>
      <c r="B918" s="6" t="s">
        <v>1809</v>
      </c>
      <c r="C918" s="6" t="s">
        <v>1850</v>
      </c>
      <c r="D918" s="6" t="s">
        <v>588</v>
      </c>
      <c r="E918" s="6" t="s">
        <v>401</v>
      </c>
      <c r="F918" s="6" t="s">
        <v>373</v>
      </c>
      <c r="G918" s="6" t="s">
        <v>430</v>
      </c>
    </row>
    <row r="919" ht="15.75" customHeight="1">
      <c r="A919" s="6" t="s">
        <v>613</v>
      </c>
      <c r="B919" s="6" t="s">
        <v>1809</v>
      </c>
      <c r="C919" s="6" t="s">
        <v>1850</v>
      </c>
      <c r="D919" s="6" t="s">
        <v>482</v>
      </c>
      <c r="E919" s="6" t="s">
        <v>1116</v>
      </c>
      <c r="F919" s="6" t="s">
        <v>59</v>
      </c>
      <c r="G919" s="6" t="s">
        <v>430</v>
      </c>
    </row>
    <row r="920" ht="15.75" customHeight="1">
      <c r="A920" s="6" t="s">
        <v>669</v>
      </c>
      <c r="B920" s="6" t="s">
        <v>1809</v>
      </c>
      <c r="C920" s="6" t="s">
        <v>1850</v>
      </c>
      <c r="D920" s="6" t="s">
        <v>914</v>
      </c>
      <c r="E920" s="6" t="s">
        <v>429</v>
      </c>
      <c r="F920" s="6" t="s">
        <v>59</v>
      </c>
      <c r="G920" s="6" t="s">
        <v>196</v>
      </c>
    </row>
    <row r="921" ht="15.75" customHeight="1">
      <c r="A921" s="6" t="s">
        <v>669</v>
      </c>
      <c r="B921" s="6" t="s">
        <v>1809</v>
      </c>
      <c r="C921" s="6" t="s">
        <v>1850</v>
      </c>
      <c r="D921" s="6" t="s">
        <v>1237</v>
      </c>
      <c r="E921" s="6" t="s">
        <v>429</v>
      </c>
      <c r="F921" s="6" t="s">
        <v>59</v>
      </c>
      <c r="G921" s="6" t="s">
        <v>240</v>
      </c>
    </row>
    <row r="922" ht="15.75" customHeight="1">
      <c r="A922" s="6" t="s">
        <v>669</v>
      </c>
      <c r="B922" s="6" t="s">
        <v>1809</v>
      </c>
      <c r="C922" s="6" t="s">
        <v>1850</v>
      </c>
      <c r="D922" s="6" t="s">
        <v>1237</v>
      </c>
      <c r="E922" s="6" t="s">
        <v>429</v>
      </c>
      <c r="F922" s="6" t="s">
        <v>59</v>
      </c>
      <c r="G922" s="6" t="s">
        <v>240</v>
      </c>
    </row>
    <row r="923" ht="15.75" customHeight="1">
      <c r="A923" s="6" t="s">
        <v>669</v>
      </c>
      <c r="B923" s="6" t="s">
        <v>1809</v>
      </c>
      <c r="C923" s="6" t="s">
        <v>1850</v>
      </c>
      <c r="D923" s="6" t="s">
        <v>870</v>
      </c>
      <c r="E923" s="6" t="s">
        <v>553</v>
      </c>
      <c r="G923" s="6" t="s">
        <v>714</v>
      </c>
    </row>
    <row r="924" ht="15.75" customHeight="1">
      <c r="A924" s="6" t="s">
        <v>669</v>
      </c>
      <c r="B924" s="6" t="s">
        <v>1809</v>
      </c>
      <c r="C924" s="6" t="s">
        <v>1850</v>
      </c>
      <c r="D924" s="6" t="s">
        <v>837</v>
      </c>
      <c r="E924" s="6" t="s">
        <v>429</v>
      </c>
      <c r="F924" s="6" t="s">
        <v>59</v>
      </c>
      <c r="G924" s="6" t="s">
        <v>196</v>
      </c>
    </row>
    <row r="925" ht="15.75" customHeight="1">
      <c r="A925" s="6" t="s">
        <v>745</v>
      </c>
      <c r="B925" s="6" t="s">
        <v>1809</v>
      </c>
      <c r="C925" s="6" t="s">
        <v>1850</v>
      </c>
      <c r="D925" s="6" t="s">
        <v>747</v>
      </c>
      <c r="E925" s="6" t="s">
        <v>429</v>
      </c>
      <c r="F925" s="6" t="s">
        <v>59</v>
      </c>
      <c r="G925" s="6" t="s">
        <v>459</v>
      </c>
    </row>
    <row r="926" ht="15.75" customHeight="1">
      <c r="A926" s="6" t="s">
        <v>745</v>
      </c>
      <c r="B926" s="6" t="s">
        <v>1809</v>
      </c>
      <c r="C926" s="6" t="s">
        <v>1850</v>
      </c>
      <c r="D926" s="6" t="s">
        <v>914</v>
      </c>
      <c r="E926" s="6" t="s">
        <v>429</v>
      </c>
      <c r="F926" s="6" t="s">
        <v>59</v>
      </c>
      <c r="G926" s="6" t="s">
        <v>524</v>
      </c>
    </row>
    <row r="927" ht="15.75" customHeight="1">
      <c r="A927" s="6" t="s">
        <v>745</v>
      </c>
      <c r="B927" s="6" t="s">
        <v>1809</v>
      </c>
      <c r="C927" s="6" t="s">
        <v>1850</v>
      </c>
      <c r="D927" s="6" t="s">
        <v>705</v>
      </c>
      <c r="E927" s="6" t="s">
        <v>429</v>
      </c>
      <c r="F927" s="6" t="s">
        <v>59</v>
      </c>
      <c r="G927" s="6" t="s">
        <v>508</v>
      </c>
    </row>
    <row r="928" ht="15.75" customHeight="1">
      <c r="A928" s="6" t="s">
        <v>745</v>
      </c>
      <c r="B928" s="6" t="s">
        <v>1809</v>
      </c>
      <c r="C928" s="6" t="s">
        <v>1850</v>
      </c>
      <c r="D928" s="6" t="s">
        <v>899</v>
      </c>
      <c r="E928" s="6" t="s">
        <v>553</v>
      </c>
      <c r="G928" s="6" t="s">
        <v>459</v>
      </c>
    </row>
    <row r="929" ht="15.75" customHeight="1">
      <c r="A929" s="6" t="s">
        <v>818</v>
      </c>
      <c r="B929" s="6" t="s">
        <v>1809</v>
      </c>
      <c r="C929" s="6" t="s">
        <v>1850</v>
      </c>
      <c r="D929" s="6" t="s">
        <v>670</v>
      </c>
      <c r="E929" s="6" t="s">
        <v>553</v>
      </c>
      <c r="G929" s="6" t="s">
        <v>459</v>
      </c>
    </row>
    <row r="930" ht="15.75" customHeight="1">
      <c r="A930" s="6" t="s">
        <v>818</v>
      </c>
      <c r="B930" s="6" t="s">
        <v>1809</v>
      </c>
      <c r="C930" s="6" t="s">
        <v>1850</v>
      </c>
      <c r="D930" s="6" t="s">
        <v>781</v>
      </c>
      <c r="E930" s="6" t="s">
        <v>429</v>
      </c>
      <c r="F930" s="6" t="s">
        <v>59</v>
      </c>
      <c r="G930" s="6" t="s">
        <v>430</v>
      </c>
    </row>
    <row r="931" ht="15.75" customHeight="1">
      <c r="A931" s="6" t="s">
        <v>863</v>
      </c>
      <c r="B931" s="6" t="s">
        <v>1809</v>
      </c>
      <c r="C931" s="6" t="s">
        <v>1850</v>
      </c>
      <c r="D931" s="6" t="s">
        <v>747</v>
      </c>
      <c r="E931" s="6" t="s">
        <v>429</v>
      </c>
      <c r="F931" s="6" t="s">
        <v>59</v>
      </c>
      <c r="G931" s="6" t="s">
        <v>430</v>
      </c>
    </row>
    <row r="932" ht="15.75" customHeight="1">
      <c r="A932" s="6" t="s">
        <v>863</v>
      </c>
      <c r="B932" s="6" t="s">
        <v>1809</v>
      </c>
      <c r="C932" s="6" t="s">
        <v>1850</v>
      </c>
      <c r="D932" s="6" t="s">
        <v>770</v>
      </c>
      <c r="E932" s="6" t="s">
        <v>429</v>
      </c>
      <c r="F932" s="6" t="s">
        <v>59</v>
      </c>
      <c r="G932" s="6" t="s">
        <v>459</v>
      </c>
    </row>
    <row r="933" ht="15.75" customHeight="1">
      <c r="A933" s="6" t="s">
        <v>863</v>
      </c>
      <c r="B933" s="6" t="s">
        <v>1809</v>
      </c>
      <c r="C933" s="6" t="s">
        <v>1850</v>
      </c>
      <c r="D933" s="6" t="s">
        <v>705</v>
      </c>
      <c r="E933" s="6" t="s">
        <v>429</v>
      </c>
      <c r="F933" s="6" t="s">
        <v>59</v>
      </c>
      <c r="G933" s="6" t="s">
        <v>524</v>
      </c>
    </row>
    <row r="934" ht="15.75" customHeight="1">
      <c r="A934" s="6" t="s">
        <v>863</v>
      </c>
      <c r="B934" s="6" t="s">
        <v>1809</v>
      </c>
      <c r="C934" s="6" t="s">
        <v>1850</v>
      </c>
      <c r="D934" s="6" t="s">
        <v>899</v>
      </c>
      <c r="E934" s="6" t="s">
        <v>553</v>
      </c>
      <c r="G934" s="6" t="s">
        <v>430</v>
      </c>
    </row>
    <row r="935" ht="15.75" customHeight="1">
      <c r="A935" s="6" t="s">
        <v>903</v>
      </c>
      <c r="B935" s="6" t="s">
        <v>1809</v>
      </c>
      <c r="C935" s="6" t="s">
        <v>1850</v>
      </c>
      <c r="D935" s="6" t="s">
        <v>112</v>
      </c>
      <c r="E935" s="6" t="s">
        <v>1284</v>
      </c>
      <c r="F935" s="6" t="s">
        <v>59</v>
      </c>
      <c r="G935" s="6" t="s">
        <v>907</v>
      </c>
    </row>
    <row r="936" ht="15.75" customHeight="1">
      <c r="A936" s="6" t="s">
        <v>903</v>
      </c>
      <c r="B936" s="6" t="s">
        <v>1809</v>
      </c>
      <c r="C936" s="6" t="s">
        <v>1850</v>
      </c>
      <c r="D936" s="6" t="s">
        <v>145</v>
      </c>
      <c r="E936" s="6" t="s">
        <v>821</v>
      </c>
      <c r="F936" s="6" t="s">
        <v>59</v>
      </c>
      <c r="G936" s="6" t="s">
        <v>53</v>
      </c>
    </row>
    <row r="937" ht="15.75" customHeight="1">
      <c r="A937" s="6" t="s">
        <v>903</v>
      </c>
      <c r="B937" s="6" t="s">
        <v>1809</v>
      </c>
      <c r="C937" s="6" t="s">
        <v>1850</v>
      </c>
      <c r="D937" s="6" t="s">
        <v>43</v>
      </c>
      <c r="E937" s="6" t="s">
        <v>1288</v>
      </c>
      <c r="F937" s="6" t="s">
        <v>59</v>
      </c>
      <c r="G937" s="6" t="s">
        <v>907</v>
      </c>
    </row>
    <row r="938" ht="15.75" customHeight="1">
      <c r="A938" s="6" t="s">
        <v>903</v>
      </c>
      <c r="B938" s="6" t="s">
        <v>1809</v>
      </c>
      <c r="C938" s="6" t="s">
        <v>1850</v>
      </c>
      <c r="D938" s="6" t="s">
        <v>235</v>
      </c>
      <c r="E938" s="6" t="s">
        <v>1290</v>
      </c>
      <c r="F938" s="6" t="s">
        <v>59</v>
      </c>
      <c r="G938" s="6" t="s">
        <v>1049</v>
      </c>
    </row>
    <row r="939" ht="15.75" customHeight="1">
      <c r="A939" s="6" t="s">
        <v>19</v>
      </c>
      <c r="B939" s="6" t="s">
        <v>1809</v>
      </c>
      <c r="C939" s="6" t="s">
        <v>1851</v>
      </c>
      <c r="D939" s="6" t="s">
        <v>235</v>
      </c>
      <c r="E939" s="6" t="s">
        <v>99</v>
      </c>
      <c r="F939" s="6" t="s">
        <v>30</v>
      </c>
      <c r="G939" s="6" t="s">
        <v>37</v>
      </c>
    </row>
    <row r="940" ht="15.75" customHeight="1">
      <c r="A940" s="6" t="s">
        <v>19</v>
      </c>
      <c r="B940" s="6" t="s">
        <v>1809</v>
      </c>
      <c r="C940" s="6" t="s">
        <v>1851</v>
      </c>
      <c r="D940" s="6" t="s">
        <v>177</v>
      </c>
      <c r="E940" s="6" t="s">
        <v>1147</v>
      </c>
      <c r="F940" s="6" t="s">
        <v>30</v>
      </c>
      <c r="G940" s="6" t="s">
        <v>46</v>
      </c>
    </row>
    <row r="941" ht="15.75" customHeight="1">
      <c r="A941" s="6" t="s">
        <v>19</v>
      </c>
      <c r="B941" s="6" t="s">
        <v>1809</v>
      </c>
      <c r="C941" s="6" t="s">
        <v>1851</v>
      </c>
      <c r="D941" s="6" t="s">
        <v>61</v>
      </c>
      <c r="E941" s="6" t="s">
        <v>63</v>
      </c>
      <c r="F941" s="6" t="s">
        <v>30</v>
      </c>
      <c r="G941" s="6" t="s">
        <v>77</v>
      </c>
    </row>
    <row r="942" ht="15.75" customHeight="1">
      <c r="A942" s="6" t="s">
        <v>19</v>
      </c>
      <c r="B942" s="6" t="s">
        <v>1809</v>
      </c>
      <c r="C942" s="6" t="s">
        <v>1851</v>
      </c>
      <c r="D942" s="6" t="s">
        <v>71</v>
      </c>
      <c r="E942" s="6" t="s">
        <v>187</v>
      </c>
      <c r="F942" s="6" t="s">
        <v>30</v>
      </c>
      <c r="G942" s="6" t="s">
        <v>37</v>
      </c>
    </row>
    <row r="943" ht="15.75" customHeight="1">
      <c r="A943" s="6" t="s">
        <v>19</v>
      </c>
      <c r="B943" s="6" t="s">
        <v>1809</v>
      </c>
      <c r="C943" s="6" t="s">
        <v>1851</v>
      </c>
      <c r="D943" s="6" t="s">
        <v>142</v>
      </c>
      <c r="E943" s="6" t="s">
        <v>187</v>
      </c>
      <c r="F943" s="6" t="s">
        <v>30</v>
      </c>
      <c r="G943" s="6" t="s">
        <v>73</v>
      </c>
    </row>
    <row r="944" ht="15.75" customHeight="1">
      <c r="A944" s="6" t="s">
        <v>19</v>
      </c>
      <c r="B944" s="6" t="s">
        <v>1809</v>
      </c>
      <c r="C944" s="6" t="s">
        <v>1851</v>
      </c>
      <c r="D944" s="6" t="s">
        <v>142</v>
      </c>
      <c r="E944" s="6" t="s">
        <v>99</v>
      </c>
      <c r="F944" s="6" t="s">
        <v>30</v>
      </c>
      <c r="G944" s="6" t="s">
        <v>73</v>
      </c>
    </row>
    <row r="945" ht="15.75" customHeight="1">
      <c r="A945" s="6" t="s">
        <v>183</v>
      </c>
      <c r="B945" s="6" t="s">
        <v>1809</v>
      </c>
      <c r="C945" s="6" t="s">
        <v>1851</v>
      </c>
      <c r="D945" s="6" t="s">
        <v>124</v>
      </c>
      <c r="E945" s="6" t="s">
        <v>64</v>
      </c>
      <c r="F945" s="6" t="s">
        <v>30</v>
      </c>
      <c r="G945" s="6" t="s">
        <v>37</v>
      </c>
    </row>
    <row r="946" ht="15.75" customHeight="1">
      <c r="A946" s="6" t="s">
        <v>183</v>
      </c>
      <c r="B946" s="6" t="s">
        <v>1809</v>
      </c>
      <c r="C946" s="6" t="s">
        <v>1851</v>
      </c>
      <c r="D946" s="6" t="s">
        <v>235</v>
      </c>
      <c r="E946" s="6" t="s">
        <v>125</v>
      </c>
      <c r="F946" s="6" t="s">
        <v>30</v>
      </c>
      <c r="G946" s="6" t="s">
        <v>37</v>
      </c>
    </row>
    <row r="947" ht="15.75" customHeight="1">
      <c r="A947" s="6" t="s">
        <v>183</v>
      </c>
      <c r="B947" s="6" t="s">
        <v>1809</v>
      </c>
      <c r="C947" s="6" t="s">
        <v>1851</v>
      </c>
      <c r="D947" s="6" t="s">
        <v>177</v>
      </c>
      <c r="E947" s="6" t="s">
        <v>125</v>
      </c>
      <c r="F947" s="6" t="s">
        <v>30</v>
      </c>
      <c r="G947" s="6" t="s">
        <v>73</v>
      </c>
    </row>
    <row r="948" ht="15.75" customHeight="1">
      <c r="A948" s="6" t="s">
        <v>183</v>
      </c>
      <c r="B948" s="6" t="s">
        <v>1809</v>
      </c>
      <c r="C948" s="6" t="s">
        <v>1851</v>
      </c>
      <c r="D948" s="6" t="s">
        <v>94</v>
      </c>
      <c r="E948" s="6" t="s">
        <v>36</v>
      </c>
      <c r="F948" s="6" t="s">
        <v>30</v>
      </c>
      <c r="G948" s="6" t="s">
        <v>53</v>
      </c>
    </row>
    <row r="949" ht="15.75" customHeight="1">
      <c r="A949" s="6" t="s">
        <v>183</v>
      </c>
      <c r="B949" s="6" t="s">
        <v>1809</v>
      </c>
      <c r="C949" s="6" t="s">
        <v>1851</v>
      </c>
      <c r="D949" s="6" t="s">
        <v>50</v>
      </c>
      <c r="E949" s="6" t="s">
        <v>187</v>
      </c>
      <c r="F949" s="6" t="s">
        <v>30</v>
      </c>
      <c r="G949" s="6" t="s">
        <v>73</v>
      </c>
    </row>
    <row r="950" ht="15.75" customHeight="1">
      <c r="A950" s="6" t="s">
        <v>297</v>
      </c>
      <c r="B950" s="6" t="s">
        <v>1809</v>
      </c>
      <c r="C950" s="6" t="s">
        <v>1851</v>
      </c>
      <c r="D950" s="6" t="s">
        <v>124</v>
      </c>
      <c r="E950" s="6" t="s">
        <v>401</v>
      </c>
      <c r="F950" s="6" t="s">
        <v>59</v>
      </c>
      <c r="G950" s="6" t="s">
        <v>37</v>
      </c>
    </row>
    <row r="951" ht="15.75" customHeight="1">
      <c r="A951" s="6" t="s">
        <v>297</v>
      </c>
      <c r="B951" s="6" t="s">
        <v>1809</v>
      </c>
      <c r="C951" s="6" t="s">
        <v>1851</v>
      </c>
      <c r="D951" s="6" t="s">
        <v>35</v>
      </c>
      <c r="E951" s="6" t="s">
        <v>499</v>
      </c>
      <c r="F951" s="6" t="s">
        <v>59</v>
      </c>
      <c r="G951" s="6" t="s">
        <v>65</v>
      </c>
    </row>
    <row r="952" ht="15.75" customHeight="1">
      <c r="A952" s="6" t="s">
        <v>297</v>
      </c>
      <c r="B952" s="6" t="s">
        <v>1809</v>
      </c>
      <c r="C952" s="6" t="s">
        <v>1851</v>
      </c>
      <c r="D952" s="6" t="s">
        <v>112</v>
      </c>
      <c r="E952" s="6" t="s">
        <v>731</v>
      </c>
      <c r="F952" s="6" t="s">
        <v>59</v>
      </c>
      <c r="G952" s="6" t="s">
        <v>73</v>
      </c>
    </row>
    <row r="953" ht="15.75" customHeight="1">
      <c r="A953" s="6" t="s">
        <v>297</v>
      </c>
      <c r="B953" s="6" t="s">
        <v>1809</v>
      </c>
      <c r="C953" s="6" t="s">
        <v>1851</v>
      </c>
      <c r="D953" s="6" t="s">
        <v>71</v>
      </c>
      <c r="E953" s="6" t="s">
        <v>443</v>
      </c>
      <c r="F953" s="6" t="s">
        <v>30</v>
      </c>
      <c r="G953" s="6" t="s">
        <v>65</v>
      </c>
    </row>
    <row r="954" ht="15.75" customHeight="1">
      <c r="A954" s="6" t="s">
        <v>297</v>
      </c>
      <c r="B954" s="6" t="s">
        <v>1809</v>
      </c>
      <c r="C954" s="6" t="s">
        <v>1851</v>
      </c>
      <c r="D954" s="6" t="s">
        <v>21</v>
      </c>
      <c r="E954" s="6" t="s">
        <v>331</v>
      </c>
      <c r="F954" s="6" t="s">
        <v>59</v>
      </c>
      <c r="G954" s="6" t="s">
        <v>77</v>
      </c>
    </row>
    <row r="955" ht="15.75" customHeight="1">
      <c r="A955" s="6" t="s">
        <v>297</v>
      </c>
      <c r="B955" s="6" t="s">
        <v>1809</v>
      </c>
      <c r="C955" s="6" t="s">
        <v>1851</v>
      </c>
      <c r="D955" s="6" t="s">
        <v>71</v>
      </c>
      <c r="E955" s="6" t="s">
        <v>821</v>
      </c>
      <c r="F955" s="6" t="s">
        <v>59</v>
      </c>
      <c r="G955" s="6" t="s">
        <v>73</v>
      </c>
    </row>
    <row r="956" ht="15.75" customHeight="1">
      <c r="A956" s="6" t="s">
        <v>297</v>
      </c>
      <c r="B956" s="6" t="s">
        <v>1809</v>
      </c>
      <c r="C956" s="6" t="s">
        <v>1851</v>
      </c>
      <c r="D956" s="6" t="s">
        <v>94</v>
      </c>
      <c r="E956" s="6" t="s">
        <v>821</v>
      </c>
      <c r="F956" s="6" t="s">
        <v>59</v>
      </c>
      <c r="G956" s="6" t="s">
        <v>73</v>
      </c>
    </row>
    <row r="957" ht="15.75" customHeight="1">
      <c r="A957" s="6" t="s">
        <v>297</v>
      </c>
      <c r="B957" s="6" t="s">
        <v>1809</v>
      </c>
      <c r="C957" s="6" t="s">
        <v>1851</v>
      </c>
      <c r="D957" s="6" t="s">
        <v>71</v>
      </c>
      <c r="E957" s="6" t="s">
        <v>443</v>
      </c>
      <c r="F957" s="6" t="s">
        <v>30</v>
      </c>
      <c r="G957" s="6" t="s">
        <v>37</v>
      </c>
    </row>
    <row r="958" ht="15.75" customHeight="1">
      <c r="A958" s="6" t="s">
        <v>297</v>
      </c>
      <c r="B958" s="6" t="s">
        <v>1809</v>
      </c>
      <c r="C958" s="6" t="s">
        <v>1851</v>
      </c>
      <c r="D958" s="6" t="s">
        <v>124</v>
      </c>
      <c r="E958" s="6" t="s">
        <v>499</v>
      </c>
      <c r="F958" s="6" t="s">
        <v>59</v>
      </c>
      <c r="G958" s="6" t="s">
        <v>37</v>
      </c>
    </row>
    <row r="959" ht="15.75" customHeight="1">
      <c r="A959" s="6" t="s">
        <v>424</v>
      </c>
      <c r="B959" s="6" t="s">
        <v>1809</v>
      </c>
      <c r="C959" s="6" t="s">
        <v>1851</v>
      </c>
      <c r="D959" s="6" t="s">
        <v>457</v>
      </c>
      <c r="E959" s="6" t="s">
        <v>429</v>
      </c>
      <c r="F959" s="6" t="s">
        <v>30</v>
      </c>
      <c r="G959" s="6" t="s">
        <v>459</v>
      </c>
    </row>
    <row r="960" ht="15.75" customHeight="1">
      <c r="A960" s="6" t="s">
        <v>424</v>
      </c>
      <c r="B960" s="6" t="s">
        <v>1809</v>
      </c>
      <c r="C960" s="6" t="s">
        <v>1851</v>
      </c>
      <c r="D960" s="6" t="s">
        <v>616</v>
      </c>
      <c r="E960" s="6" t="s">
        <v>429</v>
      </c>
      <c r="F960" s="6" t="s">
        <v>30</v>
      </c>
      <c r="G960" s="6" t="s">
        <v>541</v>
      </c>
    </row>
    <row r="961" ht="15.75" customHeight="1">
      <c r="A961" s="6" t="s">
        <v>424</v>
      </c>
      <c r="B961" s="6" t="s">
        <v>1809</v>
      </c>
      <c r="C961" s="6" t="s">
        <v>1851</v>
      </c>
      <c r="D961" s="6" t="s">
        <v>435</v>
      </c>
      <c r="E961" s="6" t="s">
        <v>429</v>
      </c>
      <c r="F961" s="6" t="s">
        <v>30</v>
      </c>
      <c r="G961" s="6" t="s">
        <v>459</v>
      </c>
    </row>
    <row r="962" ht="15.75" customHeight="1">
      <c r="A962" s="6" t="s">
        <v>424</v>
      </c>
      <c r="B962" s="6" t="s">
        <v>1809</v>
      </c>
      <c r="C962" s="6" t="s">
        <v>1851</v>
      </c>
      <c r="D962" s="6" t="s">
        <v>435</v>
      </c>
      <c r="E962" s="6" t="s">
        <v>429</v>
      </c>
      <c r="F962" s="6" t="s">
        <v>30</v>
      </c>
      <c r="G962" s="6" t="s">
        <v>524</v>
      </c>
    </row>
    <row r="963" ht="15.75" customHeight="1">
      <c r="A963" s="6" t="s">
        <v>424</v>
      </c>
      <c r="B963" s="6" t="s">
        <v>1809</v>
      </c>
      <c r="C963" s="6" t="s">
        <v>1851</v>
      </c>
      <c r="D963" s="6" t="s">
        <v>608</v>
      </c>
      <c r="E963" s="6" t="s">
        <v>30</v>
      </c>
      <c r="F963" s="6" t="s">
        <v>30</v>
      </c>
      <c r="G963" s="6" t="s">
        <v>946</v>
      </c>
    </row>
    <row r="964" ht="15.75" customHeight="1">
      <c r="A964" s="6" t="s">
        <v>424</v>
      </c>
      <c r="B964" s="6" t="s">
        <v>1809</v>
      </c>
      <c r="C964" s="6" t="s">
        <v>1851</v>
      </c>
      <c r="D964" s="6" t="s">
        <v>435</v>
      </c>
      <c r="E964" s="6" t="s">
        <v>429</v>
      </c>
      <c r="F964" s="6" t="s">
        <v>30</v>
      </c>
      <c r="G964" s="6" t="s">
        <v>524</v>
      </c>
    </row>
    <row r="965" ht="15.75" customHeight="1">
      <c r="A965" s="6" t="s">
        <v>521</v>
      </c>
      <c r="B965" s="6" t="s">
        <v>1809</v>
      </c>
      <c r="C965" s="6" t="s">
        <v>1851</v>
      </c>
      <c r="D965" s="6" t="s">
        <v>591</v>
      </c>
      <c r="E965" s="6" t="s">
        <v>429</v>
      </c>
      <c r="F965" s="6" t="s">
        <v>59</v>
      </c>
      <c r="G965" s="6" t="s">
        <v>556</v>
      </c>
    </row>
    <row r="966" ht="15.75" customHeight="1">
      <c r="A966" s="6" t="s">
        <v>521</v>
      </c>
      <c r="B966" s="6" t="s">
        <v>1809</v>
      </c>
      <c r="C966" s="6" t="s">
        <v>1851</v>
      </c>
      <c r="D966" s="6" t="s">
        <v>576</v>
      </c>
      <c r="E966" s="6" t="s">
        <v>429</v>
      </c>
      <c r="F966" s="6" t="s">
        <v>30</v>
      </c>
      <c r="G966" s="6" t="s">
        <v>524</v>
      </c>
    </row>
    <row r="967" ht="15.75" customHeight="1">
      <c r="A967" s="6" t="s">
        <v>521</v>
      </c>
      <c r="B967" s="6" t="s">
        <v>1809</v>
      </c>
      <c r="C967" s="6" t="s">
        <v>1851</v>
      </c>
      <c r="D967" s="6" t="s">
        <v>469</v>
      </c>
      <c r="E967" s="6" t="s">
        <v>429</v>
      </c>
      <c r="F967" s="6" t="s">
        <v>59</v>
      </c>
      <c r="G967" s="6" t="s">
        <v>556</v>
      </c>
    </row>
    <row r="968" ht="15.75" customHeight="1">
      <c r="A968" s="6" t="s">
        <v>521</v>
      </c>
      <c r="B968" s="6" t="s">
        <v>1809</v>
      </c>
      <c r="C968" s="6" t="s">
        <v>1851</v>
      </c>
      <c r="D968" s="6" t="s">
        <v>428</v>
      </c>
      <c r="E968" s="6" t="s">
        <v>429</v>
      </c>
      <c r="F968" s="6" t="s">
        <v>30</v>
      </c>
      <c r="G968" s="6" t="s">
        <v>541</v>
      </c>
    </row>
    <row r="969" ht="15.75" customHeight="1">
      <c r="A969" s="6" t="s">
        <v>521</v>
      </c>
      <c r="B969" s="6" t="s">
        <v>1809</v>
      </c>
      <c r="C969" s="6" t="s">
        <v>1851</v>
      </c>
      <c r="D969" s="6" t="s">
        <v>469</v>
      </c>
      <c r="E969" s="6" t="s">
        <v>429</v>
      </c>
      <c r="F969" s="6" t="s">
        <v>59</v>
      </c>
      <c r="G969" s="6" t="s">
        <v>524</v>
      </c>
    </row>
    <row r="970" ht="15.75" customHeight="1">
      <c r="A970" s="6" t="s">
        <v>521</v>
      </c>
      <c r="B970" s="6" t="s">
        <v>1809</v>
      </c>
      <c r="C970" s="6" t="s">
        <v>1851</v>
      </c>
      <c r="D970" s="6" t="s">
        <v>639</v>
      </c>
      <c r="E970" s="6" t="s">
        <v>429</v>
      </c>
      <c r="F970" s="6" t="s">
        <v>59</v>
      </c>
      <c r="G970" s="6" t="s">
        <v>524</v>
      </c>
    </row>
    <row r="971" ht="15.75" customHeight="1">
      <c r="A971" s="6" t="s">
        <v>521</v>
      </c>
      <c r="B971" s="6" t="s">
        <v>1809</v>
      </c>
      <c r="C971" s="6" t="s">
        <v>1851</v>
      </c>
      <c r="D971" s="6" t="s">
        <v>469</v>
      </c>
      <c r="E971" s="6" t="s">
        <v>429</v>
      </c>
      <c r="F971" s="6" t="s">
        <v>59</v>
      </c>
      <c r="G971" s="6" t="s">
        <v>459</v>
      </c>
    </row>
    <row r="972" ht="15.75" customHeight="1">
      <c r="A972" s="6" t="s">
        <v>521</v>
      </c>
      <c r="B972" s="6" t="s">
        <v>1809</v>
      </c>
      <c r="C972" s="6" t="s">
        <v>1851</v>
      </c>
      <c r="D972" s="6" t="s">
        <v>539</v>
      </c>
      <c r="E972" s="6" t="s">
        <v>429</v>
      </c>
      <c r="F972" s="6" t="s">
        <v>30</v>
      </c>
      <c r="G972" s="6" t="s">
        <v>714</v>
      </c>
    </row>
    <row r="973" ht="15.75" customHeight="1">
      <c r="A973" s="6" t="s">
        <v>521</v>
      </c>
      <c r="B973" s="6" t="s">
        <v>1809</v>
      </c>
      <c r="C973" s="6" t="s">
        <v>1851</v>
      </c>
      <c r="D973" s="6" t="s">
        <v>539</v>
      </c>
      <c r="E973" s="6" t="s">
        <v>429</v>
      </c>
      <c r="F973" s="6" t="s">
        <v>30</v>
      </c>
      <c r="G973" s="6" t="s">
        <v>714</v>
      </c>
    </row>
    <row r="974" ht="15.75" customHeight="1">
      <c r="A974" s="6" t="s">
        <v>613</v>
      </c>
      <c r="B974" s="6" t="s">
        <v>1809</v>
      </c>
      <c r="C974" s="6" t="s">
        <v>1851</v>
      </c>
      <c r="D974" s="6" t="s">
        <v>501</v>
      </c>
      <c r="E974" s="6" t="s">
        <v>526</v>
      </c>
      <c r="F974" s="6" t="s">
        <v>59</v>
      </c>
      <c r="G974" s="6" t="s">
        <v>556</v>
      </c>
    </row>
    <row r="975" ht="15.75" customHeight="1">
      <c r="A975" s="6" t="s">
        <v>613</v>
      </c>
      <c r="B975" s="6" t="s">
        <v>1809</v>
      </c>
      <c r="C975" s="6" t="s">
        <v>1851</v>
      </c>
      <c r="D975" s="6" t="s">
        <v>445</v>
      </c>
      <c r="E975" s="6" t="s">
        <v>443</v>
      </c>
      <c r="F975" s="6" t="s">
        <v>59</v>
      </c>
      <c r="G975" s="6" t="s">
        <v>946</v>
      </c>
    </row>
    <row r="976" ht="15.75" customHeight="1">
      <c r="A976" s="6" t="s">
        <v>613</v>
      </c>
      <c r="B976" s="6" t="s">
        <v>1809</v>
      </c>
      <c r="C976" s="6" t="s">
        <v>1851</v>
      </c>
      <c r="D976" s="6" t="s">
        <v>616</v>
      </c>
      <c r="E976" s="6" t="s">
        <v>365</v>
      </c>
      <c r="F976" s="6" t="s">
        <v>59</v>
      </c>
      <c r="G976" s="6" t="s">
        <v>541</v>
      </c>
    </row>
    <row r="977" ht="15.75" customHeight="1">
      <c r="A977" s="6" t="s">
        <v>613</v>
      </c>
      <c r="B977" s="6" t="s">
        <v>1809</v>
      </c>
      <c r="C977" s="6" t="s">
        <v>1851</v>
      </c>
      <c r="D977" s="6" t="s">
        <v>469</v>
      </c>
      <c r="E977" s="6" t="s">
        <v>526</v>
      </c>
      <c r="F977" s="6" t="s">
        <v>373</v>
      </c>
      <c r="G977" s="6" t="s">
        <v>459</v>
      </c>
    </row>
    <row r="978" ht="15.75" customHeight="1">
      <c r="A978" s="6" t="s">
        <v>669</v>
      </c>
      <c r="B978" s="6" t="s">
        <v>1809</v>
      </c>
      <c r="C978" s="6" t="s">
        <v>1851</v>
      </c>
      <c r="D978" s="6" t="s">
        <v>684</v>
      </c>
      <c r="E978" s="6" t="s">
        <v>429</v>
      </c>
      <c r="F978" s="6" t="s">
        <v>59</v>
      </c>
      <c r="G978" s="6" t="s">
        <v>459</v>
      </c>
    </row>
    <row r="979" ht="15.75" customHeight="1">
      <c r="A979" s="6" t="s">
        <v>669</v>
      </c>
      <c r="B979" s="6" t="s">
        <v>1809</v>
      </c>
      <c r="C979" s="6" t="s">
        <v>1851</v>
      </c>
      <c r="D979" s="6" t="s">
        <v>757</v>
      </c>
      <c r="E979" s="6" t="s">
        <v>429</v>
      </c>
      <c r="F979" s="6" t="s">
        <v>59</v>
      </c>
      <c r="G979" s="6" t="s">
        <v>240</v>
      </c>
    </row>
    <row r="980" ht="15.75" customHeight="1">
      <c r="A980" s="6" t="s">
        <v>669</v>
      </c>
      <c r="B980" s="6" t="s">
        <v>1809</v>
      </c>
      <c r="C980" s="6" t="s">
        <v>1851</v>
      </c>
      <c r="D980" s="6" t="s">
        <v>757</v>
      </c>
      <c r="E980" s="6" t="s">
        <v>429</v>
      </c>
      <c r="F980" s="6" t="s">
        <v>59</v>
      </c>
      <c r="G980" s="6" t="s">
        <v>240</v>
      </c>
    </row>
    <row r="981" ht="15.75" customHeight="1">
      <c r="A981" s="6" t="s">
        <v>669</v>
      </c>
      <c r="B981" s="6" t="s">
        <v>1809</v>
      </c>
      <c r="C981" s="6" t="s">
        <v>1851</v>
      </c>
      <c r="D981" s="6" t="s">
        <v>700</v>
      </c>
      <c r="E981" s="6" t="s">
        <v>553</v>
      </c>
      <c r="G981" s="6" t="s">
        <v>508</v>
      </c>
    </row>
    <row r="982" ht="15.75" customHeight="1">
      <c r="A982" s="6" t="s">
        <v>669</v>
      </c>
      <c r="B982" s="6" t="s">
        <v>1809</v>
      </c>
      <c r="C982" s="6" t="s">
        <v>1851</v>
      </c>
      <c r="D982" s="6" t="s">
        <v>1202</v>
      </c>
      <c r="E982" s="6" t="s">
        <v>553</v>
      </c>
      <c r="G982" s="6" t="s">
        <v>240</v>
      </c>
    </row>
    <row r="983" ht="15.75" customHeight="1">
      <c r="A983" s="6" t="s">
        <v>669</v>
      </c>
      <c r="B983" s="6" t="s">
        <v>1809</v>
      </c>
      <c r="C983" s="6" t="s">
        <v>1851</v>
      </c>
      <c r="D983" s="6" t="s">
        <v>1206</v>
      </c>
      <c r="E983" s="6" t="s">
        <v>429</v>
      </c>
      <c r="F983" s="6" t="s">
        <v>373</v>
      </c>
      <c r="G983" s="6" t="s">
        <v>240</v>
      </c>
    </row>
    <row r="984" ht="15.75" customHeight="1">
      <c r="A984" s="6" t="s">
        <v>669</v>
      </c>
      <c r="B984" s="6" t="s">
        <v>1809</v>
      </c>
      <c r="C984" s="6" t="s">
        <v>1851</v>
      </c>
      <c r="D984" s="6" t="s">
        <v>1209</v>
      </c>
      <c r="E984" s="6" t="s">
        <v>553</v>
      </c>
      <c r="G984" s="6" t="s">
        <v>240</v>
      </c>
    </row>
    <row r="985" ht="15.75" customHeight="1">
      <c r="A985" s="6" t="s">
        <v>745</v>
      </c>
      <c r="B985" s="6" t="s">
        <v>1809</v>
      </c>
      <c r="C985" s="6" t="s">
        <v>1851</v>
      </c>
      <c r="D985" s="6" t="s">
        <v>684</v>
      </c>
      <c r="E985" s="6" t="s">
        <v>429</v>
      </c>
      <c r="F985" s="6" t="s">
        <v>59</v>
      </c>
      <c r="G985" s="6" t="s">
        <v>459</v>
      </c>
    </row>
    <row r="986" ht="15.75" customHeight="1">
      <c r="A986" s="6" t="s">
        <v>745</v>
      </c>
      <c r="B986" s="6" t="s">
        <v>1809</v>
      </c>
      <c r="C986" s="6" t="s">
        <v>1851</v>
      </c>
      <c r="D986" s="6" t="s">
        <v>1209</v>
      </c>
      <c r="E986" s="6" t="s">
        <v>429</v>
      </c>
      <c r="F986" s="6" t="s">
        <v>59</v>
      </c>
      <c r="G986" s="6" t="s">
        <v>240</v>
      </c>
    </row>
    <row r="987" ht="15.75" customHeight="1">
      <c r="A987" s="6" t="s">
        <v>745</v>
      </c>
      <c r="B987" s="6" t="s">
        <v>1809</v>
      </c>
      <c r="C987" s="6" t="s">
        <v>1851</v>
      </c>
      <c r="D987" s="6" t="s">
        <v>747</v>
      </c>
      <c r="E987" s="6" t="s">
        <v>429</v>
      </c>
      <c r="F987" s="6" t="s">
        <v>59</v>
      </c>
      <c r="G987" s="6" t="s">
        <v>524</v>
      </c>
    </row>
    <row r="988" ht="15.75" customHeight="1">
      <c r="A988" s="6" t="s">
        <v>745</v>
      </c>
      <c r="B988" s="6" t="s">
        <v>1809</v>
      </c>
      <c r="C988" s="6" t="s">
        <v>1851</v>
      </c>
      <c r="D988" s="6" t="s">
        <v>848</v>
      </c>
      <c r="E988" s="6" t="s">
        <v>429</v>
      </c>
      <c r="F988" s="6" t="s">
        <v>59</v>
      </c>
      <c r="G988" s="6" t="s">
        <v>541</v>
      </c>
    </row>
    <row r="989" ht="15.75" customHeight="1">
      <c r="A989" s="6" t="s">
        <v>745</v>
      </c>
      <c r="B989" s="6" t="s">
        <v>1809</v>
      </c>
      <c r="C989" s="6" t="s">
        <v>1851</v>
      </c>
      <c r="D989" s="6" t="s">
        <v>747</v>
      </c>
      <c r="E989" s="6" t="s">
        <v>429</v>
      </c>
      <c r="F989" s="6" t="s">
        <v>373</v>
      </c>
      <c r="G989" s="6" t="s">
        <v>459</v>
      </c>
    </row>
    <row r="990" ht="15.75" customHeight="1">
      <c r="A990" s="6" t="s">
        <v>745</v>
      </c>
      <c r="B990" s="6" t="s">
        <v>1809</v>
      </c>
      <c r="C990" s="6" t="s">
        <v>1851</v>
      </c>
      <c r="D990" s="6" t="s">
        <v>1037</v>
      </c>
      <c r="E990" s="6" t="s">
        <v>553</v>
      </c>
      <c r="F990" s="6" t="s">
        <v>373</v>
      </c>
      <c r="G990" s="6" t="s">
        <v>459</v>
      </c>
    </row>
    <row r="991" ht="15.75" customHeight="1">
      <c r="A991" s="6" t="s">
        <v>745</v>
      </c>
      <c r="B991" s="6" t="s">
        <v>1809</v>
      </c>
      <c r="C991" s="6" t="s">
        <v>1851</v>
      </c>
      <c r="D991" s="6" t="s">
        <v>770</v>
      </c>
      <c r="E991" s="6" t="s">
        <v>429</v>
      </c>
      <c r="F991" s="6" t="s">
        <v>59</v>
      </c>
      <c r="G991" s="6" t="s">
        <v>524</v>
      </c>
    </row>
    <row r="992" ht="15.75" customHeight="1">
      <c r="A992" s="6" t="s">
        <v>745</v>
      </c>
      <c r="B992" s="6" t="s">
        <v>1809</v>
      </c>
      <c r="C992" s="6" t="s">
        <v>1851</v>
      </c>
      <c r="D992" s="6" t="s">
        <v>670</v>
      </c>
      <c r="E992" s="6" t="s">
        <v>429</v>
      </c>
      <c r="F992" s="6" t="s">
        <v>59</v>
      </c>
      <c r="G992" s="6" t="s">
        <v>946</v>
      </c>
    </row>
    <row r="993" ht="15.75" customHeight="1">
      <c r="A993" s="6" t="s">
        <v>745</v>
      </c>
      <c r="B993" s="6" t="s">
        <v>1809</v>
      </c>
      <c r="C993" s="6" t="s">
        <v>1851</v>
      </c>
      <c r="D993" s="6" t="s">
        <v>1216</v>
      </c>
      <c r="E993" s="6" t="s">
        <v>429</v>
      </c>
      <c r="F993" s="6" t="s">
        <v>373</v>
      </c>
      <c r="G993" s="6" t="s">
        <v>240</v>
      </c>
    </row>
    <row r="994" ht="15.75" customHeight="1">
      <c r="A994" s="6" t="s">
        <v>745</v>
      </c>
      <c r="B994" s="6" t="s">
        <v>1809</v>
      </c>
      <c r="C994" s="6" t="s">
        <v>1851</v>
      </c>
      <c r="D994" s="6" t="s">
        <v>1202</v>
      </c>
      <c r="E994" s="6" t="s">
        <v>429</v>
      </c>
      <c r="F994" s="6" t="s">
        <v>373</v>
      </c>
      <c r="G994" s="6" t="s">
        <v>240</v>
      </c>
    </row>
    <row r="995" ht="15.75" customHeight="1">
      <c r="A995" s="6" t="s">
        <v>745</v>
      </c>
      <c r="B995" s="6" t="s">
        <v>1809</v>
      </c>
      <c r="C995" s="6" t="s">
        <v>1851</v>
      </c>
      <c r="D995" s="6" t="s">
        <v>770</v>
      </c>
      <c r="E995" s="6" t="s">
        <v>429</v>
      </c>
      <c r="F995" s="6" t="s">
        <v>59</v>
      </c>
      <c r="G995" s="6" t="s">
        <v>524</v>
      </c>
    </row>
    <row r="996" ht="15.75" customHeight="1">
      <c r="A996" s="6" t="s">
        <v>818</v>
      </c>
      <c r="B996" s="6" t="s">
        <v>1809</v>
      </c>
      <c r="C996" s="6" t="s">
        <v>1851</v>
      </c>
      <c r="D996" s="6" t="s">
        <v>705</v>
      </c>
      <c r="E996" s="6" t="s">
        <v>429</v>
      </c>
      <c r="F996" s="6" t="s">
        <v>59</v>
      </c>
      <c r="G996" s="6" t="s">
        <v>556</v>
      </c>
    </row>
    <row r="997" ht="15.75" customHeight="1">
      <c r="A997" s="6" t="s">
        <v>818</v>
      </c>
      <c r="B997" s="6" t="s">
        <v>1809</v>
      </c>
      <c r="C997" s="6" t="s">
        <v>1851</v>
      </c>
      <c r="D997" s="6" t="s">
        <v>914</v>
      </c>
      <c r="E997" s="6" t="s">
        <v>429</v>
      </c>
      <c r="F997" s="6" t="s">
        <v>59</v>
      </c>
      <c r="G997" s="6" t="s">
        <v>524</v>
      </c>
    </row>
    <row r="998" ht="15.75" customHeight="1">
      <c r="A998" s="6" t="s">
        <v>818</v>
      </c>
      <c r="B998" s="6" t="s">
        <v>1809</v>
      </c>
      <c r="C998" s="6" t="s">
        <v>1851</v>
      </c>
      <c r="D998" s="6" t="s">
        <v>672</v>
      </c>
      <c r="E998" s="6" t="s">
        <v>553</v>
      </c>
      <c r="G998" s="6" t="s">
        <v>541</v>
      </c>
    </row>
    <row r="999" ht="15.75" customHeight="1">
      <c r="A999" s="6" t="s">
        <v>818</v>
      </c>
      <c r="B999" s="6" t="s">
        <v>1809</v>
      </c>
      <c r="C999" s="6" t="s">
        <v>1851</v>
      </c>
      <c r="D999" s="6" t="s">
        <v>747</v>
      </c>
      <c r="E999" s="6" t="s">
        <v>429</v>
      </c>
      <c r="F999" s="6" t="s">
        <v>59</v>
      </c>
      <c r="G999" s="6" t="s">
        <v>524</v>
      </c>
    </row>
    <row r="1000" ht="15.75" customHeight="1">
      <c r="A1000" s="6" t="s">
        <v>818</v>
      </c>
      <c r="B1000" s="6" t="s">
        <v>1809</v>
      </c>
      <c r="C1000" s="6" t="s">
        <v>1851</v>
      </c>
      <c r="D1000" s="6" t="s">
        <v>870</v>
      </c>
      <c r="E1000" s="6" t="s">
        <v>429</v>
      </c>
      <c r="F1000" s="6" t="s">
        <v>59</v>
      </c>
      <c r="G1000" s="6" t="s">
        <v>524</v>
      </c>
    </row>
    <row r="1001" ht="15.75" customHeight="1">
      <c r="A1001" s="6" t="s">
        <v>818</v>
      </c>
      <c r="B1001" s="6" t="s">
        <v>1809</v>
      </c>
      <c r="C1001" s="6" t="s">
        <v>1851</v>
      </c>
      <c r="D1001" s="6" t="s">
        <v>747</v>
      </c>
      <c r="E1001" s="6" t="s">
        <v>429</v>
      </c>
      <c r="F1001" s="6" t="s">
        <v>373</v>
      </c>
      <c r="G1001" s="6" t="s">
        <v>459</v>
      </c>
    </row>
    <row r="1002" ht="15.75" customHeight="1">
      <c r="A1002" s="6" t="s">
        <v>818</v>
      </c>
      <c r="B1002" s="6" t="s">
        <v>1809</v>
      </c>
      <c r="C1002" s="6" t="s">
        <v>1851</v>
      </c>
      <c r="D1002" s="6" t="s">
        <v>825</v>
      </c>
      <c r="E1002" s="6" t="s">
        <v>429</v>
      </c>
      <c r="F1002" s="6" t="s">
        <v>59</v>
      </c>
      <c r="G1002" s="6" t="s">
        <v>714</v>
      </c>
    </row>
    <row r="1003" ht="15.75" customHeight="1">
      <c r="A1003" s="6" t="s">
        <v>863</v>
      </c>
      <c r="B1003" s="6" t="s">
        <v>1809</v>
      </c>
      <c r="C1003" s="6" t="s">
        <v>1851</v>
      </c>
      <c r="D1003" s="6" t="s">
        <v>825</v>
      </c>
      <c r="E1003" s="6" t="s">
        <v>429</v>
      </c>
      <c r="F1003" s="6" t="s">
        <v>59</v>
      </c>
      <c r="G1003" s="6" t="s">
        <v>946</v>
      </c>
    </row>
    <row r="1004" ht="15.75" customHeight="1">
      <c r="A1004" s="6" t="s">
        <v>863</v>
      </c>
      <c r="B1004" s="6" t="s">
        <v>1809</v>
      </c>
      <c r="C1004" s="6" t="s">
        <v>1851</v>
      </c>
      <c r="D1004" s="6" t="s">
        <v>1230</v>
      </c>
      <c r="E1004" s="6" t="s">
        <v>429</v>
      </c>
      <c r="F1004" s="6" t="s">
        <v>59</v>
      </c>
      <c r="G1004" s="6" t="s">
        <v>240</v>
      </c>
    </row>
    <row r="1005" ht="15.75" customHeight="1">
      <c r="A1005" s="6" t="s">
        <v>863</v>
      </c>
      <c r="B1005" s="6" t="s">
        <v>1809</v>
      </c>
      <c r="C1005" s="6" t="s">
        <v>1851</v>
      </c>
      <c r="D1005" s="6" t="s">
        <v>1230</v>
      </c>
      <c r="E1005" s="6" t="s">
        <v>429</v>
      </c>
      <c r="F1005" s="6" t="s">
        <v>59</v>
      </c>
      <c r="G1005" s="6" t="s">
        <v>240</v>
      </c>
    </row>
    <row r="1006" ht="15.75" customHeight="1">
      <c r="A1006" s="6" t="s">
        <v>863</v>
      </c>
      <c r="B1006" s="6" t="s">
        <v>1809</v>
      </c>
      <c r="C1006" s="6" t="s">
        <v>1851</v>
      </c>
      <c r="D1006" s="6" t="s">
        <v>764</v>
      </c>
      <c r="E1006" s="6" t="s">
        <v>553</v>
      </c>
      <c r="G1006" s="6" t="s">
        <v>946</v>
      </c>
    </row>
    <row r="1007" ht="15.75" customHeight="1">
      <c r="A1007" s="6" t="s">
        <v>863</v>
      </c>
      <c r="B1007" s="6" t="s">
        <v>1809</v>
      </c>
      <c r="C1007" s="6" t="s">
        <v>1851</v>
      </c>
      <c r="D1007" s="6" t="s">
        <v>848</v>
      </c>
      <c r="E1007" s="6" t="s">
        <v>429</v>
      </c>
      <c r="F1007" s="6" t="s">
        <v>59</v>
      </c>
      <c r="G1007" s="6" t="s">
        <v>541</v>
      </c>
    </row>
    <row r="1008" ht="15.75" customHeight="1">
      <c r="A1008" s="6" t="s">
        <v>863</v>
      </c>
      <c r="B1008" s="6" t="s">
        <v>1809</v>
      </c>
      <c r="C1008" s="6" t="s">
        <v>1851</v>
      </c>
      <c r="D1008" s="6" t="s">
        <v>805</v>
      </c>
      <c r="E1008" s="6" t="s">
        <v>553</v>
      </c>
      <c r="G1008" s="6" t="s">
        <v>459</v>
      </c>
    </row>
    <row r="1009" ht="15.75" customHeight="1">
      <c r="A1009" s="6" t="s">
        <v>863</v>
      </c>
      <c r="B1009" s="6" t="s">
        <v>1809</v>
      </c>
      <c r="C1009" s="6" t="s">
        <v>1851</v>
      </c>
      <c r="D1009" s="6" t="s">
        <v>770</v>
      </c>
      <c r="E1009" s="6" t="s">
        <v>429</v>
      </c>
      <c r="F1009" s="6" t="s">
        <v>59</v>
      </c>
      <c r="G1009" s="6" t="s">
        <v>524</v>
      </c>
    </row>
    <row r="1010" ht="15.75" customHeight="1">
      <c r="A1010" s="6" t="s">
        <v>863</v>
      </c>
      <c r="B1010" s="6" t="s">
        <v>1809</v>
      </c>
      <c r="C1010" s="6" t="s">
        <v>1851</v>
      </c>
      <c r="D1010" s="6" t="s">
        <v>770</v>
      </c>
      <c r="E1010" s="6" t="s">
        <v>429</v>
      </c>
      <c r="F1010" s="6" t="s">
        <v>59</v>
      </c>
      <c r="G1010" s="6" t="s">
        <v>524</v>
      </c>
    </row>
    <row r="1011" ht="15.75" customHeight="1">
      <c r="A1011" s="6" t="s">
        <v>903</v>
      </c>
      <c r="B1011" s="6" t="s">
        <v>1809</v>
      </c>
      <c r="C1011" s="6" t="s">
        <v>1851</v>
      </c>
      <c r="D1011" s="6" t="s">
        <v>124</v>
      </c>
      <c r="E1011" s="6" t="s">
        <v>499</v>
      </c>
      <c r="F1011" s="6" t="s">
        <v>59</v>
      </c>
      <c r="G1011" s="6" t="s">
        <v>37</v>
      </c>
    </row>
    <row r="1012" ht="15.75" customHeight="1">
      <c r="A1012" s="6" t="s">
        <v>903</v>
      </c>
      <c r="B1012" s="6" t="s">
        <v>1809</v>
      </c>
      <c r="C1012" s="6" t="s">
        <v>1851</v>
      </c>
      <c r="D1012" s="6" t="s">
        <v>177</v>
      </c>
      <c r="E1012" s="6" t="s">
        <v>299</v>
      </c>
      <c r="F1012" s="6" t="s">
        <v>59</v>
      </c>
      <c r="G1012" s="6" t="s">
        <v>73</v>
      </c>
    </row>
    <row r="1013" ht="15.75" customHeight="1">
      <c r="A1013" s="6" t="s">
        <v>903</v>
      </c>
      <c r="B1013" s="6" t="s">
        <v>1809</v>
      </c>
      <c r="C1013" s="6" t="s">
        <v>1851</v>
      </c>
      <c r="D1013" s="6" t="s">
        <v>177</v>
      </c>
      <c r="E1013" s="6" t="s">
        <v>299</v>
      </c>
      <c r="F1013" s="6" t="s">
        <v>59</v>
      </c>
      <c r="G1013" s="6" t="s">
        <v>73</v>
      </c>
    </row>
    <row r="1014" ht="15.75" customHeight="1">
      <c r="A1014" s="6" t="s">
        <v>903</v>
      </c>
      <c r="B1014" s="6" t="s">
        <v>1809</v>
      </c>
      <c r="C1014" s="6" t="s">
        <v>1851</v>
      </c>
      <c r="D1014" s="6" t="s">
        <v>124</v>
      </c>
      <c r="E1014" s="6" t="s">
        <v>526</v>
      </c>
      <c r="F1014" s="6" t="s">
        <v>59</v>
      </c>
      <c r="G1014" s="6" t="s">
        <v>37</v>
      </c>
    </row>
    <row r="1015" ht="15.75" customHeight="1">
      <c r="A1015" s="6" t="s">
        <v>19</v>
      </c>
      <c r="B1015" s="6" t="s">
        <v>1822</v>
      </c>
      <c r="C1015" s="6" t="s">
        <v>1853</v>
      </c>
      <c r="D1015" s="6" t="s">
        <v>21</v>
      </c>
      <c r="E1015" s="6" t="s">
        <v>1299</v>
      </c>
      <c r="F1015" s="6" t="s">
        <v>30</v>
      </c>
      <c r="G1015" s="6" t="s">
        <v>1065</v>
      </c>
    </row>
    <row r="1016" ht="15.75" customHeight="1">
      <c r="A1016" s="6" t="s">
        <v>183</v>
      </c>
      <c r="B1016" s="6" t="s">
        <v>1822</v>
      </c>
      <c r="C1016" s="6" t="s">
        <v>1853</v>
      </c>
      <c r="D1016" s="6" t="s">
        <v>124</v>
      </c>
      <c r="E1016" s="6" t="s">
        <v>1307</v>
      </c>
      <c r="F1016" s="6" t="s">
        <v>30</v>
      </c>
      <c r="G1016" s="6" t="s">
        <v>1065</v>
      </c>
    </row>
    <row r="1017" ht="15.75" customHeight="1">
      <c r="A1017" s="6" t="s">
        <v>183</v>
      </c>
      <c r="B1017" s="6" t="s">
        <v>1822</v>
      </c>
      <c r="C1017" s="6" t="s">
        <v>1853</v>
      </c>
      <c r="D1017" s="6" t="s">
        <v>21</v>
      </c>
      <c r="E1017" s="6" t="s">
        <v>99</v>
      </c>
      <c r="F1017" s="6" t="s">
        <v>30</v>
      </c>
      <c r="G1017" s="6" t="s">
        <v>1311</v>
      </c>
    </row>
    <row r="1018" ht="15.75" customHeight="1">
      <c r="A1018" s="6" t="s">
        <v>297</v>
      </c>
      <c r="B1018" s="6" t="s">
        <v>1822</v>
      </c>
      <c r="C1018" s="6" t="s">
        <v>1853</v>
      </c>
      <c r="D1018" s="6" t="s">
        <v>21</v>
      </c>
      <c r="E1018" s="6" t="s">
        <v>1313</v>
      </c>
      <c r="F1018" s="6" t="s">
        <v>30</v>
      </c>
      <c r="G1018" s="6" t="s">
        <v>1311</v>
      </c>
    </row>
    <row r="1019" ht="15.75" customHeight="1">
      <c r="A1019" s="6" t="s">
        <v>297</v>
      </c>
      <c r="B1019" s="6" t="s">
        <v>1809</v>
      </c>
      <c r="C1019" s="6" t="s">
        <v>1853</v>
      </c>
      <c r="D1019" s="6" t="s">
        <v>235</v>
      </c>
      <c r="E1019" s="6" t="s">
        <v>353</v>
      </c>
      <c r="F1019" s="6" t="s">
        <v>30</v>
      </c>
      <c r="G1019" s="6" t="s">
        <v>37</v>
      </c>
    </row>
    <row r="1020" ht="15.75" customHeight="1">
      <c r="A1020" s="6" t="s">
        <v>297</v>
      </c>
      <c r="B1020" s="6" t="s">
        <v>1809</v>
      </c>
      <c r="C1020" s="6" t="s">
        <v>1853</v>
      </c>
      <c r="D1020" s="6" t="s">
        <v>124</v>
      </c>
      <c r="E1020" s="6" t="s">
        <v>1320</v>
      </c>
      <c r="F1020" s="6" t="s">
        <v>30</v>
      </c>
      <c r="G1020" s="6" t="s">
        <v>23</v>
      </c>
    </row>
    <row r="1021" ht="15.75" customHeight="1">
      <c r="A1021" s="6" t="s">
        <v>424</v>
      </c>
      <c r="B1021" s="6" t="s">
        <v>1822</v>
      </c>
      <c r="C1021" s="6" t="s">
        <v>1853</v>
      </c>
      <c r="D1021" s="6" t="s">
        <v>482</v>
      </c>
      <c r="E1021" s="6" t="s">
        <v>429</v>
      </c>
      <c r="F1021" s="6" t="s">
        <v>373</v>
      </c>
      <c r="G1021" s="6" t="s">
        <v>812</v>
      </c>
    </row>
    <row r="1022" ht="15.75" customHeight="1">
      <c r="A1022" s="6" t="s">
        <v>424</v>
      </c>
      <c r="B1022" s="6" t="s">
        <v>1822</v>
      </c>
      <c r="C1022" s="6" t="s">
        <v>1853</v>
      </c>
      <c r="D1022" s="6" t="s">
        <v>428</v>
      </c>
      <c r="E1022" s="6" t="s">
        <v>125</v>
      </c>
      <c r="F1022" s="6" t="s">
        <v>30</v>
      </c>
      <c r="G1022" s="6" t="s">
        <v>800</v>
      </c>
    </row>
    <row r="1023" ht="15.75" customHeight="1">
      <c r="A1023" s="6" t="s">
        <v>424</v>
      </c>
      <c r="B1023" s="6" t="s">
        <v>1822</v>
      </c>
      <c r="C1023" s="6" t="s">
        <v>1853</v>
      </c>
      <c r="D1023" s="6" t="s">
        <v>501</v>
      </c>
      <c r="E1023" s="6" t="s">
        <v>1313</v>
      </c>
      <c r="F1023" s="6" t="s">
        <v>30</v>
      </c>
      <c r="G1023" s="6" t="s">
        <v>812</v>
      </c>
    </row>
    <row r="1024" ht="15.75" customHeight="1">
      <c r="A1024" s="6" t="s">
        <v>521</v>
      </c>
      <c r="B1024" s="6" t="s">
        <v>1822</v>
      </c>
      <c r="C1024" s="6" t="s">
        <v>1853</v>
      </c>
      <c r="D1024" s="6" t="s">
        <v>596</v>
      </c>
      <c r="E1024" s="6" t="s">
        <v>1329</v>
      </c>
      <c r="F1024" s="6" t="s">
        <v>30</v>
      </c>
      <c r="G1024" s="6" t="s">
        <v>800</v>
      </c>
    </row>
    <row r="1025" ht="15.75" customHeight="1">
      <c r="A1025" s="6" t="s">
        <v>521</v>
      </c>
      <c r="B1025" s="6" t="s">
        <v>1809</v>
      </c>
      <c r="C1025" s="6" t="s">
        <v>1853</v>
      </c>
      <c r="D1025" s="6" t="s">
        <v>457</v>
      </c>
      <c r="E1025" s="6" t="s">
        <v>429</v>
      </c>
      <c r="F1025" s="6" t="s">
        <v>30</v>
      </c>
      <c r="G1025" s="6" t="s">
        <v>714</v>
      </c>
    </row>
    <row r="1026" ht="15.75" customHeight="1">
      <c r="A1026" s="6" t="s">
        <v>613</v>
      </c>
      <c r="B1026" s="6" t="s">
        <v>1809</v>
      </c>
      <c r="C1026" s="6" t="s">
        <v>1853</v>
      </c>
      <c r="D1026" s="6" t="s">
        <v>616</v>
      </c>
      <c r="E1026" s="6" t="s">
        <v>353</v>
      </c>
      <c r="F1026" s="6" t="s">
        <v>59</v>
      </c>
      <c r="G1026" s="6" t="s">
        <v>459</v>
      </c>
    </row>
    <row r="1027" ht="15.75" customHeight="1">
      <c r="A1027" s="6" t="s">
        <v>613</v>
      </c>
      <c r="B1027" s="6" t="s">
        <v>1822</v>
      </c>
      <c r="C1027" s="6" t="s">
        <v>1853</v>
      </c>
      <c r="D1027" s="6" t="s">
        <v>428</v>
      </c>
      <c r="E1027" s="6" t="s">
        <v>1329</v>
      </c>
      <c r="F1027" s="6" t="s">
        <v>30</v>
      </c>
      <c r="G1027" s="6" t="s">
        <v>812</v>
      </c>
    </row>
    <row r="1028" ht="15.75" customHeight="1">
      <c r="A1028" s="6" t="s">
        <v>669</v>
      </c>
      <c r="B1028" s="6" t="s">
        <v>1822</v>
      </c>
      <c r="C1028" s="6" t="s">
        <v>1853</v>
      </c>
      <c r="D1028" s="6" t="s">
        <v>684</v>
      </c>
      <c r="E1028" s="6" t="s">
        <v>429</v>
      </c>
      <c r="F1028" s="6" t="s">
        <v>984</v>
      </c>
      <c r="G1028" s="6" t="s">
        <v>812</v>
      </c>
    </row>
    <row r="1029" ht="15.75" customHeight="1">
      <c r="A1029" s="6" t="s">
        <v>669</v>
      </c>
      <c r="B1029" s="6" t="s">
        <v>1822</v>
      </c>
      <c r="C1029" s="6" t="s">
        <v>1853</v>
      </c>
      <c r="D1029" s="6" t="s">
        <v>764</v>
      </c>
      <c r="E1029" s="6" t="s">
        <v>429</v>
      </c>
      <c r="F1029" s="6" t="s">
        <v>984</v>
      </c>
      <c r="G1029" s="6" t="s">
        <v>800</v>
      </c>
    </row>
    <row r="1030" ht="15.75" customHeight="1">
      <c r="A1030" s="6" t="s">
        <v>669</v>
      </c>
      <c r="B1030" s="6" t="s">
        <v>1822</v>
      </c>
      <c r="C1030" s="6" t="s">
        <v>1853</v>
      </c>
      <c r="D1030" s="6" t="s">
        <v>848</v>
      </c>
      <c r="E1030" s="6" t="s">
        <v>429</v>
      </c>
      <c r="F1030" s="6" t="s">
        <v>984</v>
      </c>
      <c r="G1030" s="6" t="s">
        <v>800</v>
      </c>
    </row>
    <row r="1031" ht="15.75" customHeight="1">
      <c r="A1031" s="6" t="s">
        <v>669</v>
      </c>
      <c r="B1031" s="6" t="s">
        <v>1822</v>
      </c>
      <c r="C1031" s="6" t="s">
        <v>1853</v>
      </c>
      <c r="D1031" s="6" t="s">
        <v>870</v>
      </c>
      <c r="E1031" s="6" t="s">
        <v>429</v>
      </c>
      <c r="F1031" s="6" t="s">
        <v>984</v>
      </c>
      <c r="G1031" s="6" t="s">
        <v>812</v>
      </c>
    </row>
    <row r="1032" ht="15.75" customHeight="1">
      <c r="A1032" s="6" t="s">
        <v>745</v>
      </c>
      <c r="B1032" s="6" t="s">
        <v>1822</v>
      </c>
      <c r="C1032" s="6" t="s">
        <v>1853</v>
      </c>
      <c r="D1032" s="6" t="s">
        <v>781</v>
      </c>
      <c r="E1032" s="6" t="s">
        <v>429</v>
      </c>
      <c r="F1032" s="6" t="s">
        <v>984</v>
      </c>
      <c r="G1032" s="6" t="s">
        <v>812</v>
      </c>
    </row>
    <row r="1033" ht="15.75" customHeight="1">
      <c r="A1033" s="6" t="s">
        <v>818</v>
      </c>
      <c r="B1033" s="6" t="s">
        <v>1809</v>
      </c>
      <c r="C1033" s="6" t="s">
        <v>1853</v>
      </c>
      <c r="D1033" s="6" t="s">
        <v>684</v>
      </c>
      <c r="E1033" s="6" t="s">
        <v>429</v>
      </c>
      <c r="F1033" s="6" t="s">
        <v>59</v>
      </c>
      <c r="G1033" s="6" t="s">
        <v>714</v>
      </c>
    </row>
    <row r="1034" ht="15.75" customHeight="1">
      <c r="A1034" s="6" t="s">
        <v>863</v>
      </c>
      <c r="B1034" s="6" t="s">
        <v>1822</v>
      </c>
      <c r="C1034" s="6" t="s">
        <v>1853</v>
      </c>
      <c r="D1034" s="6" t="s">
        <v>672</v>
      </c>
      <c r="E1034" s="6" t="s">
        <v>429</v>
      </c>
      <c r="F1034" s="6" t="s">
        <v>984</v>
      </c>
      <c r="G1034" s="6" t="s">
        <v>812</v>
      </c>
    </row>
    <row r="1035" ht="15.75" customHeight="1">
      <c r="A1035" s="6" t="s">
        <v>903</v>
      </c>
      <c r="B1035" s="6" t="s">
        <v>1822</v>
      </c>
      <c r="C1035" s="6" t="s">
        <v>1853</v>
      </c>
      <c r="D1035" s="6" t="s">
        <v>133</v>
      </c>
      <c r="E1035" s="6" t="s">
        <v>1339</v>
      </c>
      <c r="F1035" s="6" t="s">
        <v>984</v>
      </c>
      <c r="G1035" s="6" t="s">
        <v>1311</v>
      </c>
    </row>
    <row r="1036" ht="15.75" customHeight="1">
      <c r="A1036" s="6" t="s">
        <v>903</v>
      </c>
      <c r="B1036" s="6" t="s">
        <v>1822</v>
      </c>
      <c r="C1036" s="6" t="s">
        <v>1853</v>
      </c>
      <c r="D1036" s="6" t="s">
        <v>124</v>
      </c>
      <c r="E1036" s="6" t="s">
        <v>1340</v>
      </c>
      <c r="F1036" s="6" t="s">
        <v>984</v>
      </c>
      <c r="G1036" s="6" t="s">
        <v>1065</v>
      </c>
    </row>
    <row r="1037" ht="15.75" customHeight="1">
      <c r="A1037" s="6" t="s">
        <v>903</v>
      </c>
      <c r="B1037" s="6" t="s">
        <v>1822</v>
      </c>
      <c r="C1037" s="6" t="s">
        <v>1853</v>
      </c>
      <c r="D1037" s="6" t="s">
        <v>21</v>
      </c>
      <c r="E1037" s="6" t="s">
        <v>499</v>
      </c>
      <c r="F1037" s="6" t="s">
        <v>984</v>
      </c>
      <c r="G1037" s="6" t="s">
        <v>1311</v>
      </c>
    </row>
    <row r="1038" ht="15.75" customHeight="1">
      <c r="A1038" s="6" t="s">
        <v>903</v>
      </c>
      <c r="B1038" s="6" t="s">
        <v>1822</v>
      </c>
      <c r="C1038" s="6" t="s">
        <v>1853</v>
      </c>
      <c r="D1038" s="6" t="s">
        <v>61</v>
      </c>
      <c r="E1038" s="6" t="s">
        <v>365</v>
      </c>
      <c r="F1038" s="6" t="s">
        <v>984</v>
      </c>
      <c r="G1038" s="6" t="s">
        <v>1311</v>
      </c>
    </row>
    <row r="1039" ht="15.75" customHeight="1">
      <c r="A1039" s="6" t="s">
        <v>19</v>
      </c>
      <c r="B1039" s="6" t="s">
        <v>1822</v>
      </c>
      <c r="C1039" s="6" t="s">
        <v>1854</v>
      </c>
      <c r="D1039" s="6" t="s">
        <v>235</v>
      </c>
      <c r="E1039" s="6" t="s">
        <v>1349</v>
      </c>
      <c r="F1039" s="6" t="s">
        <v>59</v>
      </c>
      <c r="G1039" s="6" t="s">
        <v>677</v>
      </c>
    </row>
    <row r="1040" ht="15.75" customHeight="1">
      <c r="A1040" s="6" t="s">
        <v>19</v>
      </c>
      <c r="B1040" s="6" t="s">
        <v>1822</v>
      </c>
      <c r="C1040" s="6" t="s">
        <v>1854</v>
      </c>
      <c r="D1040" s="6" t="s">
        <v>62</v>
      </c>
      <c r="E1040" s="6" t="s">
        <v>1355</v>
      </c>
      <c r="F1040" s="6" t="s">
        <v>30</v>
      </c>
      <c r="G1040" s="6" t="s">
        <v>677</v>
      </c>
    </row>
    <row r="1041" ht="15.75" customHeight="1">
      <c r="A1041" s="6" t="s">
        <v>19</v>
      </c>
      <c r="B1041" s="6" t="s">
        <v>1822</v>
      </c>
      <c r="C1041" s="6" t="s">
        <v>1854</v>
      </c>
      <c r="D1041" s="6" t="s">
        <v>61</v>
      </c>
      <c r="E1041" s="6" t="s">
        <v>1360</v>
      </c>
      <c r="F1041" s="6" t="s">
        <v>30</v>
      </c>
      <c r="G1041" s="6" t="s">
        <v>677</v>
      </c>
    </row>
    <row r="1042" ht="15.75" customHeight="1">
      <c r="A1042" s="6" t="s">
        <v>19</v>
      </c>
      <c r="B1042" s="6" t="s">
        <v>1822</v>
      </c>
      <c r="C1042" s="6" t="s">
        <v>1854</v>
      </c>
      <c r="D1042" s="6" t="s">
        <v>43</v>
      </c>
      <c r="E1042" s="6" t="s">
        <v>187</v>
      </c>
      <c r="F1042" s="6" t="s">
        <v>30</v>
      </c>
      <c r="G1042" s="6" t="s">
        <v>1065</v>
      </c>
    </row>
    <row r="1043" ht="15.75" customHeight="1">
      <c r="A1043" s="6" t="s">
        <v>19</v>
      </c>
      <c r="B1043" s="6" t="s">
        <v>1822</v>
      </c>
      <c r="C1043" s="6" t="s">
        <v>1854</v>
      </c>
      <c r="D1043" s="6" t="s">
        <v>112</v>
      </c>
      <c r="E1043" s="6" t="s">
        <v>1366</v>
      </c>
      <c r="F1043" s="6" t="s">
        <v>30</v>
      </c>
      <c r="G1043" s="6" t="s">
        <v>677</v>
      </c>
    </row>
    <row r="1044" ht="15.75" customHeight="1">
      <c r="A1044" s="6" t="s">
        <v>19</v>
      </c>
      <c r="B1044" s="6" t="s">
        <v>1822</v>
      </c>
      <c r="C1044" s="6" t="s">
        <v>1854</v>
      </c>
      <c r="D1044" s="6" t="s">
        <v>124</v>
      </c>
      <c r="E1044" s="6" t="s">
        <v>99</v>
      </c>
      <c r="F1044" s="6" t="s">
        <v>30</v>
      </c>
      <c r="G1044" s="6" t="s">
        <v>1065</v>
      </c>
    </row>
    <row r="1045" ht="15.75" customHeight="1">
      <c r="A1045" s="6" t="s">
        <v>19</v>
      </c>
      <c r="B1045" s="6" t="s">
        <v>1822</v>
      </c>
      <c r="C1045" s="6" t="s">
        <v>1854</v>
      </c>
      <c r="D1045" s="6" t="s">
        <v>262</v>
      </c>
      <c r="E1045" s="6" t="s">
        <v>1372</v>
      </c>
      <c r="F1045" s="6" t="s">
        <v>30</v>
      </c>
      <c r="G1045" s="6" t="s">
        <v>1065</v>
      </c>
    </row>
    <row r="1046" ht="15.75" customHeight="1">
      <c r="A1046" s="6" t="s">
        <v>19</v>
      </c>
      <c r="B1046" s="6" t="s">
        <v>1822</v>
      </c>
      <c r="C1046" s="6" t="s">
        <v>1854</v>
      </c>
      <c r="D1046" s="6" t="s">
        <v>35</v>
      </c>
      <c r="E1046" s="6" t="s">
        <v>64</v>
      </c>
      <c r="F1046" s="6" t="s">
        <v>30</v>
      </c>
      <c r="G1046" s="6" t="s">
        <v>1065</v>
      </c>
    </row>
    <row r="1047" ht="15.75" customHeight="1">
      <c r="A1047" s="6" t="s">
        <v>19</v>
      </c>
      <c r="B1047" s="6" t="s">
        <v>1822</v>
      </c>
      <c r="C1047" s="6" t="s">
        <v>1854</v>
      </c>
      <c r="D1047" s="6" t="s">
        <v>94</v>
      </c>
      <c r="E1047" s="6" t="s">
        <v>153</v>
      </c>
      <c r="F1047" s="6" t="s">
        <v>30</v>
      </c>
      <c r="G1047" s="6" t="s">
        <v>677</v>
      </c>
    </row>
    <row r="1048" ht="15.75" customHeight="1">
      <c r="A1048" s="6" t="s">
        <v>19</v>
      </c>
      <c r="B1048" s="6" t="s">
        <v>1822</v>
      </c>
      <c r="C1048" s="6" t="s">
        <v>1854</v>
      </c>
      <c r="D1048" s="6" t="s">
        <v>71</v>
      </c>
      <c r="E1048" s="6" t="s">
        <v>1329</v>
      </c>
      <c r="F1048" s="6" t="s">
        <v>30</v>
      </c>
      <c r="G1048" s="6" t="s">
        <v>677</v>
      </c>
    </row>
    <row r="1049" ht="15.75" customHeight="1">
      <c r="A1049" s="6" t="s">
        <v>19</v>
      </c>
      <c r="B1049" s="6" t="s">
        <v>1822</v>
      </c>
      <c r="C1049" s="6" t="s">
        <v>1854</v>
      </c>
      <c r="D1049" s="6" t="s">
        <v>61</v>
      </c>
      <c r="E1049" s="6" t="s">
        <v>84</v>
      </c>
      <c r="F1049" s="6" t="s">
        <v>30</v>
      </c>
      <c r="G1049" s="6" t="s">
        <v>1065</v>
      </c>
    </row>
    <row r="1050" ht="15.75" customHeight="1">
      <c r="A1050" s="6" t="s">
        <v>19</v>
      </c>
      <c r="B1050" s="6" t="s">
        <v>1822</v>
      </c>
      <c r="C1050" s="6" t="s">
        <v>1854</v>
      </c>
      <c r="D1050" s="6" t="s">
        <v>94</v>
      </c>
      <c r="E1050" s="6" t="s">
        <v>1382</v>
      </c>
      <c r="F1050" s="6" t="s">
        <v>30</v>
      </c>
      <c r="G1050" s="6" t="s">
        <v>1065</v>
      </c>
    </row>
    <row r="1051" ht="15.75" customHeight="1">
      <c r="A1051" s="6" t="s">
        <v>19</v>
      </c>
      <c r="B1051" s="6" t="s">
        <v>1822</v>
      </c>
      <c r="C1051" s="6" t="s">
        <v>1854</v>
      </c>
      <c r="D1051" s="6" t="s">
        <v>1384</v>
      </c>
      <c r="E1051" s="6" t="s">
        <v>1307</v>
      </c>
      <c r="F1051" s="6" t="s">
        <v>30</v>
      </c>
      <c r="G1051" s="6" t="s">
        <v>242</v>
      </c>
    </row>
    <row r="1052" ht="15.75" customHeight="1">
      <c r="A1052" s="6" t="s">
        <v>19</v>
      </c>
      <c r="B1052" s="6" t="s">
        <v>1822</v>
      </c>
      <c r="C1052" s="6" t="s">
        <v>1854</v>
      </c>
      <c r="D1052" s="6" t="s">
        <v>35</v>
      </c>
      <c r="E1052" s="6" t="s">
        <v>1387</v>
      </c>
      <c r="F1052" s="6" t="s">
        <v>30</v>
      </c>
      <c r="G1052" s="6" t="s">
        <v>677</v>
      </c>
    </row>
    <row r="1053" ht="15.75" customHeight="1">
      <c r="A1053" s="6" t="s">
        <v>19</v>
      </c>
      <c r="B1053" s="6" t="s">
        <v>1822</v>
      </c>
      <c r="C1053" s="6" t="s">
        <v>1854</v>
      </c>
      <c r="D1053" s="6" t="s">
        <v>35</v>
      </c>
      <c r="E1053" s="6" t="s">
        <v>1389</v>
      </c>
      <c r="F1053" s="6" t="s">
        <v>30</v>
      </c>
      <c r="G1053" s="6" t="s">
        <v>677</v>
      </c>
    </row>
    <row r="1054" ht="15.75" customHeight="1">
      <c r="A1054" s="6" t="s">
        <v>19</v>
      </c>
      <c r="B1054" s="6" t="s">
        <v>1822</v>
      </c>
      <c r="C1054" s="6" t="s">
        <v>1854</v>
      </c>
      <c r="D1054" s="6" t="s">
        <v>177</v>
      </c>
      <c r="E1054" s="6" t="s">
        <v>1391</v>
      </c>
      <c r="F1054" s="6" t="s">
        <v>30</v>
      </c>
      <c r="G1054" s="6" t="s">
        <v>677</v>
      </c>
    </row>
    <row r="1055" ht="15.75" customHeight="1">
      <c r="A1055" s="6" t="s">
        <v>19</v>
      </c>
      <c r="B1055" s="6" t="s">
        <v>1822</v>
      </c>
      <c r="C1055" s="6" t="s">
        <v>1854</v>
      </c>
      <c r="D1055" s="6" t="s">
        <v>145</v>
      </c>
      <c r="E1055" s="6" t="s">
        <v>1394</v>
      </c>
      <c r="F1055" s="6" t="s">
        <v>30</v>
      </c>
      <c r="G1055" s="6" t="s">
        <v>1065</v>
      </c>
    </row>
    <row r="1056" ht="15.75" customHeight="1">
      <c r="A1056" s="6" t="s">
        <v>19</v>
      </c>
      <c r="B1056" s="6" t="s">
        <v>1822</v>
      </c>
      <c r="C1056" s="6" t="s">
        <v>1854</v>
      </c>
      <c r="D1056" s="6" t="s">
        <v>177</v>
      </c>
      <c r="E1056" s="6" t="s">
        <v>1396</v>
      </c>
      <c r="F1056" s="6" t="s">
        <v>30</v>
      </c>
      <c r="G1056" s="6" t="s">
        <v>677</v>
      </c>
    </row>
    <row r="1057" ht="15.75" customHeight="1">
      <c r="A1057" s="6" t="s">
        <v>19</v>
      </c>
      <c r="B1057" s="6" t="s">
        <v>1822</v>
      </c>
      <c r="C1057" s="6" t="s">
        <v>1854</v>
      </c>
      <c r="D1057" s="6" t="s">
        <v>124</v>
      </c>
      <c r="E1057" s="6" t="s">
        <v>1399</v>
      </c>
      <c r="F1057" s="6" t="s">
        <v>30</v>
      </c>
      <c r="G1057" s="6" t="s">
        <v>23</v>
      </c>
    </row>
    <row r="1058" ht="15.75" customHeight="1">
      <c r="A1058" s="6" t="s">
        <v>19</v>
      </c>
      <c r="B1058" s="6" t="s">
        <v>1822</v>
      </c>
      <c r="C1058" s="6" t="s">
        <v>1854</v>
      </c>
      <c r="D1058" s="6" t="s">
        <v>262</v>
      </c>
      <c r="E1058" s="6" t="s">
        <v>1404</v>
      </c>
      <c r="F1058" s="6" t="s">
        <v>30</v>
      </c>
      <c r="G1058" s="6" t="s">
        <v>677</v>
      </c>
    </row>
    <row r="1059" ht="15.75" customHeight="1">
      <c r="A1059" s="6" t="s">
        <v>19</v>
      </c>
      <c r="B1059" s="6" t="s">
        <v>1822</v>
      </c>
      <c r="C1059" s="6" t="s">
        <v>1854</v>
      </c>
      <c r="D1059" s="6" t="s">
        <v>133</v>
      </c>
      <c r="E1059" s="6" t="s">
        <v>1406</v>
      </c>
      <c r="F1059" s="6" t="s">
        <v>30</v>
      </c>
      <c r="G1059" s="6" t="s">
        <v>1065</v>
      </c>
    </row>
    <row r="1060" ht="15.75" customHeight="1">
      <c r="A1060" s="6" t="s">
        <v>19</v>
      </c>
      <c r="B1060" s="6" t="s">
        <v>1822</v>
      </c>
      <c r="C1060" s="6" t="s">
        <v>1854</v>
      </c>
      <c r="D1060" s="6" t="s">
        <v>62</v>
      </c>
      <c r="E1060" s="6" t="s">
        <v>1409</v>
      </c>
      <c r="F1060" s="6" t="s">
        <v>30</v>
      </c>
      <c r="G1060" s="6" t="s">
        <v>23</v>
      </c>
    </row>
    <row r="1061" ht="15.75" customHeight="1">
      <c r="A1061" s="6" t="s">
        <v>19</v>
      </c>
      <c r="B1061" s="6" t="s">
        <v>1809</v>
      </c>
      <c r="C1061" s="6" t="s">
        <v>1854</v>
      </c>
      <c r="D1061" s="6" t="s">
        <v>142</v>
      </c>
      <c r="E1061" s="6" t="s">
        <v>125</v>
      </c>
      <c r="F1061" s="6" t="s">
        <v>30</v>
      </c>
      <c r="G1061" s="6" t="s">
        <v>211</v>
      </c>
    </row>
    <row r="1062" ht="15.75" customHeight="1">
      <c r="A1062" s="6" t="s">
        <v>19</v>
      </c>
      <c r="B1062" s="6" t="s">
        <v>1809</v>
      </c>
      <c r="C1062" s="6" t="s">
        <v>1854</v>
      </c>
      <c r="D1062" s="6" t="s">
        <v>177</v>
      </c>
      <c r="E1062" s="6" t="s">
        <v>1415</v>
      </c>
      <c r="F1062" s="6" t="s">
        <v>30</v>
      </c>
      <c r="G1062" s="6" t="s">
        <v>95</v>
      </c>
    </row>
    <row r="1063" ht="15.75" customHeight="1">
      <c r="A1063" s="6" t="s">
        <v>19</v>
      </c>
      <c r="B1063" s="6" t="s">
        <v>1809</v>
      </c>
      <c r="C1063" s="6" t="s">
        <v>1854</v>
      </c>
      <c r="D1063" s="6" t="s">
        <v>71</v>
      </c>
      <c r="E1063" s="6" t="s">
        <v>1420</v>
      </c>
      <c r="F1063" s="6" t="s">
        <v>30</v>
      </c>
      <c r="G1063" s="6" t="s">
        <v>95</v>
      </c>
    </row>
    <row r="1064" ht="15.75" customHeight="1">
      <c r="A1064" s="6" t="s">
        <v>19</v>
      </c>
      <c r="B1064" s="6" t="s">
        <v>1809</v>
      </c>
      <c r="C1064" s="6" t="s">
        <v>1854</v>
      </c>
      <c r="D1064" s="6" t="s">
        <v>112</v>
      </c>
      <c r="E1064" s="6" t="s">
        <v>1424</v>
      </c>
      <c r="F1064" s="6" t="s">
        <v>30</v>
      </c>
      <c r="G1064" s="6" t="s">
        <v>211</v>
      </c>
    </row>
    <row r="1065" ht="15.75" customHeight="1">
      <c r="A1065" s="6" t="s">
        <v>19</v>
      </c>
      <c r="B1065" s="6" t="s">
        <v>1809</v>
      </c>
      <c r="C1065" s="6" t="s">
        <v>1854</v>
      </c>
      <c r="D1065" s="6" t="s">
        <v>71</v>
      </c>
      <c r="E1065" s="6" t="s">
        <v>1428</v>
      </c>
      <c r="F1065" s="6" t="s">
        <v>30</v>
      </c>
      <c r="G1065" s="6" t="s">
        <v>95</v>
      </c>
    </row>
    <row r="1066" ht="15.75" customHeight="1">
      <c r="A1066" s="6" t="s">
        <v>19</v>
      </c>
      <c r="B1066" s="6" t="s">
        <v>1809</v>
      </c>
      <c r="C1066" s="6" t="s">
        <v>1854</v>
      </c>
      <c r="D1066" s="6" t="s">
        <v>71</v>
      </c>
      <c r="E1066" s="6" t="s">
        <v>1432</v>
      </c>
      <c r="F1066" s="6" t="s">
        <v>30</v>
      </c>
      <c r="G1066" s="6" t="s">
        <v>95</v>
      </c>
    </row>
    <row r="1067" ht="15.75" customHeight="1">
      <c r="A1067" s="6" t="s">
        <v>19</v>
      </c>
      <c r="B1067" s="6" t="s">
        <v>1809</v>
      </c>
      <c r="C1067" s="6" t="s">
        <v>1854</v>
      </c>
      <c r="D1067" s="6" t="s">
        <v>235</v>
      </c>
      <c r="E1067" s="6" t="s">
        <v>332</v>
      </c>
      <c r="F1067" s="6" t="s">
        <v>30</v>
      </c>
      <c r="G1067" s="6" t="s">
        <v>95</v>
      </c>
    </row>
    <row r="1068" ht="15.75" customHeight="1">
      <c r="A1068" s="6" t="s">
        <v>19</v>
      </c>
      <c r="B1068" s="6" t="s">
        <v>1809</v>
      </c>
      <c r="C1068" s="6" t="s">
        <v>1854</v>
      </c>
      <c r="D1068" s="6" t="s">
        <v>61</v>
      </c>
      <c r="E1068" s="6" t="s">
        <v>84</v>
      </c>
      <c r="F1068" s="6" t="s">
        <v>30</v>
      </c>
      <c r="G1068" s="6" t="s">
        <v>46</v>
      </c>
    </row>
    <row r="1069" ht="15.75" customHeight="1">
      <c r="A1069" s="6" t="s">
        <v>19</v>
      </c>
      <c r="B1069" s="6" t="s">
        <v>1809</v>
      </c>
      <c r="C1069" s="6" t="s">
        <v>1854</v>
      </c>
      <c r="D1069" s="6" t="s">
        <v>21</v>
      </c>
      <c r="E1069" s="6" t="s">
        <v>1441</v>
      </c>
      <c r="F1069" s="6" t="s">
        <v>30</v>
      </c>
      <c r="G1069" s="6" t="s">
        <v>95</v>
      </c>
    </row>
    <row r="1070" ht="15.75" customHeight="1">
      <c r="A1070" s="6" t="s">
        <v>19</v>
      </c>
      <c r="B1070" s="6" t="s">
        <v>1809</v>
      </c>
      <c r="C1070" s="6" t="s">
        <v>1854</v>
      </c>
      <c r="D1070" s="6" t="s">
        <v>50</v>
      </c>
      <c r="E1070" s="6" t="s">
        <v>1445</v>
      </c>
      <c r="F1070" s="6" t="s">
        <v>30</v>
      </c>
      <c r="G1070" s="6" t="s">
        <v>95</v>
      </c>
    </row>
    <row r="1071" ht="15.75" customHeight="1">
      <c r="A1071" s="6" t="s">
        <v>183</v>
      </c>
      <c r="B1071" s="6" t="s">
        <v>1822</v>
      </c>
      <c r="C1071" s="6" t="s">
        <v>1854</v>
      </c>
      <c r="D1071" s="6" t="s">
        <v>262</v>
      </c>
      <c r="E1071" s="6" t="s">
        <v>1451</v>
      </c>
      <c r="F1071" s="6" t="s">
        <v>30</v>
      </c>
      <c r="G1071" s="6" t="s">
        <v>677</v>
      </c>
    </row>
    <row r="1072" ht="15.75" customHeight="1">
      <c r="A1072" s="6" t="s">
        <v>183</v>
      </c>
      <c r="B1072" s="6" t="s">
        <v>1822</v>
      </c>
      <c r="C1072" s="6" t="s">
        <v>1854</v>
      </c>
      <c r="D1072" s="6" t="s">
        <v>62</v>
      </c>
      <c r="E1072" s="6" t="s">
        <v>1454</v>
      </c>
      <c r="F1072" s="6" t="s">
        <v>30</v>
      </c>
      <c r="G1072" s="6" t="s">
        <v>677</v>
      </c>
    </row>
    <row r="1073" ht="15.75" customHeight="1">
      <c r="A1073" s="6" t="s">
        <v>183</v>
      </c>
      <c r="B1073" s="6" t="s">
        <v>1822</v>
      </c>
      <c r="C1073" s="6" t="s">
        <v>1854</v>
      </c>
      <c r="D1073" s="6" t="s">
        <v>43</v>
      </c>
      <c r="E1073" s="6" t="s">
        <v>1382</v>
      </c>
      <c r="F1073" s="6" t="s">
        <v>30</v>
      </c>
      <c r="G1073" s="6" t="s">
        <v>1311</v>
      </c>
    </row>
    <row r="1074" ht="15.75" customHeight="1">
      <c r="A1074" s="6" t="s">
        <v>183</v>
      </c>
      <c r="B1074" s="6" t="s">
        <v>1822</v>
      </c>
      <c r="C1074" s="6" t="s">
        <v>1854</v>
      </c>
      <c r="D1074" s="6" t="s">
        <v>62</v>
      </c>
      <c r="E1074" s="6" t="s">
        <v>63</v>
      </c>
      <c r="F1074" s="6" t="s">
        <v>30</v>
      </c>
      <c r="G1074" s="6" t="s">
        <v>1311</v>
      </c>
    </row>
    <row r="1075" ht="15.75" customHeight="1">
      <c r="A1075" s="6" t="s">
        <v>183</v>
      </c>
      <c r="B1075" s="6" t="s">
        <v>1822</v>
      </c>
      <c r="C1075" s="6" t="s">
        <v>1854</v>
      </c>
      <c r="D1075" s="6" t="s">
        <v>177</v>
      </c>
      <c r="E1075" s="6" t="s">
        <v>1461</v>
      </c>
      <c r="F1075" s="6" t="s">
        <v>30</v>
      </c>
      <c r="G1075" s="6" t="s">
        <v>1065</v>
      </c>
    </row>
    <row r="1076" ht="15.75" customHeight="1">
      <c r="A1076" s="6" t="s">
        <v>183</v>
      </c>
      <c r="B1076" s="6" t="s">
        <v>1822</v>
      </c>
      <c r="C1076" s="6" t="s">
        <v>1854</v>
      </c>
      <c r="D1076" s="6" t="s">
        <v>21</v>
      </c>
      <c r="E1076" s="6" t="s">
        <v>1464</v>
      </c>
      <c r="F1076" s="6" t="s">
        <v>984</v>
      </c>
      <c r="G1076" s="6" t="s">
        <v>677</v>
      </c>
    </row>
    <row r="1077" ht="15.75" customHeight="1">
      <c r="A1077" s="6" t="s">
        <v>183</v>
      </c>
      <c r="B1077" s="6" t="s">
        <v>1822</v>
      </c>
      <c r="C1077" s="6" t="s">
        <v>1854</v>
      </c>
      <c r="D1077" s="6" t="s">
        <v>111</v>
      </c>
      <c r="E1077" s="6" t="s">
        <v>1469</v>
      </c>
      <c r="F1077" s="6" t="s">
        <v>30</v>
      </c>
      <c r="G1077" s="6" t="s">
        <v>242</v>
      </c>
    </row>
    <row r="1078" ht="15.75" customHeight="1">
      <c r="A1078" s="6" t="s">
        <v>183</v>
      </c>
      <c r="B1078" s="6" t="s">
        <v>1822</v>
      </c>
      <c r="C1078" s="6" t="s">
        <v>1854</v>
      </c>
      <c r="D1078" s="6" t="s">
        <v>262</v>
      </c>
      <c r="E1078" s="6" t="s">
        <v>301</v>
      </c>
      <c r="F1078" s="6" t="s">
        <v>30</v>
      </c>
      <c r="G1078" s="6" t="s">
        <v>1311</v>
      </c>
    </row>
    <row r="1079" ht="15.75" customHeight="1">
      <c r="A1079" s="6" t="s">
        <v>183</v>
      </c>
      <c r="B1079" s="6" t="s">
        <v>1822</v>
      </c>
      <c r="C1079" s="6" t="s">
        <v>1854</v>
      </c>
      <c r="D1079" s="6" t="s">
        <v>61</v>
      </c>
      <c r="E1079" s="6" t="s">
        <v>1472</v>
      </c>
      <c r="F1079" s="6" t="s">
        <v>30</v>
      </c>
      <c r="G1079" s="6" t="s">
        <v>677</v>
      </c>
    </row>
    <row r="1080" ht="15.75" customHeight="1">
      <c r="A1080" s="6" t="s">
        <v>183</v>
      </c>
      <c r="B1080" s="6" t="s">
        <v>1822</v>
      </c>
      <c r="C1080" s="6" t="s">
        <v>1854</v>
      </c>
      <c r="D1080" s="6" t="s">
        <v>50</v>
      </c>
      <c r="E1080" s="6" t="s">
        <v>93</v>
      </c>
      <c r="F1080" s="6" t="s">
        <v>30</v>
      </c>
      <c r="G1080" s="6" t="s">
        <v>1065</v>
      </c>
    </row>
    <row r="1081" ht="15.75" customHeight="1">
      <c r="A1081" s="6" t="s">
        <v>183</v>
      </c>
      <c r="B1081" s="6" t="s">
        <v>1822</v>
      </c>
      <c r="C1081" s="6" t="s">
        <v>1854</v>
      </c>
      <c r="D1081" s="6" t="s">
        <v>262</v>
      </c>
      <c r="E1081" s="6" t="s">
        <v>1477</v>
      </c>
      <c r="F1081" s="6" t="s">
        <v>30</v>
      </c>
      <c r="G1081" s="6" t="s">
        <v>677</v>
      </c>
    </row>
    <row r="1082" ht="15.75" customHeight="1">
      <c r="A1082" s="6" t="s">
        <v>183</v>
      </c>
      <c r="B1082" s="6" t="s">
        <v>1822</v>
      </c>
      <c r="C1082" s="6" t="s">
        <v>1854</v>
      </c>
      <c r="D1082" s="6" t="s">
        <v>62</v>
      </c>
      <c r="E1082" s="6" t="s">
        <v>1480</v>
      </c>
      <c r="F1082" s="6" t="s">
        <v>30</v>
      </c>
      <c r="G1082" s="6" t="s">
        <v>677</v>
      </c>
    </row>
    <row r="1083" ht="15.75" customHeight="1">
      <c r="A1083" s="6" t="s">
        <v>183</v>
      </c>
      <c r="B1083" s="6" t="s">
        <v>1822</v>
      </c>
      <c r="C1083" s="6" t="s">
        <v>1854</v>
      </c>
      <c r="D1083" s="6" t="s">
        <v>21</v>
      </c>
      <c r="E1083" s="6" t="s">
        <v>1483</v>
      </c>
      <c r="F1083" s="6" t="s">
        <v>30</v>
      </c>
      <c r="G1083" s="6" t="s">
        <v>677</v>
      </c>
    </row>
    <row r="1084" ht="15.75" customHeight="1">
      <c r="A1084" s="6" t="s">
        <v>183</v>
      </c>
      <c r="B1084" s="6" t="s">
        <v>1822</v>
      </c>
      <c r="C1084" s="6" t="s">
        <v>1854</v>
      </c>
      <c r="D1084" s="6" t="s">
        <v>262</v>
      </c>
      <c r="E1084" s="6" t="s">
        <v>1486</v>
      </c>
      <c r="F1084" s="6" t="s">
        <v>30</v>
      </c>
      <c r="G1084" s="6" t="s">
        <v>677</v>
      </c>
    </row>
    <row r="1085" ht="15.75" customHeight="1">
      <c r="A1085" s="6" t="s">
        <v>183</v>
      </c>
      <c r="B1085" s="6" t="s">
        <v>1822</v>
      </c>
      <c r="C1085" s="6" t="s">
        <v>1854</v>
      </c>
      <c r="D1085" s="6" t="s">
        <v>262</v>
      </c>
      <c r="E1085" s="6" t="s">
        <v>125</v>
      </c>
      <c r="F1085" s="6" t="s">
        <v>30</v>
      </c>
      <c r="G1085" s="6" t="s">
        <v>677</v>
      </c>
    </row>
    <row r="1086" ht="15.75" customHeight="1">
      <c r="A1086" s="6" t="s">
        <v>183</v>
      </c>
      <c r="B1086" s="6" t="s">
        <v>1822</v>
      </c>
      <c r="C1086" s="6" t="s">
        <v>1854</v>
      </c>
      <c r="D1086" s="6" t="s">
        <v>94</v>
      </c>
      <c r="E1086" s="6" t="s">
        <v>76</v>
      </c>
      <c r="F1086" s="6" t="s">
        <v>30</v>
      </c>
      <c r="G1086" s="6" t="s">
        <v>1065</v>
      </c>
    </row>
    <row r="1087" ht="15.75" customHeight="1">
      <c r="A1087" s="6" t="s">
        <v>183</v>
      </c>
      <c r="B1087" s="6" t="s">
        <v>1822</v>
      </c>
      <c r="C1087" s="6" t="s">
        <v>1854</v>
      </c>
      <c r="D1087" s="6" t="s">
        <v>43</v>
      </c>
      <c r="E1087" s="6" t="s">
        <v>1492</v>
      </c>
      <c r="F1087" s="6" t="s">
        <v>30</v>
      </c>
      <c r="G1087" s="6" t="s">
        <v>677</v>
      </c>
    </row>
    <row r="1088" ht="15.75" customHeight="1">
      <c r="A1088" s="6" t="s">
        <v>183</v>
      </c>
      <c r="B1088" s="6" t="s">
        <v>1822</v>
      </c>
      <c r="C1088" s="6" t="s">
        <v>1854</v>
      </c>
      <c r="D1088" s="6" t="s">
        <v>235</v>
      </c>
      <c r="E1088" s="6" t="s">
        <v>1382</v>
      </c>
      <c r="F1088" s="6" t="s">
        <v>30</v>
      </c>
      <c r="G1088" s="6" t="s">
        <v>1065</v>
      </c>
    </row>
    <row r="1089" ht="15.75" customHeight="1">
      <c r="A1089" s="6" t="s">
        <v>183</v>
      </c>
      <c r="B1089" s="6" t="s">
        <v>1822</v>
      </c>
      <c r="C1089" s="6" t="s">
        <v>1854</v>
      </c>
      <c r="D1089" s="6" t="s">
        <v>43</v>
      </c>
      <c r="E1089" s="6" t="s">
        <v>1496</v>
      </c>
      <c r="F1089" s="6" t="s">
        <v>984</v>
      </c>
      <c r="G1089" s="6" t="s">
        <v>677</v>
      </c>
    </row>
    <row r="1090" ht="15.75" customHeight="1">
      <c r="A1090" s="6" t="s">
        <v>183</v>
      </c>
      <c r="B1090" s="6" t="s">
        <v>1809</v>
      </c>
      <c r="C1090" s="6" t="s">
        <v>1854</v>
      </c>
      <c r="D1090" s="6" t="s">
        <v>133</v>
      </c>
      <c r="E1090" s="6" t="s">
        <v>312</v>
      </c>
      <c r="F1090" s="6" t="s">
        <v>30</v>
      </c>
      <c r="G1090" s="6" t="s">
        <v>211</v>
      </c>
    </row>
    <row r="1091" ht="15.75" customHeight="1">
      <c r="A1091" s="6" t="s">
        <v>297</v>
      </c>
      <c r="B1091" s="6" t="s">
        <v>1822</v>
      </c>
      <c r="C1091" s="6" t="s">
        <v>1854</v>
      </c>
      <c r="D1091" s="6" t="s">
        <v>145</v>
      </c>
      <c r="E1091" s="6" t="s">
        <v>1502</v>
      </c>
      <c r="F1091" s="6" t="s">
        <v>30</v>
      </c>
      <c r="G1091" s="6" t="s">
        <v>1065</v>
      </c>
    </row>
    <row r="1092" ht="15.75" customHeight="1">
      <c r="A1092" s="6" t="s">
        <v>297</v>
      </c>
      <c r="B1092" s="6" t="s">
        <v>1822</v>
      </c>
      <c r="C1092" s="6" t="s">
        <v>1854</v>
      </c>
      <c r="D1092" s="6" t="s">
        <v>1505</v>
      </c>
      <c r="E1092" s="6" t="s">
        <v>1506</v>
      </c>
      <c r="F1092" s="6" t="s">
        <v>30</v>
      </c>
      <c r="G1092" s="6" t="s">
        <v>242</v>
      </c>
    </row>
    <row r="1093" ht="15.75" customHeight="1">
      <c r="A1093" s="6" t="s">
        <v>297</v>
      </c>
      <c r="B1093" s="6" t="s">
        <v>1822</v>
      </c>
      <c r="C1093" s="6" t="s">
        <v>1854</v>
      </c>
      <c r="D1093" s="6" t="s">
        <v>912</v>
      </c>
      <c r="E1093" s="6" t="s">
        <v>1469</v>
      </c>
      <c r="F1093" s="6" t="s">
        <v>30</v>
      </c>
      <c r="G1093" s="6" t="s">
        <v>242</v>
      </c>
    </row>
    <row r="1094" ht="15.75" customHeight="1">
      <c r="A1094" s="6" t="s">
        <v>297</v>
      </c>
      <c r="B1094" s="6" t="s">
        <v>1822</v>
      </c>
      <c r="C1094" s="6" t="s">
        <v>1854</v>
      </c>
      <c r="D1094" s="6" t="s">
        <v>262</v>
      </c>
      <c r="E1094" s="6" t="s">
        <v>114</v>
      </c>
      <c r="F1094" s="6" t="s">
        <v>30</v>
      </c>
      <c r="G1094" s="6" t="s">
        <v>677</v>
      </c>
    </row>
    <row r="1095" ht="15.75" customHeight="1">
      <c r="A1095" s="6" t="s">
        <v>297</v>
      </c>
      <c r="B1095" s="6" t="s">
        <v>1822</v>
      </c>
      <c r="C1095" s="6" t="s">
        <v>1854</v>
      </c>
      <c r="D1095" s="6" t="s">
        <v>43</v>
      </c>
      <c r="E1095" s="6" t="s">
        <v>22</v>
      </c>
      <c r="F1095" s="6" t="s">
        <v>30</v>
      </c>
      <c r="G1095" s="6" t="s">
        <v>1311</v>
      </c>
    </row>
    <row r="1096" ht="15.75" customHeight="1">
      <c r="A1096" s="6" t="s">
        <v>297</v>
      </c>
      <c r="B1096" s="6" t="s">
        <v>1822</v>
      </c>
      <c r="C1096" s="6" t="s">
        <v>1854</v>
      </c>
      <c r="D1096" s="6" t="s">
        <v>262</v>
      </c>
      <c r="E1096" s="6" t="s">
        <v>114</v>
      </c>
      <c r="F1096" s="6" t="s">
        <v>30</v>
      </c>
      <c r="G1096" s="6" t="s">
        <v>677</v>
      </c>
    </row>
    <row r="1097" ht="15.75" customHeight="1">
      <c r="A1097" s="6" t="s">
        <v>297</v>
      </c>
      <c r="B1097" s="6" t="s">
        <v>1822</v>
      </c>
      <c r="C1097" s="6" t="s">
        <v>1854</v>
      </c>
      <c r="D1097" s="6" t="s">
        <v>262</v>
      </c>
      <c r="E1097" s="6" t="s">
        <v>1469</v>
      </c>
      <c r="F1097" s="6" t="s">
        <v>30</v>
      </c>
      <c r="G1097" s="6" t="s">
        <v>242</v>
      </c>
    </row>
    <row r="1098" ht="15.75" customHeight="1">
      <c r="A1098" s="6" t="s">
        <v>297</v>
      </c>
      <c r="B1098" s="6" t="s">
        <v>1822</v>
      </c>
      <c r="C1098" s="6" t="s">
        <v>1854</v>
      </c>
      <c r="D1098" s="6" t="s">
        <v>43</v>
      </c>
      <c r="E1098" s="6" t="s">
        <v>1514</v>
      </c>
      <c r="F1098" s="6" t="s">
        <v>30</v>
      </c>
      <c r="G1098" s="6" t="s">
        <v>677</v>
      </c>
    </row>
    <row r="1099" ht="15.75" customHeight="1">
      <c r="A1099" s="6" t="s">
        <v>297</v>
      </c>
      <c r="B1099" s="6" t="s">
        <v>1822</v>
      </c>
      <c r="C1099" s="6" t="s">
        <v>1854</v>
      </c>
      <c r="D1099" s="6" t="s">
        <v>127</v>
      </c>
      <c r="E1099" s="6" t="s">
        <v>1516</v>
      </c>
      <c r="F1099" s="6" t="s">
        <v>30</v>
      </c>
      <c r="G1099" s="6" t="s">
        <v>242</v>
      </c>
    </row>
    <row r="1100" ht="15.75" customHeight="1">
      <c r="A1100" s="6" t="s">
        <v>297</v>
      </c>
      <c r="B1100" s="6" t="s">
        <v>1822</v>
      </c>
      <c r="C1100" s="6" t="s">
        <v>1854</v>
      </c>
      <c r="D1100" s="6" t="s">
        <v>133</v>
      </c>
      <c r="E1100" s="6" t="s">
        <v>1519</v>
      </c>
      <c r="F1100" s="6" t="s">
        <v>30</v>
      </c>
      <c r="G1100" s="6" t="s">
        <v>677</v>
      </c>
    </row>
    <row r="1101" ht="15.75" customHeight="1">
      <c r="A1101" s="6" t="s">
        <v>297</v>
      </c>
      <c r="B1101" s="6" t="s">
        <v>1822</v>
      </c>
      <c r="C1101" s="6" t="s">
        <v>1854</v>
      </c>
      <c r="D1101" s="6" t="s">
        <v>71</v>
      </c>
      <c r="E1101" s="6" t="s">
        <v>125</v>
      </c>
      <c r="F1101" s="6" t="s">
        <v>30</v>
      </c>
      <c r="G1101" s="6" t="s">
        <v>1065</v>
      </c>
    </row>
    <row r="1102" ht="15.75" customHeight="1">
      <c r="A1102" s="6" t="s">
        <v>297</v>
      </c>
      <c r="B1102" s="6" t="s">
        <v>1822</v>
      </c>
      <c r="C1102" s="6" t="s">
        <v>1854</v>
      </c>
      <c r="D1102" s="6" t="s">
        <v>50</v>
      </c>
      <c r="E1102" s="6" t="s">
        <v>1524</v>
      </c>
      <c r="F1102" s="6" t="s">
        <v>30</v>
      </c>
      <c r="G1102" s="6" t="s">
        <v>1065</v>
      </c>
    </row>
    <row r="1103" ht="15.75" customHeight="1">
      <c r="A1103" s="6" t="s">
        <v>297</v>
      </c>
      <c r="B1103" s="6" t="s">
        <v>1822</v>
      </c>
      <c r="C1103" s="6" t="s">
        <v>1854</v>
      </c>
      <c r="D1103" s="6" t="s">
        <v>61</v>
      </c>
      <c r="E1103" s="6" t="s">
        <v>1526</v>
      </c>
      <c r="F1103" s="6" t="s">
        <v>30</v>
      </c>
      <c r="G1103" s="6" t="s">
        <v>677</v>
      </c>
    </row>
    <row r="1104" ht="15.75" customHeight="1">
      <c r="A1104" s="6" t="s">
        <v>297</v>
      </c>
      <c r="B1104" s="6" t="s">
        <v>1822</v>
      </c>
      <c r="C1104" s="6" t="s">
        <v>1854</v>
      </c>
      <c r="D1104" s="6" t="s">
        <v>62</v>
      </c>
      <c r="E1104" s="6" t="s">
        <v>312</v>
      </c>
      <c r="F1104" s="6" t="s">
        <v>30</v>
      </c>
      <c r="G1104" s="6" t="s">
        <v>1311</v>
      </c>
    </row>
    <row r="1105" ht="15.75" customHeight="1">
      <c r="A1105" s="6" t="s">
        <v>297</v>
      </c>
      <c r="B1105" s="6" t="s">
        <v>1822</v>
      </c>
      <c r="C1105" s="6" t="s">
        <v>1854</v>
      </c>
      <c r="D1105" s="6" t="s">
        <v>112</v>
      </c>
      <c r="E1105" s="6" t="s">
        <v>525</v>
      </c>
      <c r="F1105" s="6" t="s">
        <v>984</v>
      </c>
      <c r="G1105" s="6" t="s">
        <v>1065</v>
      </c>
    </row>
    <row r="1106" ht="15.75" customHeight="1">
      <c r="A1106" s="6" t="s">
        <v>297</v>
      </c>
      <c r="B1106" s="6" t="s">
        <v>1822</v>
      </c>
      <c r="C1106" s="6" t="s">
        <v>1854</v>
      </c>
      <c r="D1106" s="6" t="s">
        <v>124</v>
      </c>
      <c r="E1106" s="6" t="s">
        <v>1532</v>
      </c>
      <c r="F1106" s="6" t="s">
        <v>984</v>
      </c>
      <c r="G1106" s="6" t="s">
        <v>1065</v>
      </c>
    </row>
    <row r="1107" ht="15.75" customHeight="1">
      <c r="A1107" s="6" t="s">
        <v>297</v>
      </c>
      <c r="B1107" s="6" t="s">
        <v>1822</v>
      </c>
      <c r="C1107" s="6" t="s">
        <v>1854</v>
      </c>
      <c r="D1107" s="6" t="s">
        <v>35</v>
      </c>
      <c r="E1107" s="6" t="s">
        <v>835</v>
      </c>
      <c r="F1107" s="6" t="s">
        <v>984</v>
      </c>
      <c r="G1107" s="6" t="s">
        <v>1311</v>
      </c>
    </row>
    <row r="1108" ht="15.75" customHeight="1">
      <c r="A1108" s="6" t="s">
        <v>297</v>
      </c>
      <c r="B1108" s="6" t="s">
        <v>1822</v>
      </c>
      <c r="C1108" s="6" t="s">
        <v>1854</v>
      </c>
      <c r="D1108" s="6" t="s">
        <v>142</v>
      </c>
      <c r="E1108" s="6" t="s">
        <v>1535</v>
      </c>
      <c r="F1108" s="6" t="s">
        <v>30</v>
      </c>
      <c r="G1108" s="6" t="s">
        <v>1065</v>
      </c>
    </row>
    <row r="1109" ht="15.75" customHeight="1">
      <c r="A1109" s="6" t="s">
        <v>297</v>
      </c>
      <c r="B1109" s="6" t="s">
        <v>1822</v>
      </c>
      <c r="C1109" s="6" t="s">
        <v>1854</v>
      </c>
      <c r="D1109" s="6" t="s">
        <v>35</v>
      </c>
      <c r="E1109" s="6" t="s">
        <v>36</v>
      </c>
      <c r="F1109" s="6" t="s">
        <v>30</v>
      </c>
      <c r="G1109" s="6" t="s">
        <v>1065</v>
      </c>
    </row>
    <row r="1110" ht="15.75" customHeight="1">
      <c r="A1110" s="6" t="s">
        <v>297</v>
      </c>
      <c r="B1110" s="6" t="s">
        <v>1822</v>
      </c>
      <c r="C1110" s="6" t="s">
        <v>1854</v>
      </c>
      <c r="D1110" s="6" t="s">
        <v>262</v>
      </c>
      <c r="E1110" s="6" t="s">
        <v>1537</v>
      </c>
      <c r="F1110" s="6" t="s">
        <v>30</v>
      </c>
      <c r="G1110" s="6" t="s">
        <v>677</v>
      </c>
    </row>
    <row r="1111" ht="15.75" customHeight="1">
      <c r="A1111" s="6" t="s">
        <v>297</v>
      </c>
      <c r="B1111" s="6" t="s">
        <v>1809</v>
      </c>
      <c r="C1111" s="6" t="s">
        <v>1854</v>
      </c>
      <c r="D1111" s="6" t="s">
        <v>94</v>
      </c>
      <c r="E1111" s="6" t="s">
        <v>1340</v>
      </c>
      <c r="F1111" s="6" t="s">
        <v>30</v>
      </c>
      <c r="G1111" s="6" t="s">
        <v>280</v>
      </c>
    </row>
    <row r="1112" ht="15.75" customHeight="1">
      <c r="A1112" s="6" t="s">
        <v>297</v>
      </c>
      <c r="B1112" s="6" t="s">
        <v>1809</v>
      </c>
      <c r="C1112" s="6" t="s">
        <v>1854</v>
      </c>
      <c r="D1112" s="6" t="s">
        <v>94</v>
      </c>
      <c r="E1112" s="6" t="s">
        <v>1540</v>
      </c>
      <c r="F1112" s="6" t="s">
        <v>30</v>
      </c>
      <c r="G1112" s="6" t="s">
        <v>23</v>
      </c>
    </row>
    <row r="1113" ht="15.75" customHeight="1">
      <c r="A1113" s="6" t="s">
        <v>297</v>
      </c>
      <c r="B1113" s="6" t="s">
        <v>1809</v>
      </c>
      <c r="C1113" s="6" t="s">
        <v>1854</v>
      </c>
      <c r="D1113" s="6" t="s">
        <v>133</v>
      </c>
      <c r="E1113" s="6" t="s">
        <v>1543</v>
      </c>
      <c r="F1113" s="6" t="s">
        <v>30</v>
      </c>
      <c r="G1113" s="6" t="s">
        <v>280</v>
      </c>
    </row>
    <row r="1114" ht="15.75" customHeight="1">
      <c r="A1114" s="6" t="s">
        <v>297</v>
      </c>
      <c r="B1114" s="6" t="s">
        <v>1809</v>
      </c>
      <c r="C1114" s="6" t="s">
        <v>1854</v>
      </c>
      <c r="D1114" s="6" t="s">
        <v>262</v>
      </c>
      <c r="E1114" s="6" t="s">
        <v>1546</v>
      </c>
      <c r="F1114" s="6" t="s">
        <v>30</v>
      </c>
      <c r="G1114" s="6" t="s">
        <v>280</v>
      </c>
    </row>
    <row r="1115" ht="15.75" customHeight="1">
      <c r="A1115" s="6" t="s">
        <v>297</v>
      </c>
      <c r="B1115" s="6" t="s">
        <v>1809</v>
      </c>
      <c r="C1115" s="6" t="s">
        <v>1854</v>
      </c>
      <c r="D1115" s="6" t="s">
        <v>62</v>
      </c>
      <c r="E1115" s="6" t="s">
        <v>1548</v>
      </c>
      <c r="F1115" s="6" t="s">
        <v>30</v>
      </c>
      <c r="G1115" s="6" t="s">
        <v>211</v>
      </c>
    </row>
    <row r="1116" ht="15.75" customHeight="1">
      <c r="A1116" s="6" t="s">
        <v>297</v>
      </c>
      <c r="B1116" s="6" t="s">
        <v>1809</v>
      </c>
      <c r="C1116" s="6" t="s">
        <v>1854</v>
      </c>
      <c r="D1116" s="6" t="s">
        <v>94</v>
      </c>
      <c r="E1116" s="6" t="s">
        <v>1552</v>
      </c>
      <c r="F1116" s="6" t="s">
        <v>30</v>
      </c>
      <c r="G1116" s="6" t="s">
        <v>280</v>
      </c>
    </row>
    <row r="1117" ht="15.75" customHeight="1">
      <c r="A1117" s="6" t="s">
        <v>297</v>
      </c>
      <c r="B1117" s="6" t="s">
        <v>1809</v>
      </c>
      <c r="C1117" s="6" t="s">
        <v>1854</v>
      </c>
      <c r="D1117" s="6" t="s">
        <v>133</v>
      </c>
      <c r="E1117" s="6" t="s">
        <v>1543</v>
      </c>
      <c r="F1117" s="6" t="s">
        <v>30</v>
      </c>
      <c r="G1117" s="6" t="s">
        <v>280</v>
      </c>
    </row>
    <row r="1118" ht="15.75" customHeight="1">
      <c r="A1118" s="6" t="s">
        <v>424</v>
      </c>
      <c r="B1118" s="6" t="s">
        <v>1822</v>
      </c>
      <c r="C1118" s="6" t="s">
        <v>1854</v>
      </c>
      <c r="D1118" s="6" t="s">
        <v>565</v>
      </c>
      <c r="E1118" s="6" t="s">
        <v>429</v>
      </c>
      <c r="F1118" s="6" t="s">
        <v>561</v>
      </c>
      <c r="G1118" s="6" t="s">
        <v>712</v>
      </c>
    </row>
    <row r="1119" ht="15.75" customHeight="1">
      <c r="A1119" s="6" t="s">
        <v>424</v>
      </c>
      <c r="B1119" s="6" t="s">
        <v>1822</v>
      </c>
      <c r="C1119" s="6" t="s">
        <v>1854</v>
      </c>
      <c r="D1119" s="6" t="s">
        <v>428</v>
      </c>
      <c r="E1119" s="6" t="s">
        <v>553</v>
      </c>
      <c r="F1119" s="6" t="s">
        <v>561</v>
      </c>
      <c r="G1119" s="6" t="s">
        <v>712</v>
      </c>
    </row>
    <row r="1120" ht="15.75" customHeight="1">
      <c r="A1120" s="6" t="s">
        <v>424</v>
      </c>
      <c r="B1120" s="6" t="s">
        <v>1822</v>
      </c>
      <c r="C1120" s="6" t="s">
        <v>1854</v>
      </c>
      <c r="D1120" s="6" t="s">
        <v>457</v>
      </c>
      <c r="E1120" s="6" t="s">
        <v>429</v>
      </c>
      <c r="F1120" s="6" t="s">
        <v>373</v>
      </c>
      <c r="G1120" s="6" t="s">
        <v>712</v>
      </c>
    </row>
    <row r="1121" ht="15.75" customHeight="1">
      <c r="A1121" s="6" t="s">
        <v>424</v>
      </c>
      <c r="B1121" s="6" t="s">
        <v>1822</v>
      </c>
      <c r="C1121" s="6" t="s">
        <v>1854</v>
      </c>
      <c r="D1121" s="6" t="s">
        <v>482</v>
      </c>
      <c r="E1121" s="6" t="s">
        <v>153</v>
      </c>
      <c r="F1121" s="6" t="s">
        <v>30</v>
      </c>
      <c r="G1121" s="6" t="s">
        <v>800</v>
      </c>
    </row>
    <row r="1122" ht="15.75" customHeight="1">
      <c r="A1122" s="6" t="s">
        <v>424</v>
      </c>
      <c r="B1122" s="6" t="s">
        <v>1822</v>
      </c>
      <c r="C1122" s="6" t="s">
        <v>1854</v>
      </c>
      <c r="D1122" s="6" t="s">
        <v>445</v>
      </c>
      <c r="E1122" s="6" t="s">
        <v>553</v>
      </c>
      <c r="F1122" s="6" t="s">
        <v>561</v>
      </c>
      <c r="G1122" s="6" t="s">
        <v>812</v>
      </c>
    </row>
    <row r="1123" ht="15.75" customHeight="1">
      <c r="A1123" s="6" t="s">
        <v>424</v>
      </c>
      <c r="B1123" s="6" t="s">
        <v>1822</v>
      </c>
      <c r="C1123" s="6" t="s">
        <v>1854</v>
      </c>
      <c r="D1123" s="6" t="s">
        <v>469</v>
      </c>
      <c r="E1123" s="6" t="s">
        <v>187</v>
      </c>
      <c r="F1123" s="6" t="s">
        <v>30</v>
      </c>
      <c r="G1123" s="6" t="s">
        <v>1113</v>
      </c>
    </row>
    <row r="1124" ht="15.75" customHeight="1">
      <c r="A1124" s="6" t="s">
        <v>424</v>
      </c>
      <c r="B1124" s="6" t="s">
        <v>1822</v>
      </c>
      <c r="C1124" s="6" t="s">
        <v>1854</v>
      </c>
      <c r="D1124" s="6" t="s">
        <v>501</v>
      </c>
      <c r="E1124" s="6" t="s">
        <v>1564</v>
      </c>
      <c r="F1124" s="6" t="s">
        <v>30</v>
      </c>
      <c r="G1124" s="6" t="s">
        <v>1113</v>
      </c>
    </row>
    <row r="1125" ht="15.75" customHeight="1">
      <c r="A1125" s="6" t="s">
        <v>424</v>
      </c>
      <c r="B1125" s="6" t="s">
        <v>1822</v>
      </c>
      <c r="C1125" s="6" t="s">
        <v>1854</v>
      </c>
      <c r="D1125" s="6" t="s">
        <v>616</v>
      </c>
      <c r="E1125" s="6" t="s">
        <v>1566</v>
      </c>
      <c r="F1125" s="6" t="s">
        <v>30</v>
      </c>
      <c r="G1125" s="6" t="s">
        <v>1113</v>
      </c>
    </row>
    <row r="1126" ht="15.75" customHeight="1">
      <c r="A1126" s="6" t="s">
        <v>424</v>
      </c>
      <c r="B1126" s="6" t="s">
        <v>1822</v>
      </c>
      <c r="C1126" s="6" t="s">
        <v>1854</v>
      </c>
      <c r="D1126" s="6" t="s">
        <v>639</v>
      </c>
      <c r="E1126" s="6" t="s">
        <v>429</v>
      </c>
      <c r="F1126" s="6" t="s">
        <v>561</v>
      </c>
      <c r="G1126" s="6" t="s">
        <v>812</v>
      </c>
    </row>
    <row r="1127" ht="15.75" customHeight="1">
      <c r="A1127" s="6" t="s">
        <v>424</v>
      </c>
      <c r="B1127" s="6" t="s">
        <v>1822</v>
      </c>
      <c r="C1127" s="6" t="s">
        <v>1854</v>
      </c>
      <c r="D1127" s="6" t="s">
        <v>576</v>
      </c>
      <c r="E1127" s="6" t="s">
        <v>1570</v>
      </c>
      <c r="F1127" s="6" t="s">
        <v>30</v>
      </c>
      <c r="G1127" s="6" t="s">
        <v>1113</v>
      </c>
    </row>
    <row r="1128" ht="15.75" customHeight="1">
      <c r="A1128" s="6" t="s">
        <v>424</v>
      </c>
      <c r="B1128" s="6" t="s">
        <v>1822</v>
      </c>
      <c r="C1128" s="6" t="s">
        <v>1854</v>
      </c>
      <c r="D1128" s="6" t="s">
        <v>596</v>
      </c>
      <c r="E1128" s="6" t="s">
        <v>429</v>
      </c>
      <c r="F1128" s="6" t="s">
        <v>561</v>
      </c>
      <c r="G1128" s="6" t="s">
        <v>1113</v>
      </c>
    </row>
    <row r="1129" ht="15.75" customHeight="1">
      <c r="A1129" s="6" t="s">
        <v>424</v>
      </c>
      <c r="B1129" s="6" t="s">
        <v>1822</v>
      </c>
      <c r="C1129" s="6" t="s">
        <v>1854</v>
      </c>
      <c r="D1129" s="6" t="s">
        <v>469</v>
      </c>
      <c r="E1129" s="6" t="s">
        <v>187</v>
      </c>
      <c r="F1129" s="6" t="s">
        <v>30</v>
      </c>
      <c r="G1129" s="6" t="s">
        <v>1113</v>
      </c>
    </row>
    <row r="1130" ht="15.75" customHeight="1">
      <c r="A1130" s="6" t="s">
        <v>424</v>
      </c>
      <c r="B1130" s="6" t="s">
        <v>1822</v>
      </c>
      <c r="C1130" s="6" t="s">
        <v>1854</v>
      </c>
      <c r="D1130" s="6" t="s">
        <v>539</v>
      </c>
      <c r="E1130" s="6" t="s">
        <v>1574</v>
      </c>
      <c r="F1130" s="6" t="s">
        <v>30</v>
      </c>
      <c r="G1130" s="6" t="s">
        <v>812</v>
      </c>
    </row>
    <row r="1131" ht="15.75" customHeight="1">
      <c r="A1131" s="6" t="s">
        <v>424</v>
      </c>
      <c r="B1131" s="6" t="s">
        <v>1822</v>
      </c>
      <c r="C1131" s="6" t="s">
        <v>1854</v>
      </c>
      <c r="D1131" s="6" t="s">
        <v>457</v>
      </c>
      <c r="E1131" s="6" t="s">
        <v>125</v>
      </c>
      <c r="F1131" s="6" t="s">
        <v>30</v>
      </c>
      <c r="G1131" s="6" t="s">
        <v>812</v>
      </c>
    </row>
    <row r="1132" ht="15.75" customHeight="1">
      <c r="A1132" s="6" t="s">
        <v>424</v>
      </c>
      <c r="B1132" s="6" t="s">
        <v>1822</v>
      </c>
      <c r="C1132" s="6" t="s">
        <v>1854</v>
      </c>
      <c r="D1132" s="6" t="s">
        <v>591</v>
      </c>
      <c r="E1132" s="6" t="s">
        <v>99</v>
      </c>
      <c r="F1132" s="6" t="s">
        <v>30</v>
      </c>
      <c r="G1132" s="6" t="s">
        <v>800</v>
      </c>
    </row>
    <row r="1133" ht="15.75" customHeight="1">
      <c r="A1133" s="6" t="s">
        <v>424</v>
      </c>
      <c r="B1133" s="6" t="s">
        <v>1822</v>
      </c>
      <c r="C1133" s="6" t="s">
        <v>1854</v>
      </c>
      <c r="D1133" s="6" t="s">
        <v>482</v>
      </c>
      <c r="E1133" s="6" t="s">
        <v>44</v>
      </c>
      <c r="F1133" s="6" t="s">
        <v>30</v>
      </c>
      <c r="G1133" s="6" t="s">
        <v>1113</v>
      </c>
    </row>
    <row r="1134" ht="15.75" customHeight="1">
      <c r="A1134" s="6" t="s">
        <v>424</v>
      </c>
      <c r="B1134" s="6" t="s">
        <v>1822</v>
      </c>
      <c r="C1134" s="6" t="s">
        <v>1854</v>
      </c>
      <c r="D1134" s="6" t="s">
        <v>616</v>
      </c>
      <c r="E1134" s="6" t="s">
        <v>1576</v>
      </c>
      <c r="F1134" s="6" t="s">
        <v>30</v>
      </c>
      <c r="G1134" s="6" t="s">
        <v>812</v>
      </c>
    </row>
    <row r="1135" ht="15.75" customHeight="1">
      <c r="A1135" s="6" t="s">
        <v>424</v>
      </c>
      <c r="B1135" s="6" t="s">
        <v>1822</v>
      </c>
      <c r="C1135" s="6" t="s">
        <v>1854</v>
      </c>
      <c r="D1135" s="6" t="s">
        <v>596</v>
      </c>
      <c r="E1135" s="6" t="s">
        <v>429</v>
      </c>
      <c r="F1135" s="6" t="s">
        <v>561</v>
      </c>
      <c r="G1135" s="6" t="s">
        <v>812</v>
      </c>
    </row>
    <row r="1136" ht="15.75" customHeight="1">
      <c r="A1136" s="6" t="s">
        <v>424</v>
      </c>
      <c r="B1136" s="6" t="s">
        <v>1822</v>
      </c>
      <c r="C1136" s="6" t="s">
        <v>1854</v>
      </c>
      <c r="D1136" s="6" t="s">
        <v>469</v>
      </c>
      <c r="E1136" s="6" t="s">
        <v>1382</v>
      </c>
      <c r="F1136" s="6" t="s">
        <v>30</v>
      </c>
      <c r="G1136" s="6" t="s">
        <v>800</v>
      </c>
    </row>
    <row r="1137" ht="15.75" customHeight="1">
      <c r="A1137" s="6" t="s">
        <v>424</v>
      </c>
      <c r="B1137" s="6" t="s">
        <v>1822</v>
      </c>
      <c r="C1137" s="6" t="s">
        <v>1854</v>
      </c>
      <c r="D1137" s="6" t="s">
        <v>469</v>
      </c>
      <c r="E1137" s="6" t="s">
        <v>429</v>
      </c>
      <c r="F1137" s="6" t="s">
        <v>30</v>
      </c>
      <c r="G1137" s="6" t="s">
        <v>1113</v>
      </c>
    </row>
    <row r="1138" ht="15.75" customHeight="1">
      <c r="A1138" s="6" t="s">
        <v>424</v>
      </c>
      <c r="B1138" s="6" t="s">
        <v>1822</v>
      </c>
      <c r="C1138" s="6" t="s">
        <v>1854</v>
      </c>
      <c r="D1138" s="6" t="s">
        <v>588</v>
      </c>
      <c r="E1138" s="6" t="s">
        <v>429</v>
      </c>
      <c r="F1138" s="6" t="s">
        <v>30</v>
      </c>
      <c r="G1138" s="6" t="s">
        <v>812</v>
      </c>
    </row>
    <row r="1139" ht="15.75" customHeight="1">
      <c r="A1139" s="6" t="s">
        <v>424</v>
      </c>
      <c r="B1139" s="6" t="s">
        <v>1822</v>
      </c>
      <c r="C1139" s="6" t="s">
        <v>1854</v>
      </c>
      <c r="D1139" s="6" t="s">
        <v>482</v>
      </c>
      <c r="E1139" s="6" t="s">
        <v>429</v>
      </c>
      <c r="F1139" s="6" t="s">
        <v>561</v>
      </c>
      <c r="G1139" s="6" t="s">
        <v>1113</v>
      </c>
    </row>
    <row r="1140" ht="15.75" customHeight="1">
      <c r="A1140" s="6" t="s">
        <v>424</v>
      </c>
      <c r="B1140" s="6" t="s">
        <v>1822</v>
      </c>
      <c r="C1140" s="6" t="s">
        <v>1854</v>
      </c>
      <c r="D1140" s="6" t="s">
        <v>565</v>
      </c>
      <c r="E1140" s="6" t="s">
        <v>301</v>
      </c>
      <c r="F1140" s="6" t="s">
        <v>30</v>
      </c>
      <c r="G1140" s="6" t="s">
        <v>812</v>
      </c>
    </row>
    <row r="1141" ht="15.75" customHeight="1">
      <c r="A1141" s="6" t="s">
        <v>424</v>
      </c>
      <c r="B1141" s="6" t="s">
        <v>1822</v>
      </c>
      <c r="C1141" s="6" t="s">
        <v>1854</v>
      </c>
      <c r="D1141" s="6" t="s">
        <v>591</v>
      </c>
      <c r="E1141" s="6" t="s">
        <v>1586</v>
      </c>
      <c r="F1141" s="6" t="s">
        <v>30</v>
      </c>
      <c r="G1141" s="6" t="s">
        <v>1113</v>
      </c>
    </row>
    <row r="1142" ht="15.75" customHeight="1">
      <c r="A1142" s="6" t="s">
        <v>424</v>
      </c>
      <c r="B1142" s="6" t="s">
        <v>1822</v>
      </c>
      <c r="C1142" s="6" t="s">
        <v>1854</v>
      </c>
      <c r="D1142" s="6" t="s">
        <v>565</v>
      </c>
      <c r="E1142" s="6" t="s">
        <v>1589</v>
      </c>
      <c r="F1142" s="6" t="s">
        <v>30</v>
      </c>
      <c r="G1142" s="6" t="s">
        <v>1113</v>
      </c>
    </row>
    <row r="1143" ht="15.75" customHeight="1">
      <c r="A1143" s="6" t="s">
        <v>424</v>
      </c>
      <c r="B1143" s="6" t="s">
        <v>1822</v>
      </c>
      <c r="C1143" s="6" t="s">
        <v>1854</v>
      </c>
      <c r="D1143" s="6" t="s">
        <v>591</v>
      </c>
      <c r="E1143" s="6" t="s">
        <v>429</v>
      </c>
      <c r="F1143" s="6" t="s">
        <v>30</v>
      </c>
      <c r="G1143" s="6" t="s">
        <v>1113</v>
      </c>
    </row>
    <row r="1144" ht="15.75" customHeight="1">
      <c r="A1144" s="6" t="s">
        <v>424</v>
      </c>
      <c r="B1144" s="6" t="s">
        <v>1822</v>
      </c>
      <c r="C1144" s="6" t="s">
        <v>1854</v>
      </c>
      <c r="D1144" s="6" t="s">
        <v>428</v>
      </c>
      <c r="E1144" s="6" t="s">
        <v>1591</v>
      </c>
      <c r="F1144" s="6" t="s">
        <v>30</v>
      </c>
      <c r="G1144" s="6" t="s">
        <v>1113</v>
      </c>
    </row>
    <row r="1145" ht="15.75" customHeight="1">
      <c r="A1145" s="6" t="s">
        <v>424</v>
      </c>
      <c r="B1145" s="6" t="s">
        <v>1822</v>
      </c>
      <c r="C1145" s="6" t="s">
        <v>1854</v>
      </c>
      <c r="D1145" s="6" t="s">
        <v>428</v>
      </c>
      <c r="E1145" s="6" t="s">
        <v>553</v>
      </c>
      <c r="F1145" s="6" t="s">
        <v>561</v>
      </c>
      <c r="G1145" s="6" t="s">
        <v>812</v>
      </c>
    </row>
    <row r="1146" ht="15.75" customHeight="1">
      <c r="A1146" s="6" t="s">
        <v>424</v>
      </c>
      <c r="B1146" s="6" t="s">
        <v>1822</v>
      </c>
      <c r="C1146" s="6" t="s">
        <v>1854</v>
      </c>
      <c r="D1146" s="6" t="s">
        <v>616</v>
      </c>
      <c r="E1146" s="6" t="s">
        <v>1595</v>
      </c>
      <c r="F1146" s="6" t="s">
        <v>30</v>
      </c>
      <c r="G1146" s="6" t="s">
        <v>712</v>
      </c>
    </row>
    <row r="1147" ht="15.75" customHeight="1">
      <c r="A1147" s="6" t="s">
        <v>424</v>
      </c>
      <c r="B1147" s="6" t="s">
        <v>1809</v>
      </c>
      <c r="C1147" s="6" t="s">
        <v>1854</v>
      </c>
      <c r="D1147" s="6" t="s">
        <v>435</v>
      </c>
      <c r="E1147" s="6" t="s">
        <v>429</v>
      </c>
      <c r="F1147" s="6" t="s">
        <v>30</v>
      </c>
      <c r="G1147" s="6" t="s">
        <v>430</v>
      </c>
    </row>
    <row r="1148" ht="15.75" customHeight="1">
      <c r="A1148" s="6" t="s">
        <v>424</v>
      </c>
      <c r="B1148" s="6" t="s">
        <v>1809</v>
      </c>
      <c r="C1148" s="6" t="s">
        <v>1854</v>
      </c>
      <c r="D1148" s="6" t="s">
        <v>639</v>
      </c>
      <c r="E1148" s="6" t="s">
        <v>429</v>
      </c>
      <c r="F1148" s="6" t="s">
        <v>30</v>
      </c>
      <c r="G1148" s="6" t="s">
        <v>438</v>
      </c>
    </row>
    <row r="1149" ht="15.75" customHeight="1">
      <c r="A1149" s="6" t="s">
        <v>424</v>
      </c>
      <c r="B1149" s="6" t="s">
        <v>1809</v>
      </c>
      <c r="C1149" s="6" t="s">
        <v>1854</v>
      </c>
      <c r="D1149" s="6" t="s">
        <v>539</v>
      </c>
      <c r="E1149" s="6" t="s">
        <v>429</v>
      </c>
      <c r="F1149" s="6" t="s">
        <v>30</v>
      </c>
      <c r="G1149" s="6" t="s">
        <v>946</v>
      </c>
    </row>
    <row r="1150" ht="15.75" customHeight="1">
      <c r="A1150" s="6" t="s">
        <v>424</v>
      </c>
      <c r="B1150" s="6" t="s">
        <v>1809</v>
      </c>
      <c r="C1150" s="6" t="s">
        <v>1854</v>
      </c>
      <c r="D1150" s="6" t="s">
        <v>469</v>
      </c>
      <c r="E1150" s="6" t="s">
        <v>429</v>
      </c>
      <c r="F1150" s="6" t="s">
        <v>30</v>
      </c>
      <c r="G1150" s="6" t="s">
        <v>438</v>
      </c>
    </row>
    <row r="1151" ht="15.75" customHeight="1">
      <c r="A1151" s="6" t="s">
        <v>424</v>
      </c>
      <c r="B1151" s="6" t="s">
        <v>1809</v>
      </c>
      <c r="C1151" s="6" t="s">
        <v>1854</v>
      </c>
      <c r="D1151" s="6" t="s">
        <v>482</v>
      </c>
      <c r="E1151" s="6" t="s">
        <v>429</v>
      </c>
      <c r="F1151" s="6" t="s">
        <v>30</v>
      </c>
      <c r="G1151" s="6" t="s">
        <v>430</v>
      </c>
    </row>
    <row r="1152" ht="15.75" customHeight="1">
      <c r="A1152" s="6" t="s">
        <v>424</v>
      </c>
      <c r="B1152" s="6" t="s">
        <v>1809</v>
      </c>
      <c r="C1152" s="6" t="s">
        <v>1854</v>
      </c>
      <c r="D1152" s="6" t="s">
        <v>457</v>
      </c>
      <c r="E1152" s="6" t="s">
        <v>429</v>
      </c>
      <c r="F1152" s="6" t="s">
        <v>30</v>
      </c>
      <c r="G1152" s="6" t="s">
        <v>438</v>
      </c>
    </row>
    <row r="1153" ht="15.75" customHeight="1">
      <c r="A1153" s="6" t="s">
        <v>424</v>
      </c>
      <c r="B1153" s="6" t="s">
        <v>1809</v>
      </c>
      <c r="C1153" s="6" t="s">
        <v>1854</v>
      </c>
      <c r="D1153" s="6" t="s">
        <v>469</v>
      </c>
      <c r="E1153" s="6" t="s">
        <v>429</v>
      </c>
      <c r="F1153" s="6" t="s">
        <v>30</v>
      </c>
      <c r="G1153" s="6" t="s">
        <v>438</v>
      </c>
    </row>
    <row r="1154" ht="15.75" customHeight="1">
      <c r="A1154" s="6" t="s">
        <v>424</v>
      </c>
      <c r="B1154" s="6" t="s">
        <v>1809</v>
      </c>
      <c r="C1154" s="6" t="s">
        <v>1854</v>
      </c>
      <c r="D1154" s="6" t="s">
        <v>469</v>
      </c>
      <c r="E1154" s="6" t="s">
        <v>429</v>
      </c>
      <c r="F1154" s="6" t="s">
        <v>30</v>
      </c>
      <c r="G1154" s="6" t="s">
        <v>430</v>
      </c>
    </row>
    <row r="1155" ht="15.75" customHeight="1">
      <c r="A1155" s="6" t="s">
        <v>424</v>
      </c>
      <c r="B1155" s="6" t="s">
        <v>1809</v>
      </c>
      <c r="C1155" s="6" t="s">
        <v>1854</v>
      </c>
      <c r="D1155" s="6" t="s">
        <v>469</v>
      </c>
      <c r="E1155" s="6" t="s">
        <v>429</v>
      </c>
      <c r="F1155" s="6" t="s">
        <v>30</v>
      </c>
      <c r="G1155" s="6" t="s">
        <v>438</v>
      </c>
    </row>
    <row r="1156" ht="15.75" customHeight="1">
      <c r="A1156" s="6" t="s">
        <v>424</v>
      </c>
      <c r="B1156" s="6" t="s">
        <v>1809</v>
      </c>
      <c r="C1156" s="6" t="s">
        <v>1854</v>
      </c>
      <c r="D1156" s="6" t="s">
        <v>501</v>
      </c>
      <c r="E1156" s="6" t="s">
        <v>429</v>
      </c>
      <c r="F1156" s="6" t="s">
        <v>30</v>
      </c>
      <c r="G1156" s="6" t="s">
        <v>438</v>
      </c>
    </row>
    <row r="1157" ht="15.75" customHeight="1">
      <c r="A1157" s="6" t="s">
        <v>521</v>
      </c>
      <c r="B1157" s="6" t="s">
        <v>1822</v>
      </c>
      <c r="C1157" s="6" t="s">
        <v>1854</v>
      </c>
      <c r="D1157" s="6" t="s">
        <v>501</v>
      </c>
      <c r="E1157" s="6" t="s">
        <v>429</v>
      </c>
      <c r="F1157" s="6" t="s">
        <v>30</v>
      </c>
      <c r="G1157" s="6" t="s">
        <v>1113</v>
      </c>
    </row>
    <row r="1158" ht="15.75" customHeight="1">
      <c r="A1158" s="6" t="s">
        <v>521</v>
      </c>
      <c r="B1158" s="6" t="s">
        <v>1822</v>
      </c>
      <c r="C1158" s="6" t="s">
        <v>1854</v>
      </c>
      <c r="D1158" s="6" t="s">
        <v>576</v>
      </c>
      <c r="E1158" s="6" t="s">
        <v>1621</v>
      </c>
      <c r="F1158" s="6" t="s">
        <v>30</v>
      </c>
      <c r="G1158" s="6" t="s">
        <v>800</v>
      </c>
    </row>
    <row r="1159" ht="15.75" customHeight="1">
      <c r="A1159" s="6" t="s">
        <v>521</v>
      </c>
      <c r="B1159" s="6" t="s">
        <v>1822</v>
      </c>
      <c r="C1159" s="6" t="s">
        <v>1854</v>
      </c>
      <c r="D1159" s="6" t="s">
        <v>588</v>
      </c>
      <c r="E1159" s="6" t="s">
        <v>553</v>
      </c>
      <c r="F1159" s="6" t="s">
        <v>561</v>
      </c>
      <c r="G1159" s="6" t="s">
        <v>812</v>
      </c>
    </row>
    <row r="1160" ht="15.75" customHeight="1">
      <c r="A1160" s="6" t="s">
        <v>521</v>
      </c>
      <c r="B1160" s="6" t="s">
        <v>1822</v>
      </c>
      <c r="C1160" s="6" t="s">
        <v>1854</v>
      </c>
      <c r="D1160" s="6" t="s">
        <v>428</v>
      </c>
      <c r="E1160" s="6" t="s">
        <v>1524</v>
      </c>
      <c r="F1160" s="6" t="s">
        <v>30</v>
      </c>
      <c r="G1160" s="6" t="s">
        <v>1113</v>
      </c>
    </row>
    <row r="1161" ht="15.75" customHeight="1">
      <c r="A1161" s="6" t="s">
        <v>521</v>
      </c>
      <c r="B1161" s="6" t="s">
        <v>1822</v>
      </c>
      <c r="C1161" s="6" t="s">
        <v>1854</v>
      </c>
      <c r="D1161" s="6" t="s">
        <v>616</v>
      </c>
      <c r="E1161" s="6" t="s">
        <v>1628</v>
      </c>
      <c r="F1161" s="6" t="s">
        <v>30</v>
      </c>
      <c r="G1161" s="6" t="s">
        <v>1113</v>
      </c>
    </row>
    <row r="1162" ht="15.75" customHeight="1">
      <c r="A1162" s="6" t="s">
        <v>521</v>
      </c>
      <c r="B1162" s="6" t="s">
        <v>1822</v>
      </c>
      <c r="C1162" s="6" t="s">
        <v>1854</v>
      </c>
      <c r="D1162" s="6" t="s">
        <v>565</v>
      </c>
      <c r="E1162" s="6" t="s">
        <v>1630</v>
      </c>
      <c r="F1162" s="6" t="s">
        <v>30</v>
      </c>
      <c r="G1162" s="6" t="s">
        <v>1113</v>
      </c>
    </row>
    <row r="1163" ht="15.75" customHeight="1">
      <c r="A1163" s="6" t="s">
        <v>521</v>
      </c>
      <c r="B1163" s="6" t="s">
        <v>1822</v>
      </c>
      <c r="C1163" s="6" t="s">
        <v>1854</v>
      </c>
      <c r="D1163" s="6" t="s">
        <v>639</v>
      </c>
      <c r="E1163" s="6" t="s">
        <v>125</v>
      </c>
      <c r="F1163" s="6" t="s">
        <v>30</v>
      </c>
      <c r="G1163" s="6" t="s">
        <v>812</v>
      </c>
    </row>
    <row r="1164" ht="15.75" customHeight="1">
      <c r="A1164" s="6" t="s">
        <v>521</v>
      </c>
      <c r="B1164" s="6" t="s">
        <v>1822</v>
      </c>
      <c r="C1164" s="6" t="s">
        <v>1854</v>
      </c>
      <c r="D1164" s="6" t="s">
        <v>428</v>
      </c>
      <c r="E1164" s="6" t="s">
        <v>1632</v>
      </c>
      <c r="F1164" s="6" t="s">
        <v>30</v>
      </c>
      <c r="G1164" s="6" t="s">
        <v>1113</v>
      </c>
    </row>
    <row r="1165" ht="15.75" customHeight="1">
      <c r="A1165" s="6" t="s">
        <v>521</v>
      </c>
      <c r="B1165" s="6" t="s">
        <v>1822</v>
      </c>
      <c r="C1165" s="6" t="s">
        <v>1854</v>
      </c>
      <c r="D1165" s="6" t="s">
        <v>576</v>
      </c>
      <c r="E1165" s="6" t="s">
        <v>429</v>
      </c>
      <c r="F1165" s="6" t="s">
        <v>373</v>
      </c>
      <c r="G1165" s="6" t="s">
        <v>812</v>
      </c>
    </row>
    <row r="1166" ht="15.75" customHeight="1">
      <c r="A1166" s="6" t="s">
        <v>521</v>
      </c>
      <c r="B1166" s="6" t="s">
        <v>1822</v>
      </c>
      <c r="C1166" s="6" t="s">
        <v>1854</v>
      </c>
      <c r="D1166" s="6" t="s">
        <v>469</v>
      </c>
      <c r="E1166" s="6" t="s">
        <v>429</v>
      </c>
      <c r="F1166" s="6" t="s">
        <v>30</v>
      </c>
      <c r="G1166" s="6" t="s">
        <v>930</v>
      </c>
    </row>
    <row r="1167" ht="15.75" customHeight="1">
      <c r="A1167" s="6" t="s">
        <v>521</v>
      </c>
      <c r="B1167" s="6" t="s">
        <v>1822</v>
      </c>
      <c r="C1167" s="6" t="s">
        <v>1854</v>
      </c>
      <c r="D1167" s="6" t="s">
        <v>445</v>
      </c>
      <c r="E1167" s="6" t="s">
        <v>553</v>
      </c>
      <c r="F1167" s="6" t="s">
        <v>561</v>
      </c>
      <c r="G1167" s="6" t="s">
        <v>1113</v>
      </c>
    </row>
    <row r="1168" ht="15.75" customHeight="1">
      <c r="A1168" s="6" t="s">
        <v>521</v>
      </c>
      <c r="B1168" s="6" t="s">
        <v>1822</v>
      </c>
      <c r="C1168" s="6" t="s">
        <v>1854</v>
      </c>
      <c r="D1168" s="6" t="s">
        <v>616</v>
      </c>
      <c r="E1168" s="6" t="s">
        <v>1638</v>
      </c>
      <c r="F1168" s="6" t="s">
        <v>30</v>
      </c>
      <c r="G1168" s="6" t="s">
        <v>1113</v>
      </c>
    </row>
    <row r="1169" ht="15.75" customHeight="1">
      <c r="A1169" s="6" t="s">
        <v>521</v>
      </c>
      <c r="B1169" s="6" t="s">
        <v>1822</v>
      </c>
      <c r="C1169" s="6" t="s">
        <v>1854</v>
      </c>
      <c r="D1169" s="6" t="s">
        <v>501</v>
      </c>
      <c r="E1169" s="6" t="s">
        <v>114</v>
      </c>
      <c r="F1169" s="6" t="s">
        <v>30</v>
      </c>
      <c r="G1169" s="6" t="s">
        <v>800</v>
      </c>
    </row>
    <row r="1170" ht="15.75" customHeight="1">
      <c r="A1170" s="6" t="s">
        <v>521</v>
      </c>
      <c r="B1170" s="6" t="s">
        <v>1822</v>
      </c>
      <c r="C1170" s="6" t="s">
        <v>1854</v>
      </c>
      <c r="D1170" s="6" t="s">
        <v>428</v>
      </c>
      <c r="E1170" s="6" t="s">
        <v>1640</v>
      </c>
      <c r="F1170" s="6" t="s">
        <v>30</v>
      </c>
      <c r="G1170" s="6" t="s">
        <v>1113</v>
      </c>
    </row>
    <row r="1171" ht="15.75" customHeight="1">
      <c r="A1171" s="6" t="s">
        <v>521</v>
      </c>
      <c r="B1171" s="6" t="s">
        <v>1822</v>
      </c>
      <c r="C1171" s="6" t="s">
        <v>1854</v>
      </c>
      <c r="D1171" s="6" t="s">
        <v>457</v>
      </c>
      <c r="E1171" s="6" t="s">
        <v>84</v>
      </c>
      <c r="F1171" s="6" t="s">
        <v>30</v>
      </c>
      <c r="G1171" s="6" t="s">
        <v>812</v>
      </c>
    </row>
    <row r="1172" ht="15.75" customHeight="1">
      <c r="A1172" s="6" t="s">
        <v>521</v>
      </c>
      <c r="B1172" s="6" t="s">
        <v>1822</v>
      </c>
      <c r="C1172" s="6" t="s">
        <v>1854</v>
      </c>
      <c r="D1172" s="6" t="s">
        <v>565</v>
      </c>
      <c r="E1172" s="6" t="s">
        <v>429</v>
      </c>
      <c r="F1172" s="6" t="s">
        <v>30</v>
      </c>
      <c r="G1172" s="6" t="s">
        <v>1113</v>
      </c>
    </row>
    <row r="1173" ht="15.75" customHeight="1">
      <c r="A1173" s="6" t="s">
        <v>521</v>
      </c>
      <c r="B1173" s="6" t="s">
        <v>1822</v>
      </c>
      <c r="C1173" s="6" t="s">
        <v>1854</v>
      </c>
      <c r="D1173" s="6" t="s">
        <v>445</v>
      </c>
      <c r="E1173" s="6" t="s">
        <v>1644</v>
      </c>
      <c r="F1173" s="6" t="s">
        <v>30</v>
      </c>
      <c r="G1173" s="6" t="s">
        <v>1113</v>
      </c>
    </row>
    <row r="1174" ht="15.75" customHeight="1">
      <c r="A1174" s="6" t="s">
        <v>521</v>
      </c>
      <c r="B1174" s="6" t="s">
        <v>1822</v>
      </c>
      <c r="C1174" s="6" t="s">
        <v>1854</v>
      </c>
      <c r="D1174" s="6" t="s">
        <v>435</v>
      </c>
      <c r="E1174" s="6" t="s">
        <v>429</v>
      </c>
      <c r="F1174" s="6" t="s">
        <v>30</v>
      </c>
      <c r="G1174" s="6" t="s">
        <v>812</v>
      </c>
    </row>
    <row r="1175" ht="15.75" customHeight="1">
      <c r="A1175" s="6" t="s">
        <v>521</v>
      </c>
      <c r="B1175" s="6" t="s">
        <v>1822</v>
      </c>
      <c r="C1175" s="6" t="s">
        <v>1854</v>
      </c>
      <c r="D1175" s="6" t="s">
        <v>445</v>
      </c>
      <c r="E1175" s="6" t="s">
        <v>553</v>
      </c>
      <c r="F1175" s="6" t="s">
        <v>561</v>
      </c>
      <c r="G1175" s="6" t="s">
        <v>1113</v>
      </c>
    </row>
    <row r="1176" ht="15.75" customHeight="1">
      <c r="A1176" s="6" t="s">
        <v>521</v>
      </c>
      <c r="B1176" s="6" t="s">
        <v>1809</v>
      </c>
      <c r="C1176" s="6" t="s">
        <v>1854</v>
      </c>
      <c r="D1176" s="6" t="s">
        <v>588</v>
      </c>
      <c r="E1176" s="6" t="s">
        <v>429</v>
      </c>
      <c r="F1176" s="6" t="s">
        <v>30</v>
      </c>
      <c r="G1176" s="6" t="s">
        <v>714</v>
      </c>
    </row>
    <row r="1177" ht="15.75" customHeight="1">
      <c r="A1177" s="6" t="s">
        <v>521</v>
      </c>
      <c r="B1177" s="6" t="s">
        <v>1809</v>
      </c>
      <c r="C1177" s="6" t="s">
        <v>1854</v>
      </c>
      <c r="D1177" s="6" t="s">
        <v>428</v>
      </c>
      <c r="E1177" s="6" t="s">
        <v>429</v>
      </c>
      <c r="F1177" s="6" t="s">
        <v>30</v>
      </c>
      <c r="G1177" s="6" t="s">
        <v>430</v>
      </c>
    </row>
    <row r="1178" ht="15.75" customHeight="1">
      <c r="A1178" s="6" t="s">
        <v>521</v>
      </c>
      <c r="B1178" s="6" t="s">
        <v>1809</v>
      </c>
      <c r="C1178" s="6" t="s">
        <v>1854</v>
      </c>
      <c r="D1178" s="6" t="s">
        <v>591</v>
      </c>
      <c r="E1178" s="6" t="s">
        <v>429</v>
      </c>
      <c r="F1178" s="6" t="s">
        <v>30</v>
      </c>
      <c r="G1178" s="6" t="s">
        <v>438</v>
      </c>
    </row>
    <row r="1179" ht="15.75" customHeight="1">
      <c r="A1179" s="6" t="s">
        <v>521</v>
      </c>
      <c r="B1179" s="6" t="s">
        <v>1809</v>
      </c>
      <c r="C1179" s="6" t="s">
        <v>1854</v>
      </c>
      <c r="D1179" s="6" t="s">
        <v>616</v>
      </c>
      <c r="E1179" s="6" t="s">
        <v>429</v>
      </c>
      <c r="F1179" s="6" t="s">
        <v>30</v>
      </c>
      <c r="G1179" s="6" t="s">
        <v>430</v>
      </c>
    </row>
    <row r="1180" ht="15.75" customHeight="1">
      <c r="A1180" s="6" t="s">
        <v>521</v>
      </c>
      <c r="B1180" s="6" t="s">
        <v>1809</v>
      </c>
      <c r="C1180" s="6" t="s">
        <v>1854</v>
      </c>
      <c r="D1180" s="6" t="s">
        <v>588</v>
      </c>
      <c r="E1180" s="6" t="s">
        <v>429</v>
      </c>
      <c r="F1180" s="6" t="s">
        <v>30</v>
      </c>
      <c r="G1180" s="6" t="s">
        <v>714</v>
      </c>
    </row>
    <row r="1181" ht="15.75" customHeight="1">
      <c r="A1181" s="6" t="s">
        <v>613</v>
      </c>
      <c r="B1181" s="6" t="s">
        <v>1822</v>
      </c>
      <c r="C1181" s="6" t="s">
        <v>1854</v>
      </c>
      <c r="D1181" s="6" t="s">
        <v>428</v>
      </c>
      <c r="E1181" s="6" t="s">
        <v>1543</v>
      </c>
      <c r="F1181" s="6" t="s">
        <v>561</v>
      </c>
      <c r="G1181" s="6" t="s">
        <v>1113</v>
      </c>
    </row>
    <row r="1182" ht="15.75" customHeight="1">
      <c r="A1182" s="6" t="s">
        <v>613</v>
      </c>
      <c r="B1182" s="6" t="s">
        <v>1822</v>
      </c>
      <c r="C1182" s="6" t="s">
        <v>1854</v>
      </c>
      <c r="D1182" s="6" t="s">
        <v>501</v>
      </c>
      <c r="E1182" s="6" t="s">
        <v>1652</v>
      </c>
      <c r="F1182" s="6" t="s">
        <v>561</v>
      </c>
      <c r="G1182" s="6" t="s">
        <v>812</v>
      </c>
    </row>
    <row r="1183" ht="15.75" customHeight="1">
      <c r="A1183" s="6" t="s">
        <v>613</v>
      </c>
      <c r="B1183" s="6" t="s">
        <v>1822</v>
      </c>
      <c r="C1183" s="6" t="s">
        <v>1854</v>
      </c>
      <c r="D1183" s="6" t="s">
        <v>482</v>
      </c>
      <c r="E1183" s="6" t="s">
        <v>1654</v>
      </c>
      <c r="F1183" s="6" t="s">
        <v>30</v>
      </c>
      <c r="G1183" s="6" t="s">
        <v>812</v>
      </c>
    </row>
    <row r="1184" ht="15.75" customHeight="1">
      <c r="A1184" s="6" t="s">
        <v>613</v>
      </c>
      <c r="B1184" s="6" t="s">
        <v>1822</v>
      </c>
      <c r="C1184" s="6" t="s">
        <v>1854</v>
      </c>
      <c r="D1184" s="6" t="s">
        <v>482</v>
      </c>
      <c r="E1184" s="6" t="s">
        <v>1656</v>
      </c>
      <c r="F1184" s="6" t="s">
        <v>30</v>
      </c>
      <c r="G1184" s="6" t="s">
        <v>1113</v>
      </c>
    </row>
    <row r="1185" ht="15.75" customHeight="1">
      <c r="A1185" s="6" t="s">
        <v>613</v>
      </c>
      <c r="B1185" s="6" t="s">
        <v>1822</v>
      </c>
      <c r="C1185" s="6" t="s">
        <v>1854</v>
      </c>
      <c r="D1185" s="6" t="s">
        <v>501</v>
      </c>
      <c r="E1185" s="6" t="s">
        <v>1657</v>
      </c>
      <c r="F1185" s="6" t="s">
        <v>30</v>
      </c>
      <c r="G1185" s="6" t="s">
        <v>1113</v>
      </c>
    </row>
    <row r="1186" ht="15.75" customHeight="1">
      <c r="A1186" s="6" t="s">
        <v>613</v>
      </c>
      <c r="B1186" s="6" t="s">
        <v>1822</v>
      </c>
      <c r="C1186" s="6" t="s">
        <v>1854</v>
      </c>
      <c r="D1186" s="6" t="s">
        <v>616</v>
      </c>
      <c r="E1186" s="6" t="s">
        <v>1299</v>
      </c>
      <c r="F1186" s="6" t="s">
        <v>30</v>
      </c>
      <c r="G1186" s="6" t="s">
        <v>1113</v>
      </c>
    </row>
    <row r="1187" ht="15.75" customHeight="1">
      <c r="A1187" s="6" t="s">
        <v>613</v>
      </c>
      <c r="B1187" s="6" t="s">
        <v>1822</v>
      </c>
      <c r="C1187" s="6" t="s">
        <v>1854</v>
      </c>
      <c r="D1187" s="6" t="s">
        <v>565</v>
      </c>
      <c r="E1187" s="6" t="s">
        <v>63</v>
      </c>
      <c r="F1187" s="6" t="s">
        <v>30</v>
      </c>
      <c r="G1187" s="6" t="s">
        <v>812</v>
      </c>
    </row>
    <row r="1188" ht="15.75" customHeight="1">
      <c r="A1188" s="6" t="s">
        <v>613</v>
      </c>
      <c r="B1188" s="6" t="s">
        <v>1822</v>
      </c>
      <c r="C1188" s="6" t="s">
        <v>1854</v>
      </c>
      <c r="D1188" s="6" t="s">
        <v>576</v>
      </c>
      <c r="E1188" s="6" t="s">
        <v>1659</v>
      </c>
      <c r="F1188" s="6" t="s">
        <v>30</v>
      </c>
      <c r="G1188" s="6" t="s">
        <v>1113</v>
      </c>
    </row>
    <row r="1189" ht="15.75" customHeight="1">
      <c r="A1189" s="6" t="s">
        <v>613</v>
      </c>
      <c r="B1189" s="6" t="s">
        <v>1822</v>
      </c>
      <c r="C1189" s="6" t="s">
        <v>1854</v>
      </c>
      <c r="D1189" s="6" t="s">
        <v>616</v>
      </c>
      <c r="E1189" s="6" t="s">
        <v>353</v>
      </c>
      <c r="F1189" s="6" t="s">
        <v>30</v>
      </c>
      <c r="G1189" s="6" t="s">
        <v>712</v>
      </c>
    </row>
    <row r="1190" ht="15.75" customHeight="1">
      <c r="A1190" s="6" t="s">
        <v>613</v>
      </c>
      <c r="B1190" s="6" t="s">
        <v>1822</v>
      </c>
      <c r="C1190" s="6" t="s">
        <v>1854</v>
      </c>
      <c r="D1190" s="6" t="s">
        <v>539</v>
      </c>
      <c r="E1190" s="6" t="s">
        <v>1662</v>
      </c>
      <c r="F1190" s="6" t="s">
        <v>30</v>
      </c>
      <c r="G1190" s="6" t="s">
        <v>812</v>
      </c>
    </row>
    <row r="1191" ht="15.75" customHeight="1">
      <c r="A1191" s="6" t="s">
        <v>613</v>
      </c>
      <c r="B1191" s="6" t="s">
        <v>1822</v>
      </c>
      <c r="C1191" s="6" t="s">
        <v>1854</v>
      </c>
      <c r="D1191" s="6" t="s">
        <v>457</v>
      </c>
      <c r="E1191" s="6" t="s">
        <v>187</v>
      </c>
      <c r="F1191" s="6" t="s">
        <v>30</v>
      </c>
      <c r="G1191" s="6" t="s">
        <v>812</v>
      </c>
    </row>
    <row r="1192" ht="15.75" customHeight="1">
      <c r="A1192" s="6" t="s">
        <v>613</v>
      </c>
      <c r="B1192" s="6" t="s">
        <v>1822</v>
      </c>
      <c r="C1192" s="6" t="s">
        <v>1854</v>
      </c>
      <c r="D1192" s="6" t="s">
        <v>591</v>
      </c>
      <c r="E1192" s="6" t="s">
        <v>821</v>
      </c>
      <c r="F1192" s="6" t="s">
        <v>30</v>
      </c>
      <c r="G1192" s="6" t="s">
        <v>812</v>
      </c>
    </row>
    <row r="1193" ht="15.75" customHeight="1">
      <c r="A1193" s="6" t="s">
        <v>613</v>
      </c>
      <c r="B1193" s="6" t="s">
        <v>1822</v>
      </c>
      <c r="C1193" s="6" t="s">
        <v>1854</v>
      </c>
      <c r="D1193" s="6" t="s">
        <v>588</v>
      </c>
      <c r="E1193" s="6" t="s">
        <v>731</v>
      </c>
      <c r="F1193" s="6" t="s">
        <v>30</v>
      </c>
      <c r="G1193" s="6" t="s">
        <v>1113</v>
      </c>
    </row>
    <row r="1194" ht="15.75" customHeight="1">
      <c r="A1194" s="6" t="s">
        <v>613</v>
      </c>
      <c r="B1194" s="6" t="s">
        <v>1822</v>
      </c>
      <c r="C1194" s="6" t="s">
        <v>1854</v>
      </c>
      <c r="D1194" s="6" t="s">
        <v>469</v>
      </c>
      <c r="E1194" s="6" t="s">
        <v>1664</v>
      </c>
      <c r="F1194" s="6" t="s">
        <v>30</v>
      </c>
      <c r="G1194" s="6" t="s">
        <v>1113</v>
      </c>
    </row>
    <row r="1195" ht="15.75" customHeight="1">
      <c r="A1195" s="6" t="s">
        <v>613</v>
      </c>
      <c r="B1195" s="6" t="s">
        <v>1822</v>
      </c>
      <c r="C1195" s="6" t="s">
        <v>1854</v>
      </c>
      <c r="D1195" s="6" t="s">
        <v>482</v>
      </c>
      <c r="E1195" s="6" t="s">
        <v>1666</v>
      </c>
      <c r="F1195" s="6" t="s">
        <v>561</v>
      </c>
      <c r="G1195" s="6" t="s">
        <v>1113</v>
      </c>
    </row>
    <row r="1196" ht="15.75" customHeight="1">
      <c r="A1196" s="6" t="s">
        <v>613</v>
      </c>
      <c r="B1196" s="6" t="s">
        <v>1822</v>
      </c>
      <c r="C1196" s="6" t="s">
        <v>1854</v>
      </c>
      <c r="D1196" s="6" t="s">
        <v>642</v>
      </c>
      <c r="E1196" s="6" t="s">
        <v>1391</v>
      </c>
      <c r="F1196" s="6" t="s">
        <v>30</v>
      </c>
      <c r="G1196" s="6" t="s">
        <v>930</v>
      </c>
    </row>
    <row r="1197" ht="15.75" customHeight="1">
      <c r="A1197" s="6" t="s">
        <v>613</v>
      </c>
      <c r="B1197" s="6" t="s">
        <v>1822</v>
      </c>
      <c r="C1197" s="6" t="s">
        <v>1854</v>
      </c>
      <c r="D1197" s="6" t="s">
        <v>596</v>
      </c>
      <c r="E1197" s="6" t="s">
        <v>1382</v>
      </c>
      <c r="F1197" s="6" t="s">
        <v>30</v>
      </c>
      <c r="G1197" s="6" t="s">
        <v>812</v>
      </c>
    </row>
    <row r="1198" ht="15.75" customHeight="1">
      <c r="A1198" s="6" t="s">
        <v>613</v>
      </c>
      <c r="B1198" s="6" t="s">
        <v>1822</v>
      </c>
      <c r="C1198" s="6" t="s">
        <v>1854</v>
      </c>
      <c r="D1198" s="6" t="s">
        <v>482</v>
      </c>
      <c r="E1198" s="6" t="s">
        <v>1669</v>
      </c>
      <c r="F1198" s="6" t="s">
        <v>561</v>
      </c>
      <c r="G1198" s="6" t="s">
        <v>1113</v>
      </c>
    </row>
    <row r="1199" ht="15.75" customHeight="1">
      <c r="A1199" s="6" t="s">
        <v>613</v>
      </c>
      <c r="B1199" s="6" t="s">
        <v>1822</v>
      </c>
      <c r="C1199" s="6" t="s">
        <v>1854</v>
      </c>
      <c r="D1199" s="6" t="s">
        <v>591</v>
      </c>
      <c r="E1199" s="6" t="s">
        <v>1671</v>
      </c>
      <c r="F1199" s="6" t="s">
        <v>30</v>
      </c>
      <c r="G1199" s="6" t="s">
        <v>1113</v>
      </c>
    </row>
    <row r="1200" ht="15.75" customHeight="1">
      <c r="A1200" s="6" t="s">
        <v>613</v>
      </c>
      <c r="B1200" s="6" t="s">
        <v>1822</v>
      </c>
      <c r="C1200" s="6" t="s">
        <v>1854</v>
      </c>
      <c r="D1200" s="6" t="s">
        <v>591</v>
      </c>
      <c r="E1200" s="6" t="s">
        <v>1672</v>
      </c>
      <c r="F1200" s="6" t="s">
        <v>30</v>
      </c>
      <c r="G1200" s="6" t="s">
        <v>1113</v>
      </c>
    </row>
    <row r="1201" ht="15.75" customHeight="1">
      <c r="A1201" s="6" t="s">
        <v>613</v>
      </c>
      <c r="B1201" s="6" t="s">
        <v>1822</v>
      </c>
      <c r="C1201" s="6" t="s">
        <v>1854</v>
      </c>
      <c r="D1201" s="6" t="s">
        <v>469</v>
      </c>
      <c r="E1201" s="6" t="s">
        <v>731</v>
      </c>
      <c r="F1201" s="6" t="s">
        <v>30</v>
      </c>
      <c r="G1201" s="6" t="s">
        <v>812</v>
      </c>
    </row>
    <row r="1202" ht="15.75" customHeight="1">
      <c r="A1202" s="6" t="s">
        <v>613</v>
      </c>
      <c r="B1202" s="6" t="s">
        <v>1822</v>
      </c>
      <c r="C1202" s="6" t="s">
        <v>1854</v>
      </c>
      <c r="D1202" s="6" t="s">
        <v>445</v>
      </c>
      <c r="E1202" s="6" t="s">
        <v>1382</v>
      </c>
      <c r="F1202" s="6" t="s">
        <v>30</v>
      </c>
      <c r="G1202" s="6" t="s">
        <v>712</v>
      </c>
    </row>
    <row r="1203" ht="15.75" customHeight="1">
      <c r="A1203" s="6" t="s">
        <v>613</v>
      </c>
      <c r="B1203" s="6" t="s">
        <v>1822</v>
      </c>
      <c r="C1203" s="6" t="s">
        <v>1854</v>
      </c>
      <c r="D1203" s="6" t="s">
        <v>639</v>
      </c>
      <c r="E1203" s="6" t="s">
        <v>1340</v>
      </c>
      <c r="F1203" s="6" t="s">
        <v>561</v>
      </c>
      <c r="G1203" s="6" t="s">
        <v>1113</v>
      </c>
    </row>
    <row r="1204" ht="15.75" customHeight="1">
      <c r="A1204" s="6" t="s">
        <v>613</v>
      </c>
      <c r="B1204" s="6" t="s">
        <v>1822</v>
      </c>
      <c r="C1204" s="6" t="s">
        <v>1854</v>
      </c>
      <c r="D1204" s="6" t="s">
        <v>973</v>
      </c>
      <c r="E1204" s="6" t="s">
        <v>1676</v>
      </c>
      <c r="F1204" s="6" t="s">
        <v>30</v>
      </c>
      <c r="G1204" s="6" t="s">
        <v>812</v>
      </c>
    </row>
    <row r="1205" ht="15.75" customHeight="1">
      <c r="A1205" s="6" t="s">
        <v>613</v>
      </c>
      <c r="B1205" s="6" t="s">
        <v>1822</v>
      </c>
      <c r="C1205" s="6" t="s">
        <v>1854</v>
      </c>
      <c r="D1205" s="6" t="s">
        <v>639</v>
      </c>
      <c r="E1205" s="6" t="s">
        <v>1678</v>
      </c>
      <c r="F1205" s="6" t="s">
        <v>30</v>
      </c>
      <c r="G1205" s="6" t="s">
        <v>1113</v>
      </c>
    </row>
    <row r="1206" ht="15.75" customHeight="1">
      <c r="A1206" s="6" t="s">
        <v>613</v>
      </c>
      <c r="B1206" s="6" t="s">
        <v>1822</v>
      </c>
      <c r="C1206" s="6" t="s">
        <v>1854</v>
      </c>
      <c r="D1206" s="6" t="s">
        <v>435</v>
      </c>
      <c r="E1206" s="6" t="s">
        <v>1680</v>
      </c>
      <c r="F1206" s="6" t="s">
        <v>30</v>
      </c>
      <c r="G1206" s="6" t="s">
        <v>812</v>
      </c>
    </row>
    <row r="1207" ht="15.75" customHeight="1">
      <c r="A1207" s="6" t="s">
        <v>613</v>
      </c>
      <c r="B1207" s="6" t="s">
        <v>1822</v>
      </c>
      <c r="C1207" s="6" t="s">
        <v>1854</v>
      </c>
      <c r="D1207" s="6" t="s">
        <v>539</v>
      </c>
      <c r="E1207" s="6" t="s">
        <v>1681</v>
      </c>
      <c r="F1207" s="6" t="s">
        <v>30</v>
      </c>
      <c r="G1207" s="6" t="s">
        <v>1113</v>
      </c>
    </row>
    <row r="1208" ht="15.75" customHeight="1">
      <c r="A1208" s="6" t="s">
        <v>613</v>
      </c>
      <c r="B1208" s="6" t="s">
        <v>1822</v>
      </c>
      <c r="C1208" s="6" t="s">
        <v>1854</v>
      </c>
      <c r="D1208" s="6" t="s">
        <v>445</v>
      </c>
      <c r="E1208" s="6" t="s">
        <v>1683</v>
      </c>
      <c r="F1208" s="6" t="s">
        <v>30</v>
      </c>
      <c r="G1208" s="6" t="s">
        <v>812</v>
      </c>
    </row>
    <row r="1209" ht="15.75" customHeight="1">
      <c r="A1209" s="6" t="s">
        <v>613</v>
      </c>
      <c r="B1209" s="6" t="s">
        <v>1822</v>
      </c>
      <c r="C1209" s="6" t="s">
        <v>1854</v>
      </c>
      <c r="D1209" s="6" t="s">
        <v>501</v>
      </c>
      <c r="E1209" s="6" t="s">
        <v>1685</v>
      </c>
      <c r="F1209" s="6" t="s">
        <v>30</v>
      </c>
      <c r="G1209" s="6" t="s">
        <v>712</v>
      </c>
    </row>
    <row r="1210" ht="15.75" customHeight="1">
      <c r="A1210" s="6" t="s">
        <v>613</v>
      </c>
      <c r="B1210" s="6" t="s">
        <v>1809</v>
      </c>
      <c r="C1210" s="6" t="s">
        <v>1854</v>
      </c>
      <c r="D1210" s="6" t="s">
        <v>435</v>
      </c>
      <c r="E1210" s="6" t="s">
        <v>499</v>
      </c>
      <c r="F1210" s="6" t="s">
        <v>373</v>
      </c>
      <c r="G1210" s="6" t="s">
        <v>430</v>
      </c>
    </row>
    <row r="1211" ht="15.75" customHeight="1">
      <c r="A1211" s="6" t="s">
        <v>613</v>
      </c>
      <c r="B1211" s="6" t="s">
        <v>1809</v>
      </c>
      <c r="C1211" s="6" t="s">
        <v>1854</v>
      </c>
      <c r="D1211" s="6" t="s">
        <v>639</v>
      </c>
      <c r="E1211" s="6" t="s">
        <v>1687</v>
      </c>
      <c r="F1211" s="6" t="s">
        <v>59</v>
      </c>
      <c r="G1211" s="6" t="s">
        <v>438</v>
      </c>
    </row>
    <row r="1212" ht="15.75" customHeight="1">
      <c r="A1212" s="6" t="s">
        <v>613</v>
      </c>
      <c r="B1212" s="6" t="s">
        <v>1809</v>
      </c>
      <c r="C1212" s="6" t="s">
        <v>1854</v>
      </c>
      <c r="D1212" s="6" t="s">
        <v>469</v>
      </c>
      <c r="E1212" s="6" t="s">
        <v>1689</v>
      </c>
      <c r="F1212" s="6" t="s">
        <v>59</v>
      </c>
      <c r="G1212" s="6" t="s">
        <v>438</v>
      </c>
    </row>
    <row r="1213" ht="15.75" customHeight="1">
      <c r="A1213" s="6" t="s">
        <v>613</v>
      </c>
      <c r="B1213" s="6" t="s">
        <v>1809</v>
      </c>
      <c r="C1213" s="6" t="s">
        <v>1854</v>
      </c>
      <c r="D1213" s="6" t="s">
        <v>576</v>
      </c>
      <c r="E1213" s="6" t="s">
        <v>1691</v>
      </c>
      <c r="F1213" s="6" t="s">
        <v>59</v>
      </c>
      <c r="G1213" s="6" t="s">
        <v>430</v>
      </c>
    </row>
    <row r="1214" ht="15.75" customHeight="1">
      <c r="A1214" s="6" t="s">
        <v>613</v>
      </c>
      <c r="B1214" s="6" t="s">
        <v>1809</v>
      </c>
      <c r="C1214" s="6" t="s">
        <v>1854</v>
      </c>
      <c r="D1214" s="6" t="s">
        <v>457</v>
      </c>
      <c r="E1214" s="6" t="s">
        <v>1692</v>
      </c>
      <c r="F1214" s="6" t="s">
        <v>59</v>
      </c>
      <c r="G1214" s="6" t="s">
        <v>438</v>
      </c>
    </row>
    <row r="1215" ht="15.75" customHeight="1">
      <c r="A1215" s="6" t="s">
        <v>613</v>
      </c>
      <c r="B1215" s="6" t="s">
        <v>1809</v>
      </c>
      <c r="C1215" s="6" t="s">
        <v>1854</v>
      </c>
      <c r="D1215" s="6" t="s">
        <v>469</v>
      </c>
      <c r="E1215" s="6" t="s">
        <v>1696</v>
      </c>
      <c r="F1215" s="6" t="s">
        <v>59</v>
      </c>
      <c r="G1215" s="6" t="s">
        <v>438</v>
      </c>
    </row>
    <row r="1216" ht="15.75" customHeight="1">
      <c r="A1216" s="6" t="s">
        <v>613</v>
      </c>
      <c r="B1216" s="6" t="s">
        <v>1809</v>
      </c>
      <c r="C1216" s="6" t="s">
        <v>1854</v>
      </c>
      <c r="D1216" s="6" t="s">
        <v>469</v>
      </c>
      <c r="E1216" s="6" t="s">
        <v>1698</v>
      </c>
      <c r="F1216" s="6" t="s">
        <v>59</v>
      </c>
      <c r="G1216" s="6" t="s">
        <v>438</v>
      </c>
    </row>
    <row r="1217" ht="15.75" customHeight="1">
      <c r="A1217" s="6" t="s">
        <v>613</v>
      </c>
      <c r="B1217" s="6" t="s">
        <v>1809</v>
      </c>
      <c r="C1217" s="6" t="s">
        <v>1854</v>
      </c>
      <c r="D1217" s="6" t="s">
        <v>482</v>
      </c>
      <c r="E1217" s="6" t="s">
        <v>522</v>
      </c>
      <c r="F1217" s="6" t="s">
        <v>373</v>
      </c>
      <c r="G1217" s="6" t="s">
        <v>438</v>
      </c>
    </row>
    <row r="1218" ht="15.75" customHeight="1">
      <c r="A1218" s="6" t="s">
        <v>613</v>
      </c>
      <c r="B1218" s="6" t="s">
        <v>1809</v>
      </c>
      <c r="C1218" s="6" t="s">
        <v>1854</v>
      </c>
      <c r="D1218" s="6" t="s">
        <v>616</v>
      </c>
      <c r="E1218" s="6" t="s">
        <v>353</v>
      </c>
      <c r="F1218" s="6" t="s">
        <v>30</v>
      </c>
      <c r="G1218" s="6" t="s">
        <v>946</v>
      </c>
    </row>
    <row r="1219" ht="15.75" customHeight="1">
      <c r="A1219" s="6" t="s">
        <v>613</v>
      </c>
      <c r="B1219" s="6" t="s">
        <v>1809</v>
      </c>
      <c r="C1219" s="6" t="s">
        <v>1854</v>
      </c>
      <c r="D1219" s="6" t="s">
        <v>501</v>
      </c>
      <c r="E1219" s="6" t="s">
        <v>1700</v>
      </c>
      <c r="F1219" s="6" t="s">
        <v>59</v>
      </c>
      <c r="G1219" s="6" t="s">
        <v>438</v>
      </c>
    </row>
    <row r="1220" ht="15.75" customHeight="1">
      <c r="A1220" s="6" t="s">
        <v>613</v>
      </c>
      <c r="B1220" s="6" t="s">
        <v>1809</v>
      </c>
      <c r="C1220" s="6" t="s">
        <v>1854</v>
      </c>
      <c r="D1220" s="6" t="s">
        <v>501</v>
      </c>
      <c r="E1220" s="6" t="s">
        <v>526</v>
      </c>
      <c r="F1220" s="6" t="s">
        <v>30</v>
      </c>
      <c r="G1220" s="6" t="s">
        <v>946</v>
      </c>
    </row>
    <row r="1221" ht="15.75" customHeight="1">
      <c r="A1221" s="6" t="s">
        <v>613</v>
      </c>
      <c r="B1221" s="6" t="s">
        <v>1809</v>
      </c>
      <c r="C1221" s="6" t="s">
        <v>1854</v>
      </c>
      <c r="D1221" s="6" t="s">
        <v>445</v>
      </c>
      <c r="E1221" s="6" t="s">
        <v>1702</v>
      </c>
      <c r="F1221" s="6" t="s">
        <v>30</v>
      </c>
      <c r="G1221" s="6" t="s">
        <v>438</v>
      </c>
    </row>
    <row r="1222" ht="15.75" customHeight="1">
      <c r="A1222" s="6" t="s">
        <v>669</v>
      </c>
      <c r="B1222" s="6" t="s">
        <v>1822</v>
      </c>
      <c r="C1222" s="6" t="s">
        <v>1854</v>
      </c>
      <c r="D1222" s="6" t="s">
        <v>848</v>
      </c>
      <c r="E1222" s="6" t="s">
        <v>429</v>
      </c>
      <c r="F1222" s="6" t="s">
        <v>59</v>
      </c>
      <c r="G1222" s="6" t="s">
        <v>1113</v>
      </c>
    </row>
    <row r="1223" ht="15.75" customHeight="1">
      <c r="A1223" s="6" t="s">
        <v>669</v>
      </c>
      <c r="B1223" s="6" t="s">
        <v>1822</v>
      </c>
      <c r="C1223" s="6" t="s">
        <v>1854</v>
      </c>
      <c r="D1223" s="6" t="s">
        <v>840</v>
      </c>
      <c r="E1223" s="6" t="s">
        <v>429</v>
      </c>
      <c r="F1223" s="6" t="s">
        <v>30</v>
      </c>
      <c r="G1223" s="6" t="s">
        <v>812</v>
      </c>
    </row>
    <row r="1224" ht="15.75" customHeight="1">
      <c r="A1224" s="6" t="s">
        <v>669</v>
      </c>
      <c r="B1224" s="6" t="s">
        <v>1822</v>
      </c>
      <c r="C1224" s="6" t="s">
        <v>1854</v>
      </c>
      <c r="D1224" s="6" t="s">
        <v>837</v>
      </c>
      <c r="E1224" s="6" t="s">
        <v>429</v>
      </c>
      <c r="F1224" s="6" t="s">
        <v>30</v>
      </c>
      <c r="G1224" s="6" t="s">
        <v>1113</v>
      </c>
    </row>
    <row r="1225" ht="15.75" customHeight="1">
      <c r="A1225" s="6" t="s">
        <v>669</v>
      </c>
      <c r="B1225" s="6" t="s">
        <v>1822</v>
      </c>
      <c r="C1225" s="6" t="s">
        <v>1854</v>
      </c>
      <c r="D1225" s="6" t="s">
        <v>837</v>
      </c>
      <c r="E1225" s="6" t="s">
        <v>429</v>
      </c>
      <c r="F1225" s="6" t="s">
        <v>30</v>
      </c>
      <c r="G1225" s="6" t="s">
        <v>800</v>
      </c>
    </row>
    <row r="1226" ht="15.75" customHeight="1">
      <c r="A1226" s="6" t="s">
        <v>669</v>
      </c>
      <c r="B1226" s="6" t="s">
        <v>1822</v>
      </c>
      <c r="C1226" s="6" t="s">
        <v>1854</v>
      </c>
      <c r="D1226" s="6" t="s">
        <v>781</v>
      </c>
      <c r="E1226" s="6" t="s">
        <v>429</v>
      </c>
      <c r="F1226" s="6" t="s">
        <v>30</v>
      </c>
      <c r="G1226" s="6" t="s">
        <v>800</v>
      </c>
    </row>
    <row r="1227" ht="15.75" customHeight="1">
      <c r="A1227" s="6" t="s">
        <v>669</v>
      </c>
      <c r="B1227" s="6" t="s">
        <v>1822</v>
      </c>
      <c r="C1227" s="6" t="s">
        <v>1854</v>
      </c>
      <c r="D1227" s="6" t="s">
        <v>848</v>
      </c>
      <c r="E1227" s="6" t="s">
        <v>429</v>
      </c>
      <c r="F1227" s="6" t="s">
        <v>30</v>
      </c>
      <c r="G1227" s="6" t="s">
        <v>1113</v>
      </c>
    </row>
    <row r="1228" ht="15.75" customHeight="1">
      <c r="A1228" s="6" t="s">
        <v>669</v>
      </c>
      <c r="B1228" s="6" t="s">
        <v>1822</v>
      </c>
      <c r="C1228" s="6" t="s">
        <v>1854</v>
      </c>
      <c r="D1228" s="6" t="s">
        <v>672</v>
      </c>
      <c r="E1228" s="6" t="s">
        <v>429</v>
      </c>
      <c r="F1228" s="6" t="s">
        <v>30</v>
      </c>
      <c r="G1228" s="6" t="s">
        <v>800</v>
      </c>
    </row>
    <row r="1229" ht="15.75" customHeight="1">
      <c r="A1229" s="6" t="s">
        <v>669</v>
      </c>
      <c r="B1229" s="6" t="s">
        <v>1822</v>
      </c>
      <c r="C1229" s="6" t="s">
        <v>1854</v>
      </c>
      <c r="D1229" s="6" t="s">
        <v>672</v>
      </c>
      <c r="E1229" s="6" t="s">
        <v>429</v>
      </c>
      <c r="F1229" s="6" t="s">
        <v>30</v>
      </c>
      <c r="G1229" s="6" t="s">
        <v>1113</v>
      </c>
    </row>
    <row r="1230" ht="15.75" customHeight="1">
      <c r="A1230" s="6" t="s">
        <v>669</v>
      </c>
      <c r="B1230" s="6" t="s">
        <v>1822</v>
      </c>
      <c r="C1230" s="6" t="s">
        <v>1854</v>
      </c>
      <c r="D1230" s="6" t="s">
        <v>670</v>
      </c>
      <c r="E1230" s="6" t="s">
        <v>429</v>
      </c>
      <c r="F1230" s="6" t="s">
        <v>30</v>
      </c>
      <c r="G1230" s="6" t="s">
        <v>930</v>
      </c>
    </row>
    <row r="1231" ht="15.75" customHeight="1">
      <c r="A1231" s="6" t="s">
        <v>669</v>
      </c>
      <c r="B1231" s="6" t="s">
        <v>1822</v>
      </c>
      <c r="C1231" s="6" t="s">
        <v>1854</v>
      </c>
      <c r="D1231" s="6" t="s">
        <v>825</v>
      </c>
      <c r="E1231" s="6" t="s">
        <v>429</v>
      </c>
      <c r="F1231" s="6" t="s">
        <v>30</v>
      </c>
      <c r="G1231" s="6" t="s">
        <v>800</v>
      </c>
    </row>
    <row r="1232" ht="15.75" customHeight="1">
      <c r="A1232" s="6" t="s">
        <v>669</v>
      </c>
      <c r="B1232" s="6" t="s">
        <v>1822</v>
      </c>
      <c r="C1232" s="6" t="s">
        <v>1854</v>
      </c>
      <c r="D1232" s="6" t="s">
        <v>848</v>
      </c>
      <c r="E1232" s="6" t="s">
        <v>429</v>
      </c>
      <c r="F1232" s="6" t="s">
        <v>30</v>
      </c>
      <c r="G1232" s="6" t="s">
        <v>1113</v>
      </c>
    </row>
    <row r="1233" ht="15.75" customHeight="1">
      <c r="A1233" s="6" t="s">
        <v>669</v>
      </c>
      <c r="B1233" s="6" t="s">
        <v>1822</v>
      </c>
      <c r="C1233" s="6" t="s">
        <v>1854</v>
      </c>
      <c r="D1233" s="6" t="s">
        <v>870</v>
      </c>
      <c r="E1233" s="6" t="s">
        <v>429</v>
      </c>
      <c r="F1233" s="6" t="s">
        <v>30</v>
      </c>
      <c r="G1233" s="6" t="s">
        <v>1113</v>
      </c>
    </row>
    <row r="1234" ht="15.75" customHeight="1">
      <c r="A1234" s="6" t="s">
        <v>669</v>
      </c>
      <c r="B1234" s="6" t="s">
        <v>1822</v>
      </c>
      <c r="C1234" s="6" t="s">
        <v>1854</v>
      </c>
      <c r="D1234" s="6" t="s">
        <v>781</v>
      </c>
      <c r="E1234" s="6" t="s">
        <v>429</v>
      </c>
      <c r="F1234" s="6" t="s">
        <v>30</v>
      </c>
      <c r="G1234" s="6" t="s">
        <v>1113</v>
      </c>
    </row>
    <row r="1235" ht="15.75" customHeight="1">
      <c r="A1235" s="6" t="s">
        <v>669</v>
      </c>
      <c r="B1235" s="6" t="s">
        <v>1822</v>
      </c>
      <c r="C1235" s="6" t="s">
        <v>1854</v>
      </c>
      <c r="D1235" s="6" t="s">
        <v>764</v>
      </c>
      <c r="E1235" s="6" t="s">
        <v>429</v>
      </c>
      <c r="F1235" s="6" t="s">
        <v>561</v>
      </c>
      <c r="G1235" s="6" t="s">
        <v>1113</v>
      </c>
    </row>
    <row r="1236" ht="15.75" customHeight="1">
      <c r="A1236" s="6" t="s">
        <v>669</v>
      </c>
      <c r="B1236" s="6" t="s">
        <v>1822</v>
      </c>
      <c r="C1236" s="6" t="s">
        <v>1854</v>
      </c>
      <c r="D1236" s="6" t="s">
        <v>840</v>
      </c>
      <c r="E1236" s="6" t="s">
        <v>553</v>
      </c>
      <c r="G1236" s="6" t="s">
        <v>812</v>
      </c>
    </row>
    <row r="1237" ht="15.75" customHeight="1">
      <c r="A1237" s="6" t="s">
        <v>669</v>
      </c>
      <c r="B1237" s="6" t="s">
        <v>1822</v>
      </c>
      <c r="C1237" s="6" t="s">
        <v>1854</v>
      </c>
      <c r="D1237" s="6" t="s">
        <v>705</v>
      </c>
      <c r="E1237" s="6" t="s">
        <v>429</v>
      </c>
      <c r="F1237" s="6" t="s">
        <v>30</v>
      </c>
      <c r="G1237" s="6" t="s">
        <v>812</v>
      </c>
    </row>
    <row r="1238" ht="15.75" customHeight="1">
      <c r="A1238" s="6" t="s">
        <v>669</v>
      </c>
      <c r="B1238" s="6" t="s">
        <v>1822</v>
      </c>
      <c r="C1238" s="6" t="s">
        <v>1854</v>
      </c>
      <c r="D1238" s="6" t="s">
        <v>781</v>
      </c>
      <c r="E1238" s="6" t="s">
        <v>429</v>
      </c>
      <c r="F1238" s="6" t="s">
        <v>30</v>
      </c>
      <c r="G1238" s="6" t="s">
        <v>1113</v>
      </c>
    </row>
    <row r="1239" ht="15.75" customHeight="1">
      <c r="A1239" s="6" t="s">
        <v>669</v>
      </c>
      <c r="B1239" s="6" t="s">
        <v>1822</v>
      </c>
      <c r="C1239" s="6" t="s">
        <v>1854</v>
      </c>
      <c r="D1239" s="6" t="s">
        <v>700</v>
      </c>
      <c r="E1239" s="6" t="s">
        <v>429</v>
      </c>
      <c r="F1239" s="6" t="s">
        <v>59</v>
      </c>
      <c r="G1239" s="6" t="s">
        <v>812</v>
      </c>
    </row>
    <row r="1240" ht="15.75" customHeight="1">
      <c r="A1240" s="6" t="s">
        <v>669</v>
      </c>
      <c r="B1240" s="6" t="s">
        <v>1822</v>
      </c>
      <c r="C1240" s="6" t="s">
        <v>1854</v>
      </c>
      <c r="D1240" s="6" t="s">
        <v>672</v>
      </c>
      <c r="E1240" s="6" t="s">
        <v>429</v>
      </c>
      <c r="F1240" s="6" t="s">
        <v>30</v>
      </c>
      <c r="G1240" s="6" t="s">
        <v>1113</v>
      </c>
    </row>
    <row r="1241" ht="15.75" customHeight="1">
      <c r="A1241" s="6" t="s">
        <v>669</v>
      </c>
      <c r="B1241" s="6" t="s">
        <v>1822</v>
      </c>
      <c r="C1241" s="6" t="s">
        <v>1854</v>
      </c>
      <c r="D1241" s="6" t="s">
        <v>690</v>
      </c>
      <c r="E1241" s="6" t="s">
        <v>553</v>
      </c>
      <c r="G1241" s="6" t="s">
        <v>812</v>
      </c>
    </row>
    <row r="1242" ht="15.75" customHeight="1">
      <c r="A1242" s="6" t="s">
        <v>669</v>
      </c>
      <c r="B1242" s="6" t="s">
        <v>1822</v>
      </c>
      <c r="C1242" s="6" t="s">
        <v>1854</v>
      </c>
      <c r="D1242" s="6" t="s">
        <v>764</v>
      </c>
      <c r="E1242" s="6" t="s">
        <v>429</v>
      </c>
      <c r="F1242" s="6" t="s">
        <v>561</v>
      </c>
      <c r="G1242" s="6" t="s">
        <v>1113</v>
      </c>
    </row>
    <row r="1243" ht="15.75" customHeight="1">
      <c r="A1243" s="6" t="s">
        <v>669</v>
      </c>
      <c r="B1243" s="6" t="s">
        <v>1809</v>
      </c>
      <c r="C1243" s="6" t="s">
        <v>1854</v>
      </c>
      <c r="D1243" s="6" t="s">
        <v>921</v>
      </c>
      <c r="E1243" s="6" t="s">
        <v>429</v>
      </c>
      <c r="F1243" s="6" t="s">
        <v>59</v>
      </c>
      <c r="G1243" s="6" t="s">
        <v>430</v>
      </c>
    </row>
    <row r="1244" ht="15.75" customHeight="1">
      <c r="A1244" s="6" t="s">
        <v>745</v>
      </c>
      <c r="B1244" s="6" t="s">
        <v>1822</v>
      </c>
      <c r="C1244" s="6" t="s">
        <v>1854</v>
      </c>
      <c r="D1244" s="6" t="s">
        <v>690</v>
      </c>
      <c r="E1244" s="6" t="s">
        <v>429</v>
      </c>
      <c r="F1244" s="6" t="s">
        <v>30</v>
      </c>
      <c r="G1244" s="6" t="s">
        <v>800</v>
      </c>
    </row>
    <row r="1245" ht="15.75" customHeight="1">
      <c r="A1245" s="6" t="s">
        <v>745</v>
      </c>
      <c r="B1245" s="6" t="s">
        <v>1822</v>
      </c>
      <c r="C1245" s="6" t="s">
        <v>1854</v>
      </c>
      <c r="D1245" s="6" t="s">
        <v>764</v>
      </c>
      <c r="E1245" s="6" t="s">
        <v>429</v>
      </c>
      <c r="F1245" s="6" t="s">
        <v>561</v>
      </c>
      <c r="G1245" s="6" t="s">
        <v>812</v>
      </c>
    </row>
    <row r="1246" ht="15.75" customHeight="1">
      <c r="A1246" s="6" t="s">
        <v>745</v>
      </c>
      <c r="B1246" s="6" t="s">
        <v>1822</v>
      </c>
      <c r="C1246" s="6" t="s">
        <v>1854</v>
      </c>
      <c r="D1246" s="6" t="s">
        <v>747</v>
      </c>
      <c r="E1246" s="6" t="s">
        <v>429</v>
      </c>
      <c r="F1246" s="6" t="s">
        <v>984</v>
      </c>
      <c r="G1246" s="6" t="s">
        <v>1113</v>
      </c>
    </row>
    <row r="1247" ht="15.75" customHeight="1">
      <c r="A1247" s="6" t="s">
        <v>745</v>
      </c>
      <c r="B1247" s="6" t="s">
        <v>1822</v>
      </c>
      <c r="C1247" s="6" t="s">
        <v>1854</v>
      </c>
      <c r="D1247" s="6" t="s">
        <v>781</v>
      </c>
      <c r="E1247" s="6" t="s">
        <v>429</v>
      </c>
      <c r="F1247" s="6" t="s">
        <v>30</v>
      </c>
      <c r="G1247" s="6" t="s">
        <v>1113</v>
      </c>
    </row>
    <row r="1248" ht="15.75" customHeight="1">
      <c r="A1248" s="6" t="s">
        <v>745</v>
      </c>
      <c r="B1248" s="6" t="s">
        <v>1822</v>
      </c>
      <c r="C1248" s="6" t="s">
        <v>1854</v>
      </c>
      <c r="D1248" s="6" t="s">
        <v>848</v>
      </c>
      <c r="E1248" s="6" t="s">
        <v>429</v>
      </c>
      <c r="F1248" s="6" t="s">
        <v>30</v>
      </c>
      <c r="G1248" s="6" t="s">
        <v>1113</v>
      </c>
    </row>
    <row r="1249" ht="15.75" customHeight="1">
      <c r="A1249" s="6" t="s">
        <v>745</v>
      </c>
      <c r="B1249" s="6" t="s">
        <v>1822</v>
      </c>
      <c r="C1249" s="6" t="s">
        <v>1854</v>
      </c>
      <c r="D1249" s="6" t="s">
        <v>870</v>
      </c>
      <c r="E1249" s="6" t="s">
        <v>429</v>
      </c>
      <c r="F1249" s="6" t="s">
        <v>561</v>
      </c>
      <c r="G1249" s="6" t="s">
        <v>812</v>
      </c>
    </row>
    <row r="1250" ht="15.75" customHeight="1">
      <c r="A1250" s="6" t="s">
        <v>745</v>
      </c>
      <c r="B1250" s="6" t="s">
        <v>1822</v>
      </c>
      <c r="C1250" s="6" t="s">
        <v>1854</v>
      </c>
      <c r="D1250" s="6" t="s">
        <v>914</v>
      </c>
      <c r="E1250" s="6" t="s">
        <v>429</v>
      </c>
      <c r="F1250" s="6" t="s">
        <v>984</v>
      </c>
      <c r="G1250" s="6" t="s">
        <v>1113</v>
      </c>
    </row>
    <row r="1251" ht="15.75" customHeight="1">
      <c r="A1251" s="6" t="s">
        <v>745</v>
      </c>
      <c r="B1251" s="6" t="s">
        <v>1822</v>
      </c>
      <c r="C1251" s="6" t="s">
        <v>1854</v>
      </c>
      <c r="D1251" s="6" t="s">
        <v>840</v>
      </c>
      <c r="E1251" s="6" t="s">
        <v>429</v>
      </c>
      <c r="F1251" s="6" t="s">
        <v>561</v>
      </c>
      <c r="G1251" s="6" t="s">
        <v>1113</v>
      </c>
    </row>
    <row r="1252" ht="15.75" customHeight="1">
      <c r="A1252" s="6" t="s">
        <v>745</v>
      </c>
      <c r="B1252" s="6" t="s">
        <v>1822</v>
      </c>
      <c r="C1252" s="6" t="s">
        <v>1854</v>
      </c>
      <c r="D1252" s="6" t="s">
        <v>747</v>
      </c>
      <c r="E1252" s="6" t="s">
        <v>429</v>
      </c>
      <c r="F1252" s="6" t="s">
        <v>984</v>
      </c>
      <c r="G1252" s="6" t="s">
        <v>1113</v>
      </c>
    </row>
    <row r="1253" ht="15.75" customHeight="1">
      <c r="A1253" s="6" t="s">
        <v>745</v>
      </c>
      <c r="B1253" s="6" t="s">
        <v>1822</v>
      </c>
      <c r="C1253" s="6" t="s">
        <v>1854</v>
      </c>
      <c r="D1253" s="6" t="s">
        <v>825</v>
      </c>
      <c r="E1253" s="6" t="s">
        <v>429</v>
      </c>
      <c r="F1253" s="6" t="s">
        <v>30</v>
      </c>
      <c r="G1253" s="6" t="s">
        <v>812</v>
      </c>
    </row>
    <row r="1254" ht="15.75" customHeight="1">
      <c r="A1254" s="6" t="s">
        <v>745</v>
      </c>
      <c r="B1254" s="6" t="s">
        <v>1822</v>
      </c>
      <c r="C1254" s="6" t="s">
        <v>1854</v>
      </c>
      <c r="D1254" s="6" t="s">
        <v>684</v>
      </c>
      <c r="E1254" s="6" t="s">
        <v>429</v>
      </c>
      <c r="F1254" s="6" t="s">
        <v>30</v>
      </c>
      <c r="G1254" s="6" t="s">
        <v>812</v>
      </c>
    </row>
    <row r="1255" ht="15.75" customHeight="1">
      <c r="A1255" s="6" t="s">
        <v>745</v>
      </c>
      <c r="B1255" s="6" t="s">
        <v>1822</v>
      </c>
      <c r="C1255" s="6" t="s">
        <v>1854</v>
      </c>
      <c r="D1255" s="6" t="s">
        <v>705</v>
      </c>
      <c r="E1255" s="6" t="s">
        <v>429</v>
      </c>
      <c r="F1255" s="6" t="s">
        <v>984</v>
      </c>
      <c r="G1255" s="6" t="s">
        <v>800</v>
      </c>
    </row>
    <row r="1256" ht="15.75" customHeight="1">
      <c r="A1256" s="6" t="s">
        <v>745</v>
      </c>
      <c r="B1256" s="6" t="s">
        <v>1822</v>
      </c>
      <c r="C1256" s="6" t="s">
        <v>1854</v>
      </c>
      <c r="D1256" s="6" t="s">
        <v>690</v>
      </c>
      <c r="E1256" s="6" t="s">
        <v>429</v>
      </c>
      <c r="F1256" s="6" t="s">
        <v>30</v>
      </c>
      <c r="G1256" s="6" t="s">
        <v>1113</v>
      </c>
    </row>
    <row r="1257" ht="15.75" customHeight="1">
      <c r="A1257" s="6" t="s">
        <v>745</v>
      </c>
      <c r="B1257" s="6" t="s">
        <v>1822</v>
      </c>
      <c r="C1257" s="6" t="s">
        <v>1854</v>
      </c>
      <c r="D1257" s="6" t="s">
        <v>848</v>
      </c>
      <c r="E1257" s="6" t="s">
        <v>429</v>
      </c>
      <c r="F1257" s="6" t="s">
        <v>30</v>
      </c>
      <c r="G1257" s="6" t="s">
        <v>812</v>
      </c>
    </row>
    <row r="1258" ht="15.75" customHeight="1">
      <c r="A1258" s="6" t="s">
        <v>745</v>
      </c>
      <c r="B1258" s="6" t="s">
        <v>1822</v>
      </c>
      <c r="C1258" s="6" t="s">
        <v>1854</v>
      </c>
      <c r="D1258" s="6" t="s">
        <v>840</v>
      </c>
      <c r="E1258" s="6" t="s">
        <v>429</v>
      </c>
      <c r="F1258" s="6" t="s">
        <v>561</v>
      </c>
      <c r="G1258" s="6" t="s">
        <v>812</v>
      </c>
    </row>
    <row r="1259" ht="15.75" customHeight="1">
      <c r="A1259" s="6" t="s">
        <v>745</v>
      </c>
      <c r="B1259" s="6" t="s">
        <v>1822</v>
      </c>
      <c r="C1259" s="6" t="s">
        <v>1854</v>
      </c>
      <c r="D1259" s="6" t="s">
        <v>690</v>
      </c>
      <c r="E1259" s="6" t="s">
        <v>429</v>
      </c>
      <c r="F1259" s="6" t="s">
        <v>984</v>
      </c>
      <c r="G1259" s="6" t="s">
        <v>812</v>
      </c>
    </row>
    <row r="1260" ht="15.75" customHeight="1">
      <c r="A1260" s="6" t="s">
        <v>745</v>
      </c>
      <c r="B1260" s="6" t="s">
        <v>1822</v>
      </c>
      <c r="C1260" s="6" t="s">
        <v>1854</v>
      </c>
      <c r="D1260" s="6" t="s">
        <v>747</v>
      </c>
      <c r="E1260" s="6" t="s">
        <v>429</v>
      </c>
      <c r="F1260" s="6" t="s">
        <v>984</v>
      </c>
      <c r="G1260" s="6" t="s">
        <v>800</v>
      </c>
    </row>
    <row r="1261" ht="15.75" customHeight="1">
      <c r="A1261" s="6" t="s">
        <v>745</v>
      </c>
      <c r="B1261" s="6" t="s">
        <v>1822</v>
      </c>
      <c r="C1261" s="6" t="s">
        <v>1854</v>
      </c>
      <c r="D1261" s="6" t="s">
        <v>747</v>
      </c>
      <c r="E1261" s="6" t="s">
        <v>429</v>
      </c>
      <c r="F1261" s="6" t="s">
        <v>984</v>
      </c>
      <c r="G1261" s="6" t="s">
        <v>1113</v>
      </c>
    </row>
    <row r="1262" ht="15.75" customHeight="1">
      <c r="A1262" s="6" t="s">
        <v>745</v>
      </c>
      <c r="B1262" s="6" t="s">
        <v>1822</v>
      </c>
      <c r="C1262" s="6" t="s">
        <v>1854</v>
      </c>
      <c r="D1262" s="6" t="s">
        <v>700</v>
      </c>
      <c r="E1262" s="6" t="s">
        <v>429</v>
      </c>
      <c r="F1262" s="6" t="s">
        <v>30</v>
      </c>
      <c r="G1262" s="6" t="s">
        <v>812</v>
      </c>
    </row>
    <row r="1263" ht="15.75" customHeight="1">
      <c r="A1263" s="6" t="s">
        <v>745</v>
      </c>
      <c r="B1263" s="6" t="s">
        <v>1822</v>
      </c>
      <c r="C1263" s="6" t="s">
        <v>1854</v>
      </c>
      <c r="D1263" s="6" t="s">
        <v>690</v>
      </c>
      <c r="E1263" s="6" t="s">
        <v>429</v>
      </c>
      <c r="F1263" s="6" t="s">
        <v>984</v>
      </c>
      <c r="G1263" s="6" t="s">
        <v>1113</v>
      </c>
    </row>
    <row r="1264" ht="15.75" customHeight="1">
      <c r="A1264" s="6" t="s">
        <v>745</v>
      </c>
      <c r="B1264" s="6" t="s">
        <v>1822</v>
      </c>
      <c r="C1264" s="6" t="s">
        <v>1854</v>
      </c>
      <c r="D1264" s="6" t="s">
        <v>705</v>
      </c>
      <c r="E1264" s="6" t="s">
        <v>429</v>
      </c>
      <c r="F1264" s="6" t="s">
        <v>984</v>
      </c>
      <c r="G1264" s="6" t="s">
        <v>1113</v>
      </c>
    </row>
    <row r="1265" ht="15.75" customHeight="1">
      <c r="A1265" s="6" t="s">
        <v>745</v>
      </c>
      <c r="B1265" s="6" t="s">
        <v>1822</v>
      </c>
      <c r="C1265" s="6" t="s">
        <v>1854</v>
      </c>
      <c r="D1265" s="6" t="s">
        <v>837</v>
      </c>
      <c r="E1265" s="6" t="s">
        <v>429</v>
      </c>
      <c r="F1265" s="6" t="s">
        <v>561</v>
      </c>
      <c r="G1265" s="6" t="s">
        <v>1113</v>
      </c>
    </row>
    <row r="1266" ht="15.75" customHeight="1">
      <c r="A1266" s="6" t="s">
        <v>745</v>
      </c>
      <c r="B1266" s="6" t="s">
        <v>1822</v>
      </c>
      <c r="C1266" s="6" t="s">
        <v>1854</v>
      </c>
      <c r="D1266" s="6" t="s">
        <v>705</v>
      </c>
      <c r="E1266" s="6" t="s">
        <v>429</v>
      </c>
      <c r="F1266" s="6" t="s">
        <v>984</v>
      </c>
      <c r="G1266" s="6" t="s">
        <v>1113</v>
      </c>
    </row>
    <row r="1267" ht="15.75" customHeight="1">
      <c r="A1267" s="6" t="s">
        <v>745</v>
      </c>
      <c r="B1267" s="6" t="s">
        <v>1822</v>
      </c>
      <c r="C1267" s="6" t="s">
        <v>1854</v>
      </c>
      <c r="D1267" s="6" t="s">
        <v>672</v>
      </c>
      <c r="E1267" s="6" t="s">
        <v>429</v>
      </c>
      <c r="F1267" s="6" t="s">
        <v>30</v>
      </c>
      <c r="G1267" s="6" t="s">
        <v>1113</v>
      </c>
    </row>
    <row r="1268" ht="15.75" customHeight="1">
      <c r="A1268" s="6" t="s">
        <v>745</v>
      </c>
      <c r="B1268" s="6" t="s">
        <v>1822</v>
      </c>
      <c r="C1268" s="6" t="s">
        <v>1854</v>
      </c>
      <c r="D1268" s="6" t="s">
        <v>672</v>
      </c>
      <c r="E1268" s="6" t="s">
        <v>429</v>
      </c>
      <c r="F1268" s="6" t="s">
        <v>30</v>
      </c>
      <c r="G1268" s="6" t="s">
        <v>812</v>
      </c>
    </row>
    <row r="1269" ht="15.75" customHeight="1">
      <c r="A1269" s="6" t="s">
        <v>745</v>
      </c>
      <c r="B1269" s="6" t="s">
        <v>1809</v>
      </c>
      <c r="C1269" s="6" t="s">
        <v>1854</v>
      </c>
      <c r="D1269" s="6" t="s">
        <v>770</v>
      </c>
      <c r="E1269" s="6" t="s">
        <v>429</v>
      </c>
      <c r="F1269" s="6" t="s">
        <v>59</v>
      </c>
      <c r="G1269" s="6" t="s">
        <v>430</v>
      </c>
    </row>
    <row r="1270" ht="15.75" customHeight="1">
      <c r="A1270" s="6" t="s">
        <v>745</v>
      </c>
      <c r="B1270" s="6" t="s">
        <v>1809</v>
      </c>
      <c r="C1270" s="6" t="s">
        <v>1854</v>
      </c>
      <c r="D1270" s="6" t="s">
        <v>870</v>
      </c>
      <c r="E1270" s="6" t="s">
        <v>429</v>
      </c>
      <c r="F1270" s="6" t="s">
        <v>59</v>
      </c>
      <c r="G1270" s="6" t="s">
        <v>438</v>
      </c>
    </row>
    <row r="1271" ht="15.75" customHeight="1">
      <c r="A1271" s="6" t="s">
        <v>745</v>
      </c>
      <c r="B1271" s="6" t="s">
        <v>1809</v>
      </c>
      <c r="C1271" s="6" t="s">
        <v>1854</v>
      </c>
      <c r="D1271" s="6" t="s">
        <v>825</v>
      </c>
      <c r="E1271" s="6" t="s">
        <v>429</v>
      </c>
      <c r="F1271" s="6" t="s">
        <v>59</v>
      </c>
      <c r="G1271" s="6" t="s">
        <v>946</v>
      </c>
    </row>
    <row r="1272" ht="15.75" customHeight="1">
      <c r="A1272" s="6" t="s">
        <v>745</v>
      </c>
      <c r="B1272" s="6" t="s">
        <v>1809</v>
      </c>
      <c r="C1272" s="6" t="s">
        <v>1854</v>
      </c>
      <c r="D1272" s="6" t="s">
        <v>747</v>
      </c>
      <c r="E1272" s="6" t="s">
        <v>429</v>
      </c>
      <c r="F1272" s="6" t="s">
        <v>59</v>
      </c>
      <c r="G1272" s="6" t="s">
        <v>438</v>
      </c>
    </row>
    <row r="1273" ht="15.75" customHeight="1">
      <c r="A1273" s="6" t="s">
        <v>745</v>
      </c>
      <c r="B1273" s="6" t="s">
        <v>1809</v>
      </c>
      <c r="C1273" s="6" t="s">
        <v>1854</v>
      </c>
      <c r="D1273" s="6" t="s">
        <v>690</v>
      </c>
      <c r="E1273" s="6" t="s">
        <v>429</v>
      </c>
      <c r="F1273" s="6" t="s">
        <v>59</v>
      </c>
      <c r="G1273" s="6" t="s">
        <v>430</v>
      </c>
    </row>
    <row r="1274" ht="15.75" customHeight="1">
      <c r="A1274" s="6" t="s">
        <v>745</v>
      </c>
      <c r="B1274" s="6" t="s">
        <v>1809</v>
      </c>
      <c r="C1274" s="6" t="s">
        <v>1854</v>
      </c>
      <c r="D1274" s="6" t="s">
        <v>747</v>
      </c>
      <c r="E1274" s="6" t="s">
        <v>429</v>
      </c>
      <c r="F1274" s="6" t="s">
        <v>59</v>
      </c>
      <c r="G1274" s="6" t="s">
        <v>438</v>
      </c>
    </row>
    <row r="1275" ht="15.75" customHeight="1">
      <c r="A1275" s="6" t="s">
        <v>745</v>
      </c>
      <c r="B1275" s="6" t="s">
        <v>1809</v>
      </c>
      <c r="C1275" s="6" t="s">
        <v>1854</v>
      </c>
      <c r="D1275" s="6" t="s">
        <v>747</v>
      </c>
      <c r="E1275" s="6" t="s">
        <v>429</v>
      </c>
      <c r="F1275" s="6" t="s">
        <v>59</v>
      </c>
      <c r="G1275" s="6" t="s">
        <v>430</v>
      </c>
    </row>
    <row r="1276" ht="15.75" customHeight="1">
      <c r="A1276" s="6" t="s">
        <v>745</v>
      </c>
      <c r="B1276" s="6" t="s">
        <v>1809</v>
      </c>
      <c r="C1276" s="6" t="s">
        <v>1854</v>
      </c>
      <c r="D1276" s="6" t="s">
        <v>747</v>
      </c>
      <c r="E1276" s="6" t="s">
        <v>429</v>
      </c>
      <c r="F1276" s="6" t="s">
        <v>59</v>
      </c>
      <c r="G1276" s="6" t="s">
        <v>438</v>
      </c>
    </row>
    <row r="1277" ht="15.75" customHeight="1">
      <c r="A1277" s="6" t="s">
        <v>745</v>
      </c>
      <c r="B1277" s="6" t="s">
        <v>1809</v>
      </c>
      <c r="C1277" s="6" t="s">
        <v>1854</v>
      </c>
      <c r="D1277" s="6" t="s">
        <v>705</v>
      </c>
      <c r="E1277" s="6" t="s">
        <v>429</v>
      </c>
      <c r="F1277" s="6" t="s">
        <v>30</v>
      </c>
      <c r="G1277" s="6" t="s">
        <v>438</v>
      </c>
    </row>
    <row r="1278" ht="15.75" customHeight="1">
      <c r="A1278" s="6" t="s">
        <v>745</v>
      </c>
      <c r="B1278" s="6" t="s">
        <v>1809</v>
      </c>
      <c r="C1278" s="6" t="s">
        <v>1854</v>
      </c>
      <c r="D1278" s="6" t="s">
        <v>781</v>
      </c>
      <c r="E1278" s="6" t="s">
        <v>429</v>
      </c>
      <c r="F1278" s="6" t="s">
        <v>373</v>
      </c>
      <c r="G1278" s="6" t="s">
        <v>438</v>
      </c>
    </row>
    <row r="1279" ht="15.75" customHeight="1">
      <c r="A1279" s="6" t="s">
        <v>818</v>
      </c>
      <c r="B1279" s="6" t="s">
        <v>1822</v>
      </c>
      <c r="C1279" s="6" t="s">
        <v>1854</v>
      </c>
      <c r="D1279" s="6" t="s">
        <v>781</v>
      </c>
      <c r="E1279" s="6" t="s">
        <v>429</v>
      </c>
      <c r="F1279" s="6" t="s">
        <v>984</v>
      </c>
      <c r="G1279" s="6" t="s">
        <v>1113</v>
      </c>
    </row>
    <row r="1280" ht="15.75" customHeight="1">
      <c r="A1280" s="6" t="s">
        <v>818</v>
      </c>
      <c r="B1280" s="6" t="s">
        <v>1822</v>
      </c>
      <c r="C1280" s="6" t="s">
        <v>1854</v>
      </c>
      <c r="D1280" s="6" t="s">
        <v>914</v>
      </c>
      <c r="E1280" s="6" t="s">
        <v>429</v>
      </c>
      <c r="F1280" s="6" t="s">
        <v>984</v>
      </c>
      <c r="G1280" s="6" t="s">
        <v>812</v>
      </c>
    </row>
    <row r="1281" ht="15.75" customHeight="1">
      <c r="A1281" s="6" t="s">
        <v>818</v>
      </c>
      <c r="B1281" s="6" t="s">
        <v>1822</v>
      </c>
      <c r="C1281" s="6" t="s">
        <v>1854</v>
      </c>
      <c r="D1281" s="6" t="s">
        <v>721</v>
      </c>
      <c r="E1281" s="6" t="s">
        <v>429</v>
      </c>
      <c r="F1281" s="6" t="s">
        <v>984</v>
      </c>
      <c r="G1281" s="6" t="s">
        <v>812</v>
      </c>
    </row>
    <row r="1282" ht="15.75" customHeight="1">
      <c r="A1282" s="6" t="s">
        <v>818</v>
      </c>
      <c r="B1282" s="6" t="s">
        <v>1822</v>
      </c>
      <c r="C1282" s="6" t="s">
        <v>1854</v>
      </c>
      <c r="D1282" s="6" t="s">
        <v>781</v>
      </c>
      <c r="E1282" s="6" t="s">
        <v>429</v>
      </c>
      <c r="F1282" s="6" t="s">
        <v>984</v>
      </c>
      <c r="G1282" s="6" t="s">
        <v>1113</v>
      </c>
    </row>
    <row r="1283" ht="15.75" customHeight="1">
      <c r="A1283" s="6" t="s">
        <v>818</v>
      </c>
      <c r="B1283" s="6" t="s">
        <v>1822</v>
      </c>
      <c r="C1283" s="6" t="s">
        <v>1854</v>
      </c>
      <c r="D1283" s="6" t="s">
        <v>672</v>
      </c>
      <c r="E1283" s="6" t="s">
        <v>429</v>
      </c>
      <c r="F1283" s="6" t="s">
        <v>984</v>
      </c>
      <c r="G1283" s="6" t="s">
        <v>1113</v>
      </c>
    </row>
    <row r="1284" ht="15.75" customHeight="1">
      <c r="A1284" s="6" t="s">
        <v>818</v>
      </c>
      <c r="B1284" s="6" t="s">
        <v>1822</v>
      </c>
      <c r="C1284" s="6" t="s">
        <v>1854</v>
      </c>
      <c r="D1284" s="6" t="s">
        <v>700</v>
      </c>
      <c r="E1284" s="6" t="s">
        <v>429</v>
      </c>
      <c r="F1284" s="6" t="s">
        <v>984</v>
      </c>
      <c r="G1284" s="6" t="s">
        <v>812</v>
      </c>
    </row>
    <row r="1285" ht="15.75" customHeight="1">
      <c r="A1285" s="6" t="s">
        <v>818</v>
      </c>
      <c r="B1285" s="6" t="s">
        <v>1822</v>
      </c>
      <c r="C1285" s="6" t="s">
        <v>1854</v>
      </c>
      <c r="D1285" s="6" t="s">
        <v>848</v>
      </c>
      <c r="E1285" s="6" t="s">
        <v>429</v>
      </c>
      <c r="F1285" s="6" t="s">
        <v>984</v>
      </c>
      <c r="G1285" s="6" t="s">
        <v>1113</v>
      </c>
    </row>
    <row r="1286" ht="15.75" customHeight="1">
      <c r="A1286" s="6" t="s">
        <v>818</v>
      </c>
      <c r="B1286" s="6" t="s">
        <v>1822</v>
      </c>
      <c r="C1286" s="6" t="s">
        <v>1854</v>
      </c>
      <c r="D1286" s="6" t="s">
        <v>837</v>
      </c>
      <c r="E1286" s="6" t="s">
        <v>429</v>
      </c>
      <c r="F1286" s="6" t="s">
        <v>984</v>
      </c>
      <c r="G1286" s="6" t="s">
        <v>1113</v>
      </c>
    </row>
    <row r="1287" ht="15.75" customHeight="1">
      <c r="A1287" s="6" t="s">
        <v>818</v>
      </c>
      <c r="B1287" s="6" t="s">
        <v>1822</v>
      </c>
      <c r="C1287" s="6" t="s">
        <v>1854</v>
      </c>
      <c r="D1287" s="6" t="s">
        <v>870</v>
      </c>
      <c r="E1287" s="6" t="s">
        <v>429</v>
      </c>
      <c r="F1287" s="6" t="s">
        <v>984</v>
      </c>
      <c r="G1287" s="6" t="s">
        <v>812</v>
      </c>
    </row>
    <row r="1288" ht="15.75" customHeight="1">
      <c r="A1288" s="6" t="s">
        <v>818</v>
      </c>
      <c r="B1288" s="6" t="s">
        <v>1822</v>
      </c>
      <c r="C1288" s="6" t="s">
        <v>1854</v>
      </c>
      <c r="D1288" s="6" t="s">
        <v>672</v>
      </c>
      <c r="E1288" s="6" t="s">
        <v>429</v>
      </c>
      <c r="F1288" s="6" t="s">
        <v>984</v>
      </c>
      <c r="G1288" s="6" t="s">
        <v>1113</v>
      </c>
    </row>
    <row r="1289" ht="15.75" customHeight="1">
      <c r="A1289" s="6" t="s">
        <v>818</v>
      </c>
      <c r="B1289" s="6" t="s">
        <v>1822</v>
      </c>
      <c r="C1289" s="6" t="s">
        <v>1854</v>
      </c>
      <c r="D1289" s="6" t="s">
        <v>690</v>
      </c>
      <c r="E1289" s="6" t="s">
        <v>429</v>
      </c>
      <c r="F1289" s="6" t="s">
        <v>984</v>
      </c>
      <c r="G1289" s="6" t="s">
        <v>812</v>
      </c>
    </row>
    <row r="1290" ht="15.75" customHeight="1">
      <c r="A1290" s="6" t="s">
        <v>818</v>
      </c>
      <c r="B1290" s="6" t="s">
        <v>1822</v>
      </c>
      <c r="C1290" s="6" t="s">
        <v>1854</v>
      </c>
      <c r="D1290" s="6" t="s">
        <v>705</v>
      </c>
      <c r="E1290" s="6" t="s">
        <v>429</v>
      </c>
      <c r="F1290" s="6" t="s">
        <v>984</v>
      </c>
      <c r="G1290" s="6" t="s">
        <v>812</v>
      </c>
    </row>
    <row r="1291" ht="15.75" customHeight="1">
      <c r="A1291" s="6" t="s">
        <v>818</v>
      </c>
      <c r="B1291" s="6" t="s">
        <v>1822</v>
      </c>
      <c r="C1291" s="6" t="s">
        <v>1854</v>
      </c>
      <c r="D1291" s="6" t="s">
        <v>747</v>
      </c>
      <c r="E1291" s="6" t="s">
        <v>429</v>
      </c>
      <c r="F1291" s="6" t="s">
        <v>984</v>
      </c>
      <c r="G1291" s="6" t="s">
        <v>930</v>
      </c>
    </row>
    <row r="1292" ht="15.75" customHeight="1">
      <c r="A1292" s="6" t="s">
        <v>818</v>
      </c>
      <c r="B1292" s="6" t="s">
        <v>1822</v>
      </c>
      <c r="C1292" s="6" t="s">
        <v>1854</v>
      </c>
      <c r="D1292" s="6" t="s">
        <v>764</v>
      </c>
      <c r="E1292" s="6" t="s">
        <v>429</v>
      </c>
      <c r="F1292" s="6" t="s">
        <v>984</v>
      </c>
      <c r="G1292" s="6" t="s">
        <v>1113</v>
      </c>
    </row>
    <row r="1293" ht="15.75" customHeight="1">
      <c r="A1293" s="6" t="s">
        <v>818</v>
      </c>
      <c r="B1293" s="6" t="s">
        <v>1822</v>
      </c>
      <c r="C1293" s="6" t="s">
        <v>1854</v>
      </c>
      <c r="D1293" s="6" t="s">
        <v>848</v>
      </c>
      <c r="E1293" s="6" t="s">
        <v>429</v>
      </c>
      <c r="F1293" s="6" t="s">
        <v>984</v>
      </c>
      <c r="G1293" s="6" t="s">
        <v>1113</v>
      </c>
    </row>
    <row r="1294" ht="15.75" customHeight="1">
      <c r="A1294" s="6" t="s">
        <v>818</v>
      </c>
      <c r="B1294" s="6" t="s">
        <v>1822</v>
      </c>
      <c r="C1294" s="6" t="s">
        <v>1854</v>
      </c>
      <c r="D1294" s="6" t="s">
        <v>672</v>
      </c>
      <c r="E1294" s="6" t="s">
        <v>429</v>
      </c>
      <c r="F1294" s="6" t="s">
        <v>984</v>
      </c>
      <c r="G1294" s="6" t="s">
        <v>1113</v>
      </c>
    </row>
    <row r="1295" ht="15.75" customHeight="1">
      <c r="A1295" s="6" t="s">
        <v>818</v>
      </c>
      <c r="B1295" s="6" t="s">
        <v>1822</v>
      </c>
      <c r="C1295" s="6" t="s">
        <v>1854</v>
      </c>
      <c r="D1295" s="6" t="s">
        <v>840</v>
      </c>
      <c r="E1295" s="6" t="s">
        <v>429</v>
      </c>
      <c r="F1295" s="6" t="s">
        <v>984</v>
      </c>
      <c r="G1295" s="6" t="s">
        <v>812</v>
      </c>
    </row>
    <row r="1296" ht="15.75" customHeight="1">
      <c r="A1296" s="6" t="s">
        <v>818</v>
      </c>
      <c r="B1296" s="6" t="s">
        <v>1822</v>
      </c>
      <c r="C1296" s="6" t="s">
        <v>1854</v>
      </c>
      <c r="D1296" s="6" t="s">
        <v>764</v>
      </c>
      <c r="E1296" s="6" t="s">
        <v>429</v>
      </c>
      <c r="F1296" s="6" t="s">
        <v>984</v>
      </c>
      <c r="G1296" s="6" t="s">
        <v>1113</v>
      </c>
    </row>
    <row r="1297" ht="15.75" customHeight="1">
      <c r="A1297" s="6" t="s">
        <v>818</v>
      </c>
      <c r="B1297" s="6" t="s">
        <v>1822</v>
      </c>
      <c r="C1297" s="6" t="s">
        <v>1854</v>
      </c>
      <c r="D1297" s="6" t="s">
        <v>770</v>
      </c>
      <c r="E1297" s="6" t="s">
        <v>429</v>
      </c>
      <c r="F1297" s="6" t="s">
        <v>984</v>
      </c>
      <c r="G1297" s="6" t="s">
        <v>812</v>
      </c>
    </row>
    <row r="1298" ht="15.75" customHeight="1">
      <c r="A1298" s="6" t="s">
        <v>818</v>
      </c>
      <c r="B1298" s="6" t="s">
        <v>1809</v>
      </c>
      <c r="C1298" s="6" t="s">
        <v>1854</v>
      </c>
      <c r="D1298" s="6" t="s">
        <v>837</v>
      </c>
      <c r="E1298" s="6" t="s">
        <v>429</v>
      </c>
      <c r="F1298" s="6" t="s">
        <v>59</v>
      </c>
      <c r="G1298" s="6" t="s">
        <v>430</v>
      </c>
    </row>
    <row r="1299" ht="15.75" customHeight="1">
      <c r="A1299" s="6" t="s">
        <v>818</v>
      </c>
      <c r="B1299" s="6" t="s">
        <v>1809</v>
      </c>
      <c r="C1299" s="6" t="s">
        <v>1854</v>
      </c>
      <c r="D1299" s="6" t="s">
        <v>700</v>
      </c>
      <c r="E1299" s="6" t="s">
        <v>429</v>
      </c>
      <c r="F1299" s="6" t="s">
        <v>59</v>
      </c>
      <c r="G1299" s="6" t="s">
        <v>714</v>
      </c>
    </row>
    <row r="1300" ht="15.75" customHeight="1">
      <c r="A1300" s="6" t="s">
        <v>818</v>
      </c>
      <c r="B1300" s="6" t="s">
        <v>1809</v>
      </c>
      <c r="C1300" s="6" t="s">
        <v>1854</v>
      </c>
      <c r="D1300" s="6" t="s">
        <v>750</v>
      </c>
      <c r="E1300" s="6" t="s">
        <v>429</v>
      </c>
      <c r="F1300" s="6" t="s">
        <v>59</v>
      </c>
      <c r="G1300" s="6" t="s">
        <v>430</v>
      </c>
    </row>
    <row r="1301" ht="15.75" customHeight="1">
      <c r="A1301" s="6" t="s">
        <v>818</v>
      </c>
      <c r="B1301" s="6" t="s">
        <v>1809</v>
      </c>
      <c r="C1301" s="6" t="s">
        <v>1854</v>
      </c>
      <c r="D1301" s="6" t="s">
        <v>705</v>
      </c>
      <c r="E1301" s="6" t="s">
        <v>429</v>
      </c>
      <c r="F1301" s="6" t="s">
        <v>373</v>
      </c>
      <c r="G1301" s="6" t="s">
        <v>438</v>
      </c>
    </row>
    <row r="1302" ht="15.75" customHeight="1">
      <c r="A1302" s="6" t="s">
        <v>818</v>
      </c>
      <c r="B1302" s="6" t="s">
        <v>1809</v>
      </c>
      <c r="C1302" s="6" t="s">
        <v>1854</v>
      </c>
      <c r="D1302" s="6" t="s">
        <v>747</v>
      </c>
      <c r="E1302" s="6" t="s">
        <v>429</v>
      </c>
      <c r="F1302" s="6" t="s">
        <v>59</v>
      </c>
      <c r="G1302" s="6" t="s">
        <v>438</v>
      </c>
    </row>
    <row r="1303" ht="15.75" customHeight="1">
      <c r="A1303" s="6" t="s">
        <v>818</v>
      </c>
      <c r="B1303" s="6" t="s">
        <v>1809</v>
      </c>
      <c r="C1303" s="6" t="s">
        <v>1854</v>
      </c>
      <c r="D1303" s="6" t="s">
        <v>781</v>
      </c>
      <c r="E1303" s="6" t="s">
        <v>429</v>
      </c>
      <c r="F1303" s="6" t="s">
        <v>59</v>
      </c>
      <c r="G1303" s="6" t="s">
        <v>714</v>
      </c>
    </row>
    <row r="1304" ht="15.75" customHeight="1">
      <c r="A1304" s="6" t="s">
        <v>818</v>
      </c>
      <c r="B1304" s="6" t="s">
        <v>1809</v>
      </c>
      <c r="C1304" s="6" t="s">
        <v>1854</v>
      </c>
      <c r="D1304" s="6" t="s">
        <v>684</v>
      </c>
      <c r="E1304" s="6" t="s">
        <v>429</v>
      </c>
      <c r="F1304" s="6" t="s">
        <v>59</v>
      </c>
      <c r="G1304" s="6" t="s">
        <v>430</v>
      </c>
    </row>
    <row r="1305" ht="15.75" customHeight="1">
      <c r="A1305" s="6" t="s">
        <v>818</v>
      </c>
      <c r="B1305" s="6" t="s">
        <v>1809</v>
      </c>
      <c r="C1305" s="6" t="s">
        <v>1854</v>
      </c>
      <c r="D1305" s="6" t="s">
        <v>700</v>
      </c>
      <c r="E1305" s="6" t="s">
        <v>429</v>
      </c>
      <c r="F1305" s="6" t="s">
        <v>59</v>
      </c>
      <c r="G1305" s="6" t="s">
        <v>714</v>
      </c>
    </row>
    <row r="1306" ht="15.75" customHeight="1">
      <c r="A1306" s="6" t="s">
        <v>818</v>
      </c>
      <c r="B1306" s="6" t="s">
        <v>1809</v>
      </c>
      <c r="C1306" s="6" t="s">
        <v>1854</v>
      </c>
      <c r="D1306" s="6" t="s">
        <v>781</v>
      </c>
      <c r="E1306" s="6" t="s">
        <v>429</v>
      </c>
      <c r="F1306" s="6" t="s">
        <v>59</v>
      </c>
      <c r="G1306" s="6" t="s">
        <v>714</v>
      </c>
    </row>
    <row r="1307" ht="15.75" customHeight="1">
      <c r="A1307" s="6" t="s">
        <v>863</v>
      </c>
      <c r="B1307" s="6" t="s">
        <v>1822</v>
      </c>
      <c r="C1307" s="6" t="s">
        <v>1854</v>
      </c>
      <c r="D1307" s="6" t="s">
        <v>672</v>
      </c>
      <c r="E1307" s="6" t="s">
        <v>429</v>
      </c>
      <c r="F1307" s="6" t="s">
        <v>984</v>
      </c>
      <c r="G1307" s="6" t="s">
        <v>1113</v>
      </c>
    </row>
    <row r="1308" ht="15.75" customHeight="1">
      <c r="A1308" s="6" t="s">
        <v>863</v>
      </c>
      <c r="B1308" s="6" t="s">
        <v>1822</v>
      </c>
      <c r="C1308" s="6" t="s">
        <v>1854</v>
      </c>
      <c r="D1308" s="6" t="s">
        <v>781</v>
      </c>
      <c r="E1308" s="6" t="s">
        <v>429</v>
      </c>
      <c r="F1308" s="6" t="s">
        <v>984</v>
      </c>
      <c r="G1308" s="6" t="s">
        <v>812</v>
      </c>
    </row>
    <row r="1309" ht="15.75" customHeight="1">
      <c r="A1309" s="6" t="s">
        <v>863</v>
      </c>
      <c r="B1309" s="6" t="s">
        <v>1822</v>
      </c>
      <c r="C1309" s="6" t="s">
        <v>1854</v>
      </c>
      <c r="D1309" s="6" t="s">
        <v>690</v>
      </c>
      <c r="E1309" s="6" t="s">
        <v>429</v>
      </c>
      <c r="F1309" s="6" t="s">
        <v>984</v>
      </c>
      <c r="G1309" s="6" t="s">
        <v>812</v>
      </c>
    </row>
    <row r="1310" ht="15.75" customHeight="1">
      <c r="A1310" s="6" t="s">
        <v>863</v>
      </c>
      <c r="B1310" s="6" t="s">
        <v>1822</v>
      </c>
      <c r="C1310" s="6" t="s">
        <v>1854</v>
      </c>
      <c r="D1310" s="6" t="s">
        <v>690</v>
      </c>
      <c r="E1310" s="6" t="s">
        <v>429</v>
      </c>
      <c r="F1310" s="6" t="s">
        <v>984</v>
      </c>
      <c r="G1310" s="6" t="s">
        <v>1113</v>
      </c>
    </row>
    <row r="1311" ht="15.75" customHeight="1">
      <c r="A1311" s="6" t="s">
        <v>863</v>
      </c>
      <c r="B1311" s="6" t="s">
        <v>1822</v>
      </c>
      <c r="C1311" s="6" t="s">
        <v>1854</v>
      </c>
      <c r="D1311" s="6" t="s">
        <v>781</v>
      </c>
      <c r="E1311" s="6" t="s">
        <v>429</v>
      </c>
      <c r="F1311" s="6" t="s">
        <v>984</v>
      </c>
      <c r="G1311" s="6" t="s">
        <v>1113</v>
      </c>
    </row>
    <row r="1312" ht="15.75" customHeight="1">
      <c r="A1312" s="6" t="s">
        <v>863</v>
      </c>
      <c r="B1312" s="6" t="s">
        <v>1822</v>
      </c>
      <c r="C1312" s="6" t="s">
        <v>1854</v>
      </c>
      <c r="D1312" s="6" t="s">
        <v>837</v>
      </c>
      <c r="E1312" s="6" t="s">
        <v>429</v>
      </c>
      <c r="F1312" s="6" t="s">
        <v>984</v>
      </c>
      <c r="G1312" s="6" t="s">
        <v>812</v>
      </c>
    </row>
    <row r="1313" ht="15.75" customHeight="1">
      <c r="A1313" s="6" t="s">
        <v>863</v>
      </c>
      <c r="B1313" s="6" t="s">
        <v>1822</v>
      </c>
      <c r="C1313" s="6" t="s">
        <v>1854</v>
      </c>
      <c r="D1313" s="6" t="s">
        <v>914</v>
      </c>
      <c r="E1313" s="6" t="s">
        <v>429</v>
      </c>
      <c r="F1313" s="6" t="s">
        <v>984</v>
      </c>
      <c r="G1313" s="6" t="s">
        <v>1113</v>
      </c>
    </row>
    <row r="1314" ht="15.75" customHeight="1">
      <c r="A1314" s="6" t="s">
        <v>863</v>
      </c>
      <c r="B1314" s="6" t="s">
        <v>1822</v>
      </c>
      <c r="C1314" s="6" t="s">
        <v>1854</v>
      </c>
      <c r="D1314" s="6" t="s">
        <v>781</v>
      </c>
      <c r="E1314" s="6" t="s">
        <v>429</v>
      </c>
      <c r="F1314" s="6" t="s">
        <v>984</v>
      </c>
      <c r="G1314" s="6" t="s">
        <v>1113</v>
      </c>
    </row>
    <row r="1315" ht="15.75" customHeight="1">
      <c r="A1315" s="6" t="s">
        <v>863</v>
      </c>
      <c r="B1315" s="6" t="s">
        <v>1822</v>
      </c>
      <c r="C1315" s="6" t="s">
        <v>1854</v>
      </c>
      <c r="D1315" s="6" t="s">
        <v>840</v>
      </c>
      <c r="E1315" s="6" t="s">
        <v>429</v>
      </c>
      <c r="F1315" s="6" t="s">
        <v>984</v>
      </c>
      <c r="G1315" s="6" t="s">
        <v>1113</v>
      </c>
    </row>
    <row r="1316" ht="15.75" customHeight="1">
      <c r="A1316" s="6" t="s">
        <v>863</v>
      </c>
      <c r="B1316" s="6" t="s">
        <v>1822</v>
      </c>
      <c r="C1316" s="6" t="s">
        <v>1854</v>
      </c>
      <c r="D1316" s="6" t="s">
        <v>825</v>
      </c>
      <c r="E1316" s="6" t="s">
        <v>429</v>
      </c>
      <c r="F1316" s="6" t="s">
        <v>984</v>
      </c>
      <c r="G1316" s="6" t="s">
        <v>812</v>
      </c>
    </row>
    <row r="1317" ht="15.75" customHeight="1">
      <c r="A1317" s="6" t="s">
        <v>863</v>
      </c>
      <c r="B1317" s="6" t="s">
        <v>1822</v>
      </c>
      <c r="C1317" s="6" t="s">
        <v>1854</v>
      </c>
      <c r="D1317" s="6" t="s">
        <v>684</v>
      </c>
      <c r="E1317" s="6" t="s">
        <v>429</v>
      </c>
      <c r="F1317" s="6" t="s">
        <v>984</v>
      </c>
      <c r="G1317" s="6" t="s">
        <v>812</v>
      </c>
    </row>
    <row r="1318" ht="15.75" customHeight="1">
      <c r="A1318" s="6" t="s">
        <v>863</v>
      </c>
      <c r="B1318" s="6" t="s">
        <v>1822</v>
      </c>
      <c r="C1318" s="6" t="s">
        <v>1854</v>
      </c>
      <c r="D1318" s="6" t="s">
        <v>705</v>
      </c>
      <c r="E1318" s="6" t="s">
        <v>429</v>
      </c>
      <c r="F1318" s="6" t="s">
        <v>984</v>
      </c>
      <c r="G1318" s="6" t="s">
        <v>812</v>
      </c>
    </row>
    <row r="1319" ht="15.75" customHeight="1">
      <c r="A1319" s="6" t="s">
        <v>863</v>
      </c>
      <c r="B1319" s="6" t="s">
        <v>1822</v>
      </c>
      <c r="C1319" s="6" t="s">
        <v>1854</v>
      </c>
      <c r="D1319" s="6" t="s">
        <v>700</v>
      </c>
      <c r="E1319" s="6" t="s">
        <v>429</v>
      </c>
      <c r="F1319" s="6" t="s">
        <v>984</v>
      </c>
      <c r="G1319" s="6" t="s">
        <v>1113</v>
      </c>
    </row>
    <row r="1320" ht="15.75" customHeight="1">
      <c r="A1320" s="6" t="s">
        <v>863</v>
      </c>
      <c r="B1320" s="6" t="s">
        <v>1822</v>
      </c>
      <c r="C1320" s="6" t="s">
        <v>1854</v>
      </c>
      <c r="D1320" s="6" t="s">
        <v>747</v>
      </c>
      <c r="E1320" s="6" t="s">
        <v>429</v>
      </c>
      <c r="F1320" s="6" t="s">
        <v>984</v>
      </c>
      <c r="G1320" s="6" t="s">
        <v>1113</v>
      </c>
    </row>
    <row r="1321" ht="15.75" customHeight="1">
      <c r="A1321" s="6" t="s">
        <v>863</v>
      </c>
      <c r="B1321" s="6" t="s">
        <v>1822</v>
      </c>
      <c r="C1321" s="6" t="s">
        <v>1854</v>
      </c>
      <c r="D1321" s="6" t="s">
        <v>690</v>
      </c>
      <c r="E1321" s="6" t="s">
        <v>429</v>
      </c>
      <c r="F1321" s="6" t="s">
        <v>984</v>
      </c>
      <c r="G1321" s="6" t="s">
        <v>1113</v>
      </c>
    </row>
    <row r="1322" ht="15.75" customHeight="1">
      <c r="A1322" s="6" t="s">
        <v>863</v>
      </c>
      <c r="B1322" s="6" t="s">
        <v>1822</v>
      </c>
      <c r="C1322" s="6" t="s">
        <v>1854</v>
      </c>
      <c r="D1322" s="6" t="s">
        <v>889</v>
      </c>
      <c r="E1322" s="6" t="s">
        <v>429</v>
      </c>
      <c r="F1322" s="6" t="s">
        <v>984</v>
      </c>
      <c r="G1322" s="6" t="s">
        <v>930</v>
      </c>
    </row>
    <row r="1323" ht="15.75" customHeight="1">
      <c r="A1323" s="6" t="s">
        <v>863</v>
      </c>
      <c r="B1323" s="6" t="s">
        <v>1822</v>
      </c>
      <c r="C1323" s="6" t="s">
        <v>1854</v>
      </c>
      <c r="D1323" s="6" t="s">
        <v>690</v>
      </c>
      <c r="E1323" s="6" t="s">
        <v>429</v>
      </c>
      <c r="F1323" s="6" t="s">
        <v>984</v>
      </c>
      <c r="G1323" s="6" t="s">
        <v>1113</v>
      </c>
    </row>
    <row r="1324" ht="15.75" customHeight="1">
      <c r="A1324" s="6" t="s">
        <v>863</v>
      </c>
      <c r="B1324" s="6" t="s">
        <v>1822</v>
      </c>
      <c r="C1324" s="6" t="s">
        <v>1854</v>
      </c>
      <c r="D1324" s="6" t="s">
        <v>705</v>
      </c>
      <c r="E1324" s="6" t="s">
        <v>429</v>
      </c>
      <c r="F1324" s="6" t="s">
        <v>984</v>
      </c>
      <c r="G1324" s="6" t="s">
        <v>1113</v>
      </c>
    </row>
    <row r="1325" ht="15.75" customHeight="1">
      <c r="A1325" s="6" t="s">
        <v>863</v>
      </c>
      <c r="B1325" s="6" t="s">
        <v>1822</v>
      </c>
      <c r="C1325" s="6" t="s">
        <v>1854</v>
      </c>
      <c r="D1325" s="6" t="s">
        <v>837</v>
      </c>
      <c r="E1325" s="6" t="s">
        <v>429</v>
      </c>
      <c r="F1325" s="6" t="s">
        <v>984</v>
      </c>
      <c r="G1325" s="6" t="s">
        <v>1113</v>
      </c>
    </row>
    <row r="1326" ht="15.75" customHeight="1">
      <c r="A1326" s="6" t="s">
        <v>863</v>
      </c>
      <c r="B1326" s="6" t="s">
        <v>1822</v>
      </c>
      <c r="C1326" s="6" t="s">
        <v>1854</v>
      </c>
      <c r="D1326" s="6" t="s">
        <v>705</v>
      </c>
      <c r="E1326" s="6" t="s">
        <v>429</v>
      </c>
      <c r="F1326" s="6" t="s">
        <v>984</v>
      </c>
      <c r="G1326" s="6" t="s">
        <v>1113</v>
      </c>
    </row>
    <row r="1327" ht="15.75" customHeight="1">
      <c r="A1327" s="6" t="s">
        <v>863</v>
      </c>
      <c r="B1327" s="6" t="s">
        <v>1822</v>
      </c>
      <c r="C1327" s="6" t="s">
        <v>1854</v>
      </c>
      <c r="D1327" s="6" t="s">
        <v>747</v>
      </c>
      <c r="E1327" s="6" t="s">
        <v>429</v>
      </c>
      <c r="F1327" s="6" t="s">
        <v>984</v>
      </c>
      <c r="G1327" s="6" t="s">
        <v>812</v>
      </c>
    </row>
    <row r="1328" ht="15.75" customHeight="1">
      <c r="A1328" s="6" t="s">
        <v>863</v>
      </c>
      <c r="B1328" s="6" t="s">
        <v>1822</v>
      </c>
      <c r="C1328" s="6" t="s">
        <v>1854</v>
      </c>
      <c r="D1328" s="6" t="s">
        <v>848</v>
      </c>
      <c r="E1328" s="6" t="s">
        <v>429</v>
      </c>
      <c r="F1328" s="6" t="s">
        <v>984</v>
      </c>
      <c r="G1328" s="6" t="s">
        <v>812</v>
      </c>
    </row>
    <row r="1329" ht="15.75" customHeight="1">
      <c r="A1329" s="6" t="s">
        <v>863</v>
      </c>
      <c r="B1329" s="6" t="s">
        <v>1822</v>
      </c>
      <c r="C1329" s="6" t="s">
        <v>1854</v>
      </c>
      <c r="D1329" s="6" t="s">
        <v>721</v>
      </c>
      <c r="E1329" s="6" t="s">
        <v>429</v>
      </c>
      <c r="F1329" s="6" t="s">
        <v>984</v>
      </c>
      <c r="G1329" s="6" t="s">
        <v>812</v>
      </c>
    </row>
    <row r="1330" ht="15.75" customHeight="1">
      <c r="A1330" s="6" t="s">
        <v>863</v>
      </c>
      <c r="B1330" s="6" t="s">
        <v>1822</v>
      </c>
      <c r="C1330" s="6" t="s">
        <v>1854</v>
      </c>
      <c r="D1330" s="6" t="s">
        <v>870</v>
      </c>
      <c r="E1330" s="6" t="s">
        <v>429</v>
      </c>
      <c r="F1330" s="6" t="s">
        <v>984</v>
      </c>
      <c r="G1330" s="6" t="s">
        <v>1113</v>
      </c>
    </row>
    <row r="1331" ht="15.75" customHeight="1">
      <c r="A1331" s="6" t="s">
        <v>863</v>
      </c>
      <c r="B1331" s="6" t="s">
        <v>1822</v>
      </c>
      <c r="C1331" s="6" t="s">
        <v>1854</v>
      </c>
      <c r="D1331" s="6" t="s">
        <v>825</v>
      </c>
      <c r="E1331" s="6" t="s">
        <v>429</v>
      </c>
      <c r="F1331" s="6" t="s">
        <v>984</v>
      </c>
      <c r="G1331" s="6" t="s">
        <v>1113</v>
      </c>
    </row>
    <row r="1332" ht="15.75" customHeight="1">
      <c r="A1332" s="6" t="s">
        <v>863</v>
      </c>
      <c r="B1332" s="6" t="s">
        <v>1822</v>
      </c>
      <c r="C1332" s="6" t="s">
        <v>1854</v>
      </c>
      <c r="D1332" s="6" t="s">
        <v>764</v>
      </c>
      <c r="E1332" s="6" t="s">
        <v>429</v>
      </c>
      <c r="F1332" s="6" t="s">
        <v>984</v>
      </c>
      <c r="G1332" s="6" t="s">
        <v>812</v>
      </c>
    </row>
    <row r="1333" ht="15.75" customHeight="1">
      <c r="A1333" s="6" t="s">
        <v>863</v>
      </c>
      <c r="B1333" s="6" t="s">
        <v>1809</v>
      </c>
      <c r="C1333" s="6" t="s">
        <v>1854</v>
      </c>
      <c r="D1333" s="6" t="s">
        <v>770</v>
      </c>
      <c r="E1333" s="6" t="s">
        <v>429</v>
      </c>
      <c r="F1333" s="6" t="s">
        <v>59</v>
      </c>
      <c r="G1333" s="6" t="s">
        <v>430</v>
      </c>
    </row>
    <row r="1334" ht="15.75" customHeight="1">
      <c r="A1334" s="6" t="s">
        <v>863</v>
      </c>
      <c r="B1334" s="6" t="s">
        <v>1809</v>
      </c>
      <c r="C1334" s="6" t="s">
        <v>1854</v>
      </c>
      <c r="D1334" s="6" t="s">
        <v>747</v>
      </c>
      <c r="E1334" s="6" t="s">
        <v>429</v>
      </c>
      <c r="F1334" s="6" t="s">
        <v>59</v>
      </c>
      <c r="G1334" s="6" t="s">
        <v>438</v>
      </c>
    </row>
    <row r="1335" ht="15.75" customHeight="1">
      <c r="A1335" s="6" t="s">
        <v>863</v>
      </c>
      <c r="B1335" s="6" t="s">
        <v>1809</v>
      </c>
      <c r="C1335" s="6" t="s">
        <v>1854</v>
      </c>
      <c r="D1335" s="6" t="s">
        <v>914</v>
      </c>
      <c r="E1335" s="6" t="s">
        <v>429</v>
      </c>
      <c r="F1335" s="6" t="s">
        <v>59</v>
      </c>
      <c r="G1335" s="6" t="s">
        <v>430</v>
      </c>
    </row>
    <row r="1336" ht="15.75" customHeight="1">
      <c r="A1336" s="6" t="s">
        <v>863</v>
      </c>
      <c r="B1336" s="6" t="s">
        <v>1809</v>
      </c>
      <c r="C1336" s="6" t="s">
        <v>1854</v>
      </c>
      <c r="D1336" s="6" t="s">
        <v>684</v>
      </c>
      <c r="E1336" s="6" t="s">
        <v>429</v>
      </c>
      <c r="F1336" s="6" t="s">
        <v>59</v>
      </c>
      <c r="G1336" s="6" t="s">
        <v>438</v>
      </c>
    </row>
    <row r="1337" ht="15.75" customHeight="1">
      <c r="A1337" s="6" t="s">
        <v>863</v>
      </c>
      <c r="B1337" s="6" t="s">
        <v>1809</v>
      </c>
      <c r="C1337" s="6" t="s">
        <v>1854</v>
      </c>
      <c r="D1337" s="6" t="s">
        <v>747</v>
      </c>
      <c r="E1337" s="6" t="s">
        <v>429</v>
      </c>
      <c r="F1337" s="6" t="s">
        <v>59</v>
      </c>
      <c r="G1337" s="6" t="s">
        <v>438</v>
      </c>
    </row>
    <row r="1338" ht="15.75" customHeight="1">
      <c r="A1338" s="6" t="s">
        <v>863</v>
      </c>
      <c r="B1338" s="6" t="s">
        <v>1809</v>
      </c>
      <c r="C1338" s="6" t="s">
        <v>1854</v>
      </c>
      <c r="D1338" s="6" t="s">
        <v>700</v>
      </c>
      <c r="E1338" s="6" t="s">
        <v>429</v>
      </c>
      <c r="F1338" s="6" t="s">
        <v>59</v>
      </c>
      <c r="G1338" s="6" t="s">
        <v>438</v>
      </c>
    </row>
    <row r="1339" ht="15.75" customHeight="1">
      <c r="A1339" s="6" t="s">
        <v>863</v>
      </c>
      <c r="B1339" s="6" t="s">
        <v>1809</v>
      </c>
      <c r="C1339" s="6" t="s">
        <v>1854</v>
      </c>
      <c r="D1339" s="6" t="s">
        <v>747</v>
      </c>
      <c r="E1339" s="6" t="s">
        <v>429</v>
      </c>
      <c r="F1339" s="6" t="s">
        <v>59</v>
      </c>
      <c r="G1339" s="6" t="s">
        <v>438</v>
      </c>
    </row>
    <row r="1340" ht="15.75" customHeight="1">
      <c r="A1340" s="6" t="s">
        <v>863</v>
      </c>
      <c r="B1340" s="6" t="s">
        <v>1809</v>
      </c>
      <c r="C1340" s="6" t="s">
        <v>1854</v>
      </c>
      <c r="D1340" s="6" t="s">
        <v>690</v>
      </c>
      <c r="E1340" s="6" t="s">
        <v>429</v>
      </c>
      <c r="F1340" s="6" t="s">
        <v>59</v>
      </c>
      <c r="G1340" s="6" t="s">
        <v>438</v>
      </c>
    </row>
    <row r="1341" ht="15.75" customHeight="1">
      <c r="A1341" s="6" t="s">
        <v>863</v>
      </c>
      <c r="B1341" s="6" t="s">
        <v>1809</v>
      </c>
      <c r="C1341" s="6" t="s">
        <v>1854</v>
      </c>
      <c r="D1341" s="6" t="s">
        <v>848</v>
      </c>
      <c r="E1341" s="6" t="s">
        <v>429</v>
      </c>
      <c r="F1341" s="6" t="s">
        <v>59</v>
      </c>
      <c r="G1341" s="6" t="s">
        <v>946</v>
      </c>
    </row>
    <row r="1342" ht="15.75" customHeight="1">
      <c r="A1342" s="6" t="s">
        <v>863</v>
      </c>
      <c r="B1342" s="6" t="s">
        <v>1809</v>
      </c>
      <c r="C1342" s="6" t="s">
        <v>1854</v>
      </c>
      <c r="D1342" s="6" t="s">
        <v>781</v>
      </c>
      <c r="E1342" s="6" t="s">
        <v>429</v>
      </c>
      <c r="F1342" s="6" t="s">
        <v>59</v>
      </c>
      <c r="G1342" s="6" t="s">
        <v>438</v>
      </c>
    </row>
    <row r="1343" ht="15.75" customHeight="1">
      <c r="A1343" s="6" t="s">
        <v>863</v>
      </c>
      <c r="B1343" s="6" t="s">
        <v>1809</v>
      </c>
      <c r="C1343" s="6" t="s">
        <v>1854</v>
      </c>
      <c r="D1343" s="6" t="s">
        <v>764</v>
      </c>
      <c r="E1343" s="6" t="s">
        <v>429</v>
      </c>
      <c r="F1343" s="6" t="s">
        <v>59</v>
      </c>
      <c r="G1343" s="6" t="s">
        <v>438</v>
      </c>
    </row>
    <row r="1344" ht="15.75" customHeight="1">
      <c r="A1344" s="6" t="s">
        <v>863</v>
      </c>
      <c r="B1344" s="6" t="s">
        <v>1809</v>
      </c>
      <c r="C1344" s="6" t="s">
        <v>1854</v>
      </c>
      <c r="D1344" s="6" t="s">
        <v>672</v>
      </c>
      <c r="E1344" s="6" t="s">
        <v>429</v>
      </c>
      <c r="F1344" s="6" t="s">
        <v>59</v>
      </c>
      <c r="G1344" s="6" t="s">
        <v>946</v>
      </c>
    </row>
    <row r="1345" ht="15.75" customHeight="1">
      <c r="A1345" s="6" t="s">
        <v>903</v>
      </c>
      <c r="B1345" s="6" t="s">
        <v>1809</v>
      </c>
      <c r="C1345" s="6" t="s">
        <v>1854</v>
      </c>
      <c r="D1345" s="6" t="s">
        <v>111</v>
      </c>
      <c r="E1345" s="6" t="s">
        <v>84</v>
      </c>
      <c r="F1345" s="6" t="s">
        <v>30</v>
      </c>
      <c r="G1345" s="6" t="s">
        <v>311</v>
      </c>
    </row>
    <row r="1346" ht="15.75" customHeight="1">
      <c r="A1346" s="6" t="s">
        <v>903</v>
      </c>
      <c r="B1346" s="6" t="s">
        <v>1822</v>
      </c>
      <c r="C1346" s="6" t="s">
        <v>1854</v>
      </c>
      <c r="D1346" s="6" t="s">
        <v>61</v>
      </c>
      <c r="E1346" s="6" t="s">
        <v>1789</v>
      </c>
      <c r="F1346" s="6" t="s">
        <v>984</v>
      </c>
      <c r="G1346" s="6" t="s">
        <v>677</v>
      </c>
    </row>
    <row r="1347" ht="15.75" customHeight="1">
      <c r="A1347" s="6" t="s">
        <v>903</v>
      </c>
      <c r="B1347" s="6" t="s">
        <v>1822</v>
      </c>
      <c r="C1347" s="6" t="s">
        <v>1854</v>
      </c>
      <c r="D1347" s="6" t="s">
        <v>112</v>
      </c>
      <c r="E1347" s="6" t="s">
        <v>1791</v>
      </c>
      <c r="F1347" s="6" t="s">
        <v>984</v>
      </c>
      <c r="G1347" s="6" t="s">
        <v>1065</v>
      </c>
    </row>
    <row r="1348" ht="15.75" customHeight="1">
      <c r="A1348" s="6" t="s">
        <v>903</v>
      </c>
      <c r="B1348" s="6" t="s">
        <v>1822</v>
      </c>
      <c r="C1348" s="6" t="s">
        <v>1854</v>
      </c>
      <c r="D1348" s="6" t="s">
        <v>262</v>
      </c>
      <c r="E1348" s="6" t="s">
        <v>1793</v>
      </c>
      <c r="F1348" s="6" t="s">
        <v>984</v>
      </c>
      <c r="G1348" s="6" t="s">
        <v>677</v>
      </c>
    </row>
    <row r="1349" ht="15.75" customHeight="1">
      <c r="A1349" s="6" t="s">
        <v>903</v>
      </c>
      <c r="B1349" s="6" t="s">
        <v>1822</v>
      </c>
      <c r="C1349" s="6" t="s">
        <v>1854</v>
      </c>
      <c r="D1349" s="6" t="s">
        <v>62</v>
      </c>
      <c r="E1349" s="6" t="s">
        <v>1794</v>
      </c>
      <c r="F1349" s="6" t="s">
        <v>984</v>
      </c>
      <c r="G1349" s="6" t="s">
        <v>677</v>
      </c>
    </row>
    <row r="1350" ht="15.75" customHeight="1">
      <c r="A1350" s="6" t="s">
        <v>903</v>
      </c>
      <c r="B1350" s="6" t="s">
        <v>1822</v>
      </c>
      <c r="C1350" s="6" t="s">
        <v>1854</v>
      </c>
      <c r="D1350" s="6" t="s">
        <v>62</v>
      </c>
      <c r="E1350" s="6" t="s">
        <v>443</v>
      </c>
      <c r="F1350" s="6" t="s">
        <v>984</v>
      </c>
      <c r="G1350" s="6" t="s">
        <v>1311</v>
      </c>
    </row>
    <row r="1351" ht="15.75" customHeight="1">
      <c r="A1351" s="6" t="s">
        <v>903</v>
      </c>
      <c r="B1351" s="6" t="s">
        <v>1822</v>
      </c>
      <c r="C1351" s="6" t="s">
        <v>1854</v>
      </c>
      <c r="D1351" s="6" t="s">
        <v>21</v>
      </c>
      <c r="E1351" s="6" t="s">
        <v>1546</v>
      </c>
      <c r="F1351" s="6" t="s">
        <v>984</v>
      </c>
      <c r="G1351" s="6" t="s">
        <v>677</v>
      </c>
    </row>
    <row r="1352" ht="15.75" customHeight="1">
      <c r="A1352" s="6" t="s">
        <v>903</v>
      </c>
      <c r="B1352" s="6" t="s">
        <v>1822</v>
      </c>
      <c r="C1352" s="6" t="s">
        <v>1854</v>
      </c>
      <c r="D1352" s="6" t="s">
        <v>94</v>
      </c>
      <c r="E1352" s="6" t="s">
        <v>1652</v>
      </c>
      <c r="F1352" s="6" t="s">
        <v>984</v>
      </c>
      <c r="G1352" s="6" t="s">
        <v>1065</v>
      </c>
    </row>
    <row r="1353" ht="15.75" customHeight="1">
      <c r="A1353" s="6" t="s">
        <v>903</v>
      </c>
      <c r="B1353" s="6" t="s">
        <v>1822</v>
      </c>
      <c r="C1353" s="6" t="s">
        <v>1854</v>
      </c>
      <c r="D1353" s="6" t="s">
        <v>111</v>
      </c>
      <c r="E1353" s="6" t="s">
        <v>1552</v>
      </c>
      <c r="F1353" s="6" t="s">
        <v>984</v>
      </c>
      <c r="G1353" s="6" t="s">
        <v>242</v>
      </c>
    </row>
    <row r="1354" ht="15.75" customHeight="1">
      <c r="A1354" s="6" t="s">
        <v>903</v>
      </c>
      <c r="B1354" s="6" t="s">
        <v>1822</v>
      </c>
      <c r="C1354" s="6" t="s">
        <v>1854</v>
      </c>
      <c r="D1354" s="6" t="s">
        <v>262</v>
      </c>
      <c r="E1354" s="6" t="s">
        <v>552</v>
      </c>
      <c r="F1354" s="6" t="s">
        <v>984</v>
      </c>
      <c r="G1354" s="6" t="s">
        <v>1311</v>
      </c>
    </row>
    <row r="1355" ht="15.75" customHeight="1">
      <c r="A1355" s="6" t="s">
        <v>903</v>
      </c>
      <c r="B1355" s="6" t="s">
        <v>1822</v>
      </c>
      <c r="C1355" s="6" t="s">
        <v>1854</v>
      </c>
      <c r="D1355" s="6" t="s">
        <v>145</v>
      </c>
      <c r="E1355" s="6" t="s">
        <v>353</v>
      </c>
      <c r="F1355" s="6" t="s">
        <v>984</v>
      </c>
      <c r="G1355" s="6" t="s">
        <v>1065</v>
      </c>
    </row>
    <row r="1356" ht="15.75" customHeight="1">
      <c r="A1356" s="6" t="s">
        <v>903</v>
      </c>
      <c r="B1356" s="6" t="s">
        <v>1822</v>
      </c>
      <c r="C1356" s="6" t="s">
        <v>1854</v>
      </c>
      <c r="D1356" s="6" t="s">
        <v>61</v>
      </c>
      <c r="E1356" s="6" t="s">
        <v>1796</v>
      </c>
      <c r="F1356" s="6" t="s">
        <v>984</v>
      </c>
      <c r="G1356" s="6" t="s">
        <v>677</v>
      </c>
    </row>
    <row r="1357" ht="15.75" customHeight="1">
      <c r="A1357" s="6" t="s">
        <v>903</v>
      </c>
      <c r="B1357" s="6" t="s">
        <v>1822</v>
      </c>
      <c r="C1357" s="6" t="s">
        <v>1854</v>
      </c>
      <c r="D1357" s="6" t="s">
        <v>177</v>
      </c>
      <c r="E1357" s="6" t="s">
        <v>1797</v>
      </c>
      <c r="F1357" s="6" t="s">
        <v>984</v>
      </c>
      <c r="G1357" s="6" t="s">
        <v>677</v>
      </c>
    </row>
    <row r="1358" ht="15.75" customHeight="1">
      <c r="A1358" s="6" t="s">
        <v>903</v>
      </c>
      <c r="B1358" s="6" t="s">
        <v>1822</v>
      </c>
      <c r="C1358" s="6" t="s">
        <v>1854</v>
      </c>
      <c r="D1358" s="6" t="s">
        <v>133</v>
      </c>
      <c r="E1358" s="6" t="s">
        <v>1798</v>
      </c>
      <c r="F1358" s="6" t="s">
        <v>984</v>
      </c>
      <c r="G1358" s="6" t="s">
        <v>677</v>
      </c>
    </row>
    <row r="1359" ht="15.75" customHeight="1">
      <c r="A1359" s="6" t="s">
        <v>903</v>
      </c>
      <c r="B1359" s="6" t="s">
        <v>1822</v>
      </c>
      <c r="C1359" s="6" t="s">
        <v>1854</v>
      </c>
      <c r="D1359" s="6" t="s">
        <v>50</v>
      </c>
      <c r="E1359" s="6" t="s">
        <v>365</v>
      </c>
      <c r="F1359" s="6" t="s">
        <v>984</v>
      </c>
      <c r="G1359" s="6" t="s">
        <v>1065</v>
      </c>
    </row>
    <row r="1360" ht="15.75" customHeight="1">
      <c r="A1360" s="6" t="s">
        <v>903</v>
      </c>
      <c r="B1360" s="6" t="s">
        <v>1822</v>
      </c>
      <c r="C1360" s="6" t="s">
        <v>1854</v>
      </c>
      <c r="D1360" s="6" t="s">
        <v>21</v>
      </c>
      <c r="E1360" s="6" t="s">
        <v>1799</v>
      </c>
      <c r="F1360" s="6" t="s">
        <v>984</v>
      </c>
      <c r="G1360" s="6" t="s">
        <v>677</v>
      </c>
    </row>
    <row r="1361" ht="15.75" customHeight="1">
      <c r="A1361" s="6" t="s">
        <v>903</v>
      </c>
      <c r="B1361" s="6" t="s">
        <v>1822</v>
      </c>
      <c r="C1361" s="6" t="s">
        <v>1854</v>
      </c>
      <c r="D1361" s="6" t="s">
        <v>35</v>
      </c>
      <c r="E1361" s="6" t="s">
        <v>526</v>
      </c>
      <c r="F1361" s="6" t="s">
        <v>984</v>
      </c>
      <c r="G1361" s="6" t="s">
        <v>1065</v>
      </c>
    </row>
    <row r="1362" ht="15.75" customHeight="1">
      <c r="A1362" s="6" t="s">
        <v>903</v>
      </c>
      <c r="B1362" s="6" t="s">
        <v>1822</v>
      </c>
      <c r="C1362" s="6" t="s">
        <v>1854</v>
      </c>
      <c r="D1362" s="6" t="s">
        <v>62</v>
      </c>
      <c r="E1362" s="6" t="s">
        <v>1801</v>
      </c>
      <c r="F1362" s="6" t="s">
        <v>984</v>
      </c>
      <c r="G1362" s="6" t="s">
        <v>677</v>
      </c>
    </row>
    <row r="1363" ht="15.75" customHeight="1">
      <c r="A1363" s="6" t="s">
        <v>903</v>
      </c>
      <c r="B1363" s="6" t="s">
        <v>1822</v>
      </c>
      <c r="C1363" s="6" t="s">
        <v>1854</v>
      </c>
      <c r="D1363" s="6" t="s">
        <v>43</v>
      </c>
      <c r="E1363" s="6" t="s">
        <v>382</v>
      </c>
      <c r="F1363" s="6" t="s">
        <v>984</v>
      </c>
      <c r="G1363" s="6" t="s">
        <v>1311</v>
      </c>
    </row>
    <row r="1364" ht="15.75" customHeight="1">
      <c r="A1364" s="6" t="s">
        <v>903</v>
      </c>
      <c r="B1364" s="6" t="s">
        <v>1822</v>
      </c>
      <c r="C1364" s="6" t="s">
        <v>1854</v>
      </c>
      <c r="D1364" s="6" t="s">
        <v>21</v>
      </c>
      <c r="E1364" s="6" t="s">
        <v>1803</v>
      </c>
      <c r="F1364" s="6" t="s">
        <v>984</v>
      </c>
      <c r="G1364" s="6" t="s">
        <v>677</v>
      </c>
    </row>
    <row r="1365" ht="15.75" customHeight="1">
      <c r="A1365" s="6" t="s">
        <v>903</v>
      </c>
      <c r="B1365" s="6" t="s">
        <v>1822</v>
      </c>
      <c r="C1365" s="6" t="s">
        <v>1854</v>
      </c>
      <c r="D1365" s="6" t="s">
        <v>262</v>
      </c>
      <c r="E1365" s="6" t="s">
        <v>821</v>
      </c>
      <c r="F1365" s="6" t="s">
        <v>984</v>
      </c>
      <c r="G1365" s="6" t="s">
        <v>677</v>
      </c>
    </row>
    <row r="1366" ht="15.75" customHeight="1">
      <c r="A1366" s="6" t="s">
        <v>903</v>
      </c>
      <c r="B1366" s="6" t="s">
        <v>1822</v>
      </c>
      <c r="C1366" s="6" t="s">
        <v>1854</v>
      </c>
      <c r="D1366" s="6" t="s">
        <v>235</v>
      </c>
      <c r="E1366" s="6" t="s">
        <v>835</v>
      </c>
      <c r="F1366" s="6" t="s">
        <v>984</v>
      </c>
      <c r="G1366" s="6" t="s">
        <v>1065</v>
      </c>
    </row>
    <row r="1367" ht="15.75" customHeight="1">
      <c r="A1367" s="6" t="s">
        <v>903</v>
      </c>
      <c r="B1367" s="6" t="s">
        <v>1822</v>
      </c>
      <c r="C1367" s="6" t="s">
        <v>1854</v>
      </c>
      <c r="D1367" s="6" t="s">
        <v>43</v>
      </c>
      <c r="E1367" s="6" t="s">
        <v>1805</v>
      </c>
      <c r="F1367" s="6" t="s">
        <v>984</v>
      </c>
      <c r="G1367" s="6" t="s">
        <v>677</v>
      </c>
    </row>
    <row r="1368" ht="15.75" customHeight="1">
      <c r="A1368" s="6" t="s">
        <v>863</v>
      </c>
      <c r="B1368" s="6" t="s">
        <v>1822</v>
      </c>
      <c r="C1368" s="6" t="s">
        <v>1866</v>
      </c>
      <c r="D1368" s="6" t="s">
        <v>914</v>
      </c>
      <c r="E1368" s="6" t="s">
        <v>429</v>
      </c>
      <c r="F1368" s="6" t="s">
        <v>984</v>
      </c>
      <c r="G1368" s="6" t="s">
        <v>812</v>
      </c>
    </row>
    <row r="1369" ht="15.75" customHeight="1">
      <c r="A1369" s="6" t="s">
        <v>903</v>
      </c>
      <c r="B1369" s="6" t="s">
        <v>1822</v>
      </c>
      <c r="C1369" s="6" t="s">
        <v>1866</v>
      </c>
      <c r="D1369" s="6" t="s">
        <v>21</v>
      </c>
      <c r="E1369" s="6" t="s">
        <v>526</v>
      </c>
      <c r="F1369" s="6" t="s">
        <v>984</v>
      </c>
      <c r="G1369" s="6" t="s">
        <v>1065</v>
      </c>
    </row>
    <row r="1370" ht="15.75" customHeight="1">
      <c r="A1370" s="6" t="s">
        <v>19</v>
      </c>
      <c r="B1370" s="6" t="s">
        <v>1822</v>
      </c>
      <c r="C1370" s="6" t="s">
        <v>1867</v>
      </c>
      <c r="D1370" s="6" t="s">
        <v>235</v>
      </c>
      <c r="E1370" s="6" t="s">
        <v>1594</v>
      </c>
      <c r="F1370" s="6" t="s">
        <v>30</v>
      </c>
      <c r="G1370" s="6" t="s">
        <v>677</v>
      </c>
    </row>
    <row r="1371" ht="15.75" customHeight="1">
      <c r="A1371" s="6" t="s">
        <v>19</v>
      </c>
      <c r="B1371" s="6" t="s">
        <v>1809</v>
      </c>
      <c r="C1371" s="6" t="s">
        <v>1867</v>
      </c>
      <c r="D1371" s="6" t="s">
        <v>142</v>
      </c>
      <c r="E1371" s="6" t="s">
        <v>1594</v>
      </c>
      <c r="F1371" s="6" t="s">
        <v>30</v>
      </c>
      <c r="G1371" s="6" t="s">
        <v>37</v>
      </c>
    </row>
    <row r="1372" ht="15.75" customHeight="1">
      <c r="A1372" s="6" t="s">
        <v>19</v>
      </c>
      <c r="B1372" s="6" t="s">
        <v>1809</v>
      </c>
      <c r="C1372" s="6" t="s">
        <v>1867</v>
      </c>
      <c r="D1372" s="6" t="s">
        <v>262</v>
      </c>
      <c r="E1372" s="6" t="s">
        <v>1594</v>
      </c>
      <c r="F1372" s="6" t="s">
        <v>30</v>
      </c>
      <c r="G1372" s="6" t="s">
        <v>37</v>
      </c>
    </row>
    <row r="1373" ht="15.75" customHeight="1">
      <c r="A1373" s="6" t="s">
        <v>297</v>
      </c>
      <c r="B1373" s="6" t="s">
        <v>1822</v>
      </c>
      <c r="C1373" s="6" t="s">
        <v>1867</v>
      </c>
      <c r="D1373" s="6" t="s">
        <v>43</v>
      </c>
      <c r="E1373" s="6" t="s">
        <v>1606</v>
      </c>
      <c r="F1373" s="6" t="s">
        <v>984</v>
      </c>
      <c r="G1373" s="6" t="s">
        <v>677</v>
      </c>
    </row>
    <row r="1374" ht="15.75" customHeight="1">
      <c r="A1374" s="6" t="s">
        <v>613</v>
      </c>
      <c r="B1374" s="6" t="s">
        <v>1809</v>
      </c>
      <c r="C1374" s="6" t="s">
        <v>1867</v>
      </c>
      <c r="D1374" s="6" t="s">
        <v>435</v>
      </c>
      <c r="E1374" s="6" t="s">
        <v>1606</v>
      </c>
      <c r="F1374" s="6" t="s">
        <v>373</v>
      </c>
      <c r="G1374" s="6" t="s">
        <v>459</v>
      </c>
    </row>
    <row r="1375" ht="15.75" customHeight="1">
      <c r="A1375" s="6" t="s">
        <v>613</v>
      </c>
      <c r="B1375" s="6" t="s">
        <v>1809</v>
      </c>
      <c r="C1375" s="6" t="s">
        <v>1867</v>
      </c>
      <c r="D1375" s="6" t="s">
        <v>539</v>
      </c>
      <c r="E1375" s="6" t="s">
        <v>1594</v>
      </c>
      <c r="F1375" s="6" t="s">
        <v>30</v>
      </c>
      <c r="G1375" s="6" t="s">
        <v>459</v>
      </c>
    </row>
    <row r="1376" ht="15.75" customHeight="1">
      <c r="A1376" s="6" t="s">
        <v>903</v>
      </c>
      <c r="B1376" s="6" t="s">
        <v>1809</v>
      </c>
      <c r="C1376" s="6" t="s">
        <v>1867</v>
      </c>
      <c r="D1376" s="6" t="s">
        <v>50</v>
      </c>
      <c r="E1376" s="6" t="s">
        <v>1606</v>
      </c>
      <c r="F1376" s="6" t="s">
        <v>984</v>
      </c>
      <c r="G1376" s="6" t="s">
        <v>73</v>
      </c>
    </row>
    <row r="1377" ht="15.75" customHeight="1">
      <c r="A1377" s="6" t="s">
        <v>183</v>
      </c>
      <c r="B1377" s="6" t="s">
        <v>1822</v>
      </c>
      <c r="C1377" s="6" t="s">
        <v>1868</v>
      </c>
      <c r="D1377" s="6" t="s">
        <v>262</v>
      </c>
      <c r="E1377" s="6" t="s">
        <v>187</v>
      </c>
      <c r="F1377" s="6" t="s">
        <v>30</v>
      </c>
      <c r="G1377" s="6" t="s">
        <v>242</v>
      </c>
    </row>
    <row r="1378" ht="15.75" customHeight="1">
      <c r="A1378" s="6" t="s">
        <v>863</v>
      </c>
      <c r="B1378" s="6" t="s">
        <v>1822</v>
      </c>
      <c r="C1378" s="6" t="s">
        <v>1868</v>
      </c>
      <c r="D1378" s="6" t="s">
        <v>825</v>
      </c>
      <c r="E1378" s="6" t="s">
        <v>429</v>
      </c>
      <c r="F1378" s="6" t="s">
        <v>984</v>
      </c>
      <c r="G1378" s="6" t="s">
        <v>1113</v>
      </c>
    </row>
    <row r="1379" ht="15.75" customHeight="1">
      <c r="A1379" s="6" t="s">
        <v>935</v>
      </c>
      <c r="B1379" s="6" t="s">
        <v>1809</v>
      </c>
      <c r="C1379" s="6" t="s">
        <v>1837</v>
      </c>
      <c r="D1379" s="6" t="s">
        <v>469</v>
      </c>
      <c r="E1379" s="6" t="s">
        <v>429</v>
      </c>
      <c r="F1379" s="6" t="s">
        <v>984</v>
      </c>
      <c r="G1379" s="6" t="s">
        <v>524</v>
      </c>
    </row>
    <row r="1380" ht="15.75" customHeight="1">
      <c r="A1380" s="6" t="s">
        <v>935</v>
      </c>
      <c r="B1380" s="6" t="s">
        <v>1809</v>
      </c>
      <c r="C1380" s="6" t="s">
        <v>1837</v>
      </c>
      <c r="D1380" s="6" t="s">
        <v>608</v>
      </c>
      <c r="E1380" s="6" t="s">
        <v>30</v>
      </c>
      <c r="F1380" s="6" t="s">
        <v>984</v>
      </c>
      <c r="G1380" s="6" t="s">
        <v>541</v>
      </c>
    </row>
    <row r="1381" ht="15.75" customHeight="1">
      <c r="A1381" s="6" t="s">
        <v>935</v>
      </c>
      <c r="B1381" s="6" t="s">
        <v>1809</v>
      </c>
      <c r="C1381" s="6" t="s">
        <v>1837</v>
      </c>
      <c r="D1381" s="6" t="s">
        <v>565</v>
      </c>
      <c r="E1381" s="6" t="s">
        <v>429</v>
      </c>
      <c r="F1381" s="6" t="s">
        <v>984</v>
      </c>
      <c r="G1381" s="6" t="s">
        <v>430</v>
      </c>
    </row>
    <row r="1382" ht="15.75" customHeight="1">
      <c r="A1382" s="6" t="s">
        <v>935</v>
      </c>
      <c r="B1382" s="6" t="s">
        <v>1809</v>
      </c>
      <c r="C1382" s="6" t="s">
        <v>1837</v>
      </c>
      <c r="D1382" s="6" t="s">
        <v>482</v>
      </c>
      <c r="E1382" s="6" t="s">
        <v>429</v>
      </c>
      <c r="F1382" s="6" t="s">
        <v>984</v>
      </c>
      <c r="G1382" s="6" t="s">
        <v>524</v>
      </c>
    </row>
    <row r="1383" ht="15.75" customHeight="1">
      <c r="A1383" s="6" t="s">
        <v>935</v>
      </c>
      <c r="B1383" s="6" t="s">
        <v>1809</v>
      </c>
      <c r="C1383" s="6" t="s">
        <v>1837</v>
      </c>
      <c r="D1383" s="6" t="s">
        <v>445</v>
      </c>
      <c r="E1383" s="6" t="s">
        <v>429</v>
      </c>
      <c r="F1383" s="6" t="s">
        <v>984</v>
      </c>
      <c r="G1383" s="6" t="s">
        <v>325</v>
      </c>
    </row>
    <row r="1384" ht="15.75" customHeight="1">
      <c r="A1384" s="6" t="s">
        <v>935</v>
      </c>
      <c r="B1384" s="6" t="s">
        <v>1809</v>
      </c>
      <c r="C1384" s="6" t="s">
        <v>1837</v>
      </c>
      <c r="D1384" s="6" t="s">
        <v>482</v>
      </c>
      <c r="E1384" s="6" t="s">
        <v>429</v>
      </c>
      <c r="F1384" s="6" t="s">
        <v>984</v>
      </c>
      <c r="G1384" s="6" t="s">
        <v>556</v>
      </c>
    </row>
    <row r="1385" ht="15.75" customHeight="1">
      <c r="A1385" s="6" t="s">
        <v>935</v>
      </c>
      <c r="B1385" s="6" t="s">
        <v>1809</v>
      </c>
      <c r="C1385" s="6" t="s">
        <v>1837</v>
      </c>
      <c r="D1385" s="6" t="s">
        <v>565</v>
      </c>
      <c r="E1385" s="6" t="s">
        <v>429</v>
      </c>
      <c r="F1385" s="6" t="s">
        <v>984</v>
      </c>
      <c r="G1385" s="6" t="s">
        <v>282</v>
      </c>
    </row>
    <row r="1386" ht="15.75" customHeight="1">
      <c r="A1386" s="6" t="s">
        <v>935</v>
      </c>
      <c r="B1386" s="6" t="s">
        <v>1809</v>
      </c>
      <c r="C1386" s="6" t="s">
        <v>1837</v>
      </c>
      <c r="D1386" s="6" t="s">
        <v>435</v>
      </c>
      <c r="E1386" s="6" t="s">
        <v>429</v>
      </c>
      <c r="F1386" s="6" t="s">
        <v>984</v>
      </c>
      <c r="G1386" s="6" t="s">
        <v>343</v>
      </c>
    </row>
    <row r="1387" ht="15.75" customHeight="1">
      <c r="A1387" s="6" t="s">
        <v>935</v>
      </c>
      <c r="B1387" s="6" t="s">
        <v>1809</v>
      </c>
      <c r="C1387" s="6" t="s">
        <v>1837</v>
      </c>
      <c r="D1387" s="6" t="s">
        <v>576</v>
      </c>
      <c r="E1387" s="6" t="s">
        <v>429</v>
      </c>
      <c r="F1387" s="6" t="s">
        <v>984</v>
      </c>
      <c r="G1387" s="6" t="s">
        <v>524</v>
      </c>
    </row>
    <row r="1388" ht="15.75" customHeight="1">
      <c r="A1388" s="6" t="s">
        <v>935</v>
      </c>
      <c r="B1388" s="6" t="s">
        <v>1809</v>
      </c>
      <c r="C1388" s="6" t="s">
        <v>1837</v>
      </c>
      <c r="D1388" s="6" t="s">
        <v>576</v>
      </c>
      <c r="E1388" s="6" t="s">
        <v>429</v>
      </c>
      <c r="F1388" s="6" t="s">
        <v>984</v>
      </c>
      <c r="G1388" s="6" t="s">
        <v>524</v>
      </c>
    </row>
    <row r="1389" ht="15.75" customHeight="1">
      <c r="A1389" s="6" t="s">
        <v>935</v>
      </c>
      <c r="B1389" s="6" t="s">
        <v>1809</v>
      </c>
      <c r="C1389" s="6" t="s">
        <v>1837</v>
      </c>
      <c r="D1389" s="6" t="s">
        <v>576</v>
      </c>
      <c r="E1389" s="6" t="s">
        <v>429</v>
      </c>
      <c r="F1389" s="6" t="s">
        <v>984</v>
      </c>
      <c r="G1389" s="6" t="s">
        <v>556</v>
      </c>
    </row>
    <row r="1390" ht="15.75" customHeight="1">
      <c r="A1390" s="6" t="s">
        <v>935</v>
      </c>
      <c r="B1390" s="6" t="s">
        <v>1809</v>
      </c>
      <c r="C1390" s="6" t="s">
        <v>1837</v>
      </c>
      <c r="D1390" s="6" t="s">
        <v>591</v>
      </c>
      <c r="E1390" s="6" t="s">
        <v>429</v>
      </c>
      <c r="F1390" s="6" t="s">
        <v>984</v>
      </c>
      <c r="G1390" s="6" t="s">
        <v>592</v>
      </c>
    </row>
    <row r="1391" ht="15.75" customHeight="1">
      <c r="A1391" s="6" t="s">
        <v>935</v>
      </c>
      <c r="B1391" s="6" t="s">
        <v>1809</v>
      </c>
      <c r="C1391" s="6" t="s">
        <v>1837</v>
      </c>
      <c r="D1391" s="6" t="s">
        <v>482</v>
      </c>
      <c r="E1391" s="6" t="s">
        <v>429</v>
      </c>
      <c r="F1391" s="6" t="s">
        <v>984</v>
      </c>
      <c r="G1391" s="6" t="s">
        <v>224</v>
      </c>
    </row>
    <row r="1392" ht="15.75" customHeight="1">
      <c r="A1392" s="6" t="s">
        <v>935</v>
      </c>
      <c r="B1392" s="6" t="s">
        <v>1809</v>
      </c>
      <c r="C1392" s="6" t="s">
        <v>1837</v>
      </c>
      <c r="D1392" s="6" t="s">
        <v>482</v>
      </c>
      <c r="E1392" s="6" t="s">
        <v>429</v>
      </c>
      <c r="F1392" s="6" t="s">
        <v>984</v>
      </c>
      <c r="G1392" s="6" t="s">
        <v>524</v>
      </c>
    </row>
    <row r="1393" ht="15.75" customHeight="1">
      <c r="A1393" s="6" t="s">
        <v>935</v>
      </c>
      <c r="B1393" s="6" t="s">
        <v>1809</v>
      </c>
      <c r="C1393" s="6" t="s">
        <v>1837</v>
      </c>
      <c r="D1393" s="6" t="s">
        <v>576</v>
      </c>
      <c r="E1393" s="6" t="s">
        <v>429</v>
      </c>
      <c r="F1393" s="6" t="s">
        <v>984</v>
      </c>
      <c r="G1393" s="6" t="s">
        <v>224</v>
      </c>
    </row>
    <row r="1394" ht="15.75" customHeight="1">
      <c r="A1394" s="6" t="s">
        <v>935</v>
      </c>
      <c r="B1394" s="6" t="s">
        <v>1809</v>
      </c>
      <c r="C1394" s="6" t="s">
        <v>1837</v>
      </c>
      <c r="D1394" s="6" t="s">
        <v>482</v>
      </c>
      <c r="E1394" s="6" t="s">
        <v>429</v>
      </c>
      <c r="F1394" s="6" t="s">
        <v>984</v>
      </c>
      <c r="G1394" s="6" t="s">
        <v>592</v>
      </c>
    </row>
    <row r="1395" ht="15.75" customHeight="1">
      <c r="A1395" s="6" t="s">
        <v>935</v>
      </c>
      <c r="B1395" s="6" t="s">
        <v>1809</v>
      </c>
      <c r="C1395" s="6" t="s">
        <v>1837</v>
      </c>
      <c r="D1395" s="6" t="s">
        <v>482</v>
      </c>
      <c r="E1395" s="6" t="s">
        <v>429</v>
      </c>
      <c r="F1395" s="6" t="s">
        <v>984</v>
      </c>
      <c r="G1395" s="6" t="s">
        <v>592</v>
      </c>
    </row>
    <row r="1396" ht="15.75" customHeight="1">
      <c r="A1396" s="6" t="s">
        <v>935</v>
      </c>
      <c r="B1396" s="6" t="s">
        <v>1809</v>
      </c>
      <c r="C1396" s="6" t="s">
        <v>1837</v>
      </c>
      <c r="D1396" s="6" t="s">
        <v>469</v>
      </c>
      <c r="E1396" s="6" t="s">
        <v>429</v>
      </c>
      <c r="F1396" s="6" t="s">
        <v>984</v>
      </c>
      <c r="G1396" s="6" t="s">
        <v>343</v>
      </c>
    </row>
    <row r="1397" ht="15.75" customHeight="1">
      <c r="A1397" s="6" t="s">
        <v>935</v>
      </c>
      <c r="B1397" s="6" t="s">
        <v>1809</v>
      </c>
      <c r="C1397" s="6" t="s">
        <v>1836</v>
      </c>
      <c r="D1397" s="6" t="s">
        <v>482</v>
      </c>
      <c r="E1397" s="6" t="s">
        <v>553</v>
      </c>
      <c r="G1397" s="6" t="s">
        <v>438</v>
      </c>
    </row>
    <row r="1398" ht="15.75" customHeight="1">
      <c r="A1398" s="6" t="s">
        <v>935</v>
      </c>
      <c r="B1398" s="6" t="s">
        <v>1809</v>
      </c>
      <c r="C1398" s="6" t="s">
        <v>1836</v>
      </c>
      <c r="D1398" s="6" t="s">
        <v>501</v>
      </c>
      <c r="E1398" s="6" t="s">
        <v>429</v>
      </c>
      <c r="F1398" s="6" t="s">
        <v>984</v>
      </c>
      <c r="G1398" s="6" t="s">
        <v>592</v>
      </c>
    </row>
    <row r="1399" ht="15.75" customHeight="1">
      <c r="A1399" s="6" t="s">
        <v>935</v>
      </c>
      <c r="B1399" s="6" t="s">
        <v>1809</v>
      </c>
      <c r="C1399" s="6" t="s">
        <v>1836</v>
      </c>
      <c r="D1399" s="6" t="s">
        <v>596</v>
      </c>
      <c r="E1399" s="6" t="s">
        <v>429</v>
      </c>
      <c r="F1399" s="6" t="s">
        <v>984</v>
      </c>
      <c r="G1399" s="6" t="s">
        <v>325</v>
      </c>
    </row>
    <row r="1400" ht="15.75" customHeight="1">
      <c r="A1400" s="6" t="s">
        <v>935</v>
      </c>
      <c r="B1400" s="6" t="s">
        <v>1809</v>
      </c>
      <c r="C1400" s="6" t="s">
        <v>1836</v>
      </c>
      <c r="D1400" s="6" t="s">
        <v>588</v>
      </c>
      <c r="E1400" s="6" t="s">
        <v>429</v>
      </c>
      <c r="F1400" s="6" t="s">
        <v>984</v>
      </c>
      <c r="G1400" s="6" t="s">
        <v>592</v>
      </c>
    </row>
    <row r="1401" ht="15.75" customHeight="1">
      <c r="A1401" s="6" t="s">
        <v>935</v>
      </c>
      <c r="B1401" s="6" t="s">
        <v>1809</v>
      </c>
      <c r="C1401" s="6" t="s">
        <v>1836</v>
      </c>
      <c r="D1401" s="6" t="s">
        <v>565</v>
      </c>
      <c r="E1401" s="6" t="s">
        <v>553</v>
      </c>
      <c r="G1401" s="6" t="s">
        <v>430</v>
      </c>
    </row>
    <row r="1402" ht="15.75" customHeight="1">
      <c r="A1402" s="6" t="s">
        <v>935</v>
      </c>
      <c r="B1402" s="6" t="s">
        <v>1809</v>
      </c>
      <c r="C1402" s="6" t="s">
        <v>1836</v>
      </c>
      <c r="D1402" s="6" t="s">
        <v>539</v>
      </c>
      <c r="E1402" s="6" t="s">
        <v>30</v>
      </c>
      <c r="F1402" s="6" t="s">
        <v>984</v>
      </c>
      <c r="G1402" s="6" t="s">
        <v>430</v>
      </c>
    </row>
    <row r="1403" ht="15.75" customHeight="1">
      <c r="A1403" s="6" t="s">
        <v>935</v>
      </c>
      <c r="B1403" s="6" t="s">
        <v>1809</v>
      </c>
      <c r="C1403" s="6" t="s">
        <v>1836</v>
      </c>
      <c r="D1403" s="6" t="s">
        <v>428</v>
      </c>
      <c r="E1403" s="6" t="s">
        <v>429</v>
      </c>
      <c r="F1403" s="6" t="s">
        <v>984</v>
      </c>
      <c r="G1403" s="6" t="s">
        <v>430</v>
      </c>
    </row>
    <row r="1404" ht="15.75" customHeight="1">
      <c r="A1404" s="6" t="s">
        <v>935</v>
      </c>
      <c r="B1404" s="6" t="s">
        <v>1809</v>
      </c>
      <c r="C1404" s="6" t="s">
        <v>1836</v>
      </c>
      <c r="D1404" s="6" t="s">
        <v>616</v>
      </c>
      <c r="E1404" s="6" t="s">
        <v>429</v>
      </c>
      <c r="F1404" s="6" t="s">
        <v>984</v>
      </c>
      <c r="G1404" s="6" t="s">
        <v>430</v>
      </c>
    </row>
    <row r="1405" ht="15.75" customHeight="1">
      <c r="A1405" s="6" t="s">
        <v>935</v>
      </c>
      <c r="B1405" s="6" t="s">
        <v>1809</v>
      </c>
      <c r="C1405" s="6" t="s">
        <v>1836</v>
      </c>
      <c r="D1405" s="6" t="s">
        <v>588</v>
      </c>
      <c r="E1405" s="6" t="s">
        <v>429</v>
      </c>
      <c r="F1405" s="6" t="s">
        <v>984</v>
      </c>
      <c r="G1405" s="6" t="s">
        <v>524</v>
      </c>
    </row>
    <row r="1406" ht="15.75" customHeight="1">
      <c r="A1406" s="6" t="s">
        <v>935</v>
      </c>
      <c r="B1406" s="6" t="s">
        <v>1809</v>
      </c>
      <c r="C1406" s="6" t="s">
        <v>1836</v>
      </c>
      <c r="D1406" s="6" t="s">
        <v>457</v>
      </c>
      <c r="E1406" s="6" t="s">
        <v>429</v>
      </c>
      <c r="F1406" s="6" t="s">
        <v>984</v>
      </c>
      <c r="G1406" s="6" t="s">
        <v>541</v>
      </c>
    </row>
    <row r="1407" ht="15.75" customHeight="1">
      <c r="A1407" s="6" t="s">
        <v>935</v>
      </c>
      <c r="B1407" s="6" t="s">
        <v>1809</v>
      </c>
      <c r="C1407" s="6" t="s">
        <v>1836</v>
      </c>
      <c r="D1407" s="6" t="s">
        <v>588</v>
      </c>
      <c r="E1407" s="6" t="s">
        <v>429</v>
      </c>
      <c r="F1407" s="6" t="s">
        <v>984</v>
      </c>
      <c r="G1407" s="6" t="s">
        <v>714</v>
      </c>
    </row>
    <row r="1408" ht="15.75" customHeight="1">
      <c r="A1408" s="6" t="s">
        <v>935</v>
      </c>
      <c r="B1408" s="6" t="s">
        <v>1809</v>
      </c>
      <c r="C1408" s="6" t="s">
        <v>1836</v>
      </c>
      <c r="D1408" s="6" t="s">
        <v>596</v>
      </c>
      <c r="E1408" s="6" t="s">
        <v>429</v>
      </c>
      <c r="F1408" s="6" t="s">
        <v>984</v>
      </c>
      <c r="G1408" s="6" t="s">
        <v>524</v>
      </c>
    </row>
    <row r="1409" ht="15.75" customHeight="1">
      <c r="A1409" s="6" t="s">
        <v>935</v>
      </c>
      <c r="B1409" s="6" t="s">
        <v>1809</v>
      </c>
      <c r="C1409" s="6" t="s">
        <v>1836</v>
      </c>
      <c r="D1409" s="6" t="s">
        <v>596</v>
      </c>
      <c r="E1409" s="6" t="s">
        <v>429</v>
      </c>
      <c r="F1409" s="6" t="s">
        <v>984</v>
      </c>
      <c r="G1409" s="6" t="s">
        <v>224</v>
      </c>
    </row>
    <row r="1410" ht="15.75" customHeight="1">
      <c r="A1410" s="6" t="s">
        <v>935</v>
      </c>
      <c r="B1410" s="6" t="s">
        <v>1809</v>
      </c>
      <c r="C1410" s="6" t="s">
        <v>1836</v>
      </c>
      <c r="D1410" s="6" t="s">
        <v>639</v>
      </c>
      <c r="E1410" s="6" t="s">
        <v>429</v>
      </c>
      <c r="F1410" s="6" t="s">
        <v>984</v>
      </c>
      <c r="G1410" s="6" t="s">
        <v>224</v>
      </c>
    </row>
    <row r="1411" ht="15.75" customHeight="1">
      <c r="A1411" s="6" t="s">
        <v>935</v>
      </c>
      <c r="B1411" s="6" t="s">
        <v>1809</v>
      </c>
      <c r="C1411" s="6" t="s">
        <v>1836</v>
      </c>
      <c r="D1411" s="6" t="s">
        <v>596</v>
      </c>
      <c r="E1411" s="6" t="s">
        <v>429</v>
      </c>
      <c r="F1411" s="6" t="s">
        <v>984</v>
      </c>
      <c r="G1411" s="6" t="s">
        <v>556</v>
      </c>
    </row>
    <row r="1412" ht="15.75" customHeight="1">
      <c r="A1412" s="6" t="s">
        <v>935</v>
      </c>
      <c r="B1412" s="6" t="s">
        <v>1809</v>
      </c>
      <c r="C1412" s="6" t="s">
        <v>1836</v>
      </c>
      <c r="D1412" s="6" t="s">
        <v>501</v>
      </c>
      <c r="E1412" s="6" t="s">
        <v>429</v>
      </c>
      <c r="F1412" s="6" t="s">
        <v>984</v>
      </c>
      <c r="G1412" s="6" t="s">
        <v>430</v>
      </c>
    </row>
    <row r="1413" ht="15.75" customHeight="1">
      <c r="A1413" s="6" t="s">
        <v>935</v>
      </c>
      <c r="B1413" s="6" t="s">
        <v>1809</v>
      </c>
      <c r="C1413" s="6" t="s">
        <v>1836</v>
      </c>
      <c r="D1413" s="6" t="s">
        <v>428</v>
      </c>
      <c r="E1413" s="6" t="s">
        <v>429</v>
      </c>
      <c r="F1413" s="6" t="s">
        <v>984</v>
      </c>
      <c r="G1413" s="6" t="s">
        <v>282</v>
      </c>
    </row>
    <row r="1414" ht="15.75" customHeight="1">
      <c r="A1414" s="6" t="s">
        <v>935</v>
      </c>
      <c r="B1414" s="6" t="s">
        <v>1809</v>
      </c>
      <c r="C1414" s="6" t="s">
        <v>1836</v>
      </c>
      <c r="D1414" s="6" t="s">
        <v>608</v>
      </c>
      <c r="E1414" s="6" t="s">
        <v>30</v>
      </c>
      <c r="F1414" s="6" t="s">
        <v>984</v>
      </c>
      <c r="G1414" s="6" t="s">
        <v>592</v>
      </c>
    </row>
    <row r="1415" ht="15.75" customHeight="1">
      <c r="A1415" s="6" t="s">
        <v>935</v>
      </c>
      <c r="B1415" s="6" t="s">
        <v>1809</v>
      </c>
      <c r="C1415" s="6" t="s">
        <v>1836</v>
      </c>
      <c r="D1415" s="6" t="s">
        <v>608</v>
      </c>
      <c r="E1415" s="6" t="s">
        <v>429</v>
      </c>
      <c r="F1415" s="6" t="s">
        <v>984</v>
      </c>
      <c r="G1415" s="6" t="s">
        <v>592</v>
      </c>
    </row>
    <row r="1416" ht="15.75" customHeight="1">
      <c r="A1416" s="6" t="s">
        <v>935</v>
      </c>
      <c r="B1416" s="6" t="s">
        <v>1809</v>
      </c>
      <c r="C1416" s="6" t="s">
        <v>1836</v>
      </c>
      <c r="D1416" s="6" t="s">
        <v>616</v>
      </c>
      <c r="E1416" s="6" t="s">
        <v>429</v>
      </c>
      <c r="F1416" s="6" t="s">
        <v>984</v>
      </c>
      <c r="G1416" s="6" t="s">
        <v>282</v>
      </c>
    </row>
    <row r="1417" ht="15.75" customHeight="1">
      <c r="A1417" s="6" t="s">
        <v>935</v>
      </c>
      <c r="B1417" s="6" t="s">
        <v>1809</v>
      </c>
      <c r="C1417" s="6" t="s">
        <v>1836</v>
      </c>
      <c r="D1417" s="6" t="s">
        <v>435</v>
      </c>
      <c r="E1417" s="6" t="s">
        <v>429</v>
      </c>
      <c r="F1417" s="6" t="s">
        <v>984</v>
      </c>
      <c r="G1417" s="6" t="s">
        <v>508</v>
      </c>
    </row>
    <row r="1418" ht="15.75" customHeight="1">
      <c r="A1418" s="6" t="s">
        <v>935</v>
      </c>
      <c r="B1418" s="6" t="s">
        <v>1809</v>
      </c>
      <c r="C1418" s="6" t="s">
        <v>1836</v>
      </c>
      <c r="D1418" s="6" t="s">
        <v>435</v>
      </c>
      <c r="E1418" s="6" t="s">
        <v>429</v>
      </c>
      <c r="F1418" s="6" t="s">
        <v>984</v>
      </c>
      <c r="G1418" s="6" t="s">
        <v>508</v>
      </c>
    </row>
    <row r="1419" ht="15.75" customHeight="1">
      <c r="A1419" s="6" t="s">
        <v>935</v>
      </c>
      <c r="B1419" s="6" t="s">
        <v>1809</v>
      </c>
      <c r="C1419" s="6" t="s">
        <v>1836</v>
      </c>
      <c r="D1419" s="6" t="s">
        <v>591</v>
      </c>
      <c r="E1419" s="6" t="s">
        <v>429</v>
      </c>
      <c r="F1419" s="6" t="s">
        <v>984</v>
      </c>
      <c r="G1419" s="6" t="s">
        <v>508</v>
      </c>
    </row>
    <row r="1420" ht="15.75" customHeight="1">
      <c r="A1420" s="6" t="s">
        <v>935</v>
      </c>
      <c r="B1420" s="6" t="s">
        <v>1809</v>
      </c>
      <c r="C1420" s="6" t="s">
        <v>1836</v>
      </c>
      <c r="D1420" s="6" t="s">
        <v>576</v>
      </c>
      <c r="E1420" s="6" t="s">
        <v>429</v>
      </c>
      <c r="F1420" s="6" t="s">
        <v>984</v>
      </c>
      <c r="G1420" s="6" t="s">
        <v>438</v>
      </c>
    </row>
    <row r="1421" ht="15.75" customHeight="1">
      <c r="A1421" s="6" t="s">
        <v>935</v>
      </c>
      <c r="B1421" s="6" t="s">
        <v>1809</v>
      </c>
      <c r="C1421" s="6" t="s">
        <v>1836</v>
      </c>
      <c r="D1421" s="6" t="s">
        <v>482</v>
      </c>
      <c r="E1421" s="6" t="s">
        <v>429</v>
      </c>
      <c r="F1421" s="6" t="s">
        <v>984</v>
      </c>
      <c r="G1421" s="6" t="s">
        <v>438</v>
      </c>
    </row>
    <row r="1422" ht="15.75" customHeight="1">
      <c r="A1422" s="6" t="s">
        <v>935</v>
      </c>
      <c r="B1422" s="6" t="s">
        <v>1809</v>
      </c>
      <c r="C1422" s="6" t="s">
        <v>1810</v>
      </c>
      <c r="D1422" s="6" t="s">
        <v>539</v>
      </c>
      <c r="E1422" s="6" t="s">
        <v>30</v>
      </c>
      <c r="F1422" s="6" t="s">
        <v>984</v>
      </c>
      <c r="G1422" s="6" t="s">
        <v>430</v>
      </c>
    </row>
    <row r="1423" ht="15.75" customHeight="1">
      <c r="A1423" s="6" t="s">
        <v>935</v>
      </c>
      <c r="B1423" s="6" t="s">
        <v>1809</v>
      </c>
      <c r="C1423" s="6" t="s">
        <v>1810</v>
      </c>
      <c r="D1423" s="6" t="s">
        <v>469</v>
      </c>
      <c r="E1423" s="6" t="s">
        <v>429</v>
      </c>
      <c r="F1423" s="6" t="s">
        <v>984</v>
      </c>
      <c r="G1423" s="6" t="s">
        <v>224</v>
      </c>
    </row>
    <row r="1424" ht="15.75" customHeight="1">
      <c r="A1424" s="6" t="s">
        <v>935</v>
      </c>
      <c r="B1424" s="6" t="s">
        <v>1809</v>
      </c>
      <c r="C1424" s="6" t="s">
        <v>1810</v>
      </c>
      <c r="D1424" s="6" t="s">
        <v>539</v>
      </c>
      <c r="E1424" s="6" t="s">
        <v>429</v>
      </c>
      <c r="F1424" s="6" t="s">
        <v>984</v>
      </c>
      <c r="G1424" s="6" t="s">
        <v>592</v>
      </c>
    </row>
    <row r="1425" ht="15.75" customHeight="1">
      <c r="A1425" s="6" t="s">
        <v>935</v>
      </c>
      <c r="B1425" s="6" t="s">
        <v>1809</v>
      </c>
      <c r="C1425" s="6" t="s">
        <v>1810</v>
      </c>
      <c r="D1425" s="6" t="s">
        <v>591</v>
      </c>
      <c r="E1425" s="6" t="s">
        <v>429</v>
      </c>
      <c r="F1425" s="6" t="s">
        <v>984</v>
      </c>
      <c r="G1425" s="6" t="s">
        <v>508</v>
      </c>
    </row>
    <row r="1426" ht="15.75" customHeight="1">
      <c r="A1426" s="6" t="s">
        <v>935</v>
      </c>
      <c r="B1426" s="6" t="s">
        <v>1809</v>
      </c>
      <c r="C1426" s="6" t="s">
        <v>1810</v>
      </c>
      <c r="D1426" s="6" t="s">
        <v>608</v>
      </c>
      <c r="E1426" s="6" t="s">
        <v>553</v>
      </c>
      <c r="G1426" s="6" t="s">
        <v>459</v>
      </c>
    </row>
    <row r="1427" ht="15.75" customHeight="1">
      <c r="A1427" s="6" t="s">
        <v>935</v>
      </c>
      <c r="B1427" s="6" t="s">
        <v>1809</v>
      </c>
      <c r="C1427" s="6" t="s">
        <v>1810</v>
      </c>
      <c r="D1427" s="6" t="s">
        <v>445</v>
      </c>
      <c r="E1427" s="6" t="s">
        <v>429</v>
      </c>
      <c r="F1427" s="6" t="s">
        <v>984</v>
      </c>
      <c r="G1427" s="6" t="s">
        <v>592</v>
      </c>
    </row>
    <row r="1428" ht="15.75" customHeight="1">
      <c r="A1428" s="6" t="s">
        <v>935</v>
      </c>
      <c r="B1428" s="6" t="s">
        <v>1809</v>
      </c>
      <c r="C1428" s="6" t="s">
        <v>1810</v>
      </c>
      <c r="D1428" s="6" t="s">
        <v>588</v>
      </c>
      <c r="E1428" s="6" t="s">
        <v>429</v>
      </c>
      <c r="F1428" s="6" t="s">
        <v>984</v>
      </c>
      <c r="G1428" s="6" t="s">
        <v>325</v>
      </c>
    </row>
    <row r="1429" ht="15.75" customHeight="1">
      <c r="A1429" s="6" t="s">
        <v>935</v>
      </c>
      <c r="B1429" s="6" t="s">
        <v>1809</v>
      </c>
      <c r="C1429" s="6" t="s">
        <v>1810</v>
      </c>
      <c r="D1429" s="6" t="s">
        <v>608</v>
      </c>
      <c r="E1429" s="6" t="s">
        <v>30</v>
      </c>
      <c r="F1429" s="6" t="s">
        <v>984</v>
      </c>
      <c r="G1429" s="6" t="s">
        <v>430</v>
      </c>
    </row>
    <row r="1430" ht="15.75" customHeight="1">
      <c r="A1430" s="6" t="s">
        <v>935</v>
      </c>
      <c r="B1430" s="6" t="s">
        <v>1809</v>
      </c>
      <c r="C1430" s="6" t="s">
        <v>1810</v>
      </c>
      <c r="D1430" s="6" t="s">
        <v>639</v>
      </c>
      <c r="E1430" s="6" t="s">
        <v>429</v>
      </c>
      <c r="F1430" s="6" t="s">
        <v>984</v>
      </c>
      <c r="G1430" s="6" t="s">
        <v>714</v>
      </c>
    </row>
    <row r="1431" ht="15.75" customHeight="1">
      <c r="A1431" s="6" t="s">
        <v>935</v>
      </c>
      <c r="B1431" s="6" t="s">
        <v>1809</v>
      </c>
      <c r="C1431" s="6" t="s">
        <v>1810</v>
      </c>
      <c r="D1431" s="6" t="s">
        <v>588</v>
      </c>
      <c r="E1431" s="6" t="s">
        <v>429</v>
      </c>
      <c r="F1431" s="6" t="s">
        <v>984</v>
      </c>
      <c r="G1431" s="6" t="s">
        <v>224</v>
      </c>
    </row>
    <row r="1432" ht="15.75" customHeight="1">
      <c r="A1432" s="6" t="s">
        <v>935</v>
      </c>
      <c r="B1432" s="6" t="s">
        <v>1809</v>
      </c>
      <c r="C1432" s="6" t="s">
        <v>1810</v>
      </c>
      <c r="D1432" s="6" t="s">
        <v>973</v>
      </c>
      <c r="E1432" s="6" t="s">
        <v>429</v>
      </c>
      <c r="F1432" s="6" t="s">
        <v>984</v>
      </c>
      <c r="G1432" s="6" t="s">
        <v>136</v>
      </c>
    </row>
    <row r="1433" ht="15.75" customHeight="1">
      <c r="A1433" s="6" t="s">
        <v>935</v>
      </c>
      <c r="B1433" s="6" t="s">
        <v>1809</v>
      </c>
      <c r="C1433" s="6" t="s">
        <v>1810</v>
      </c>
      <c r="D1433" s="6" t="s">
        <v>469</v>
      </c>
      <c r="E1433" s="6" t="s">
        <v>429</v>
      </c>
      <c r="F1433" s="6" t="s">
        <v>984</v>
      </c>
      <c r="G1433" s="6" t="s">
        <v>438</v>
      </c>
    </row>
    <row r="1434" ht="15.75" customHeight="1">
      <c r="A1434" s="6" t="s">
        <v>935</v>
      </c>
      <c r="B1434" s="6" t="s">
        <v>1809</v>
      </c>
      <c r="C1434" s="6" t="s">
        <v>1810</v>
      </c>
      <c r="D1434" s="6" t="s">
        <v>482</v>
      </c>
      <c r="E1434" s="6" t="s">
        <v>429</v>
      </c>
      <c r="F1434" s="6" t="s">
        <v>984</v>
      </c>
      <c r="G1434" s="6" t="s">
        <v>438</v>
      </c>
    </row>
    <row r="1435" ht="15.75" customHeight="1">
      <c r="A1435" s="6" t="s">
        <v>935</v>
      </c>
      <c r="B1435" s="6" t="s">
        <v>1809</v>
      </c>
      <c r="C1435" s="6" t="s">
        <v>1810</v>
      </c>
      <c r="D1435" s="6" t="s">
        <v>445</v>
      </c>
      <c r="E1435" s="6" t="s">
        <v>429</v>
      </c>
      <c r="F1435" s="6" t="s">
        <v>984</v>
      </c>
      <c r="G1435" s="6" t="s">
        <v>592</v>
      </c>
    </row>
    <row r="1436" ht="15.75" customHeight="1">
      <c r="A1436" s="6" t="s">
        <v>935</v>
      </c>
      <c r="B1436" s="6" t="s">
        <v>1809</v>
      </c>
      <c r="C1436" s="6" t="s">
        <v>1810</v>
      </c>
      <c r="D1436" s="6" t="s">
        <v>469</v>
      </c>
      <c r="E1436" s="6" t="s">
        <v>429</v>
      </c>
      <c r="F1436" s="6" t="s">
        <v>984</v>
      </c>
      <c r="G1436" s="6" t="s">
        <v>438</v>
      </c>
    </row>
    <row r="1437" ht="15.75" customHeight="1">
      <c r="A1437" s="6" t="s">
        <v>935</v>
      </c>
      <c r="B1437" s="6" t="s">
        <v>1809</v>
      </c>
      <c r="C1437" s="6" t="s">
        <v>1810</v>
      </c>
      <c r="D1437" s="6" t="s">
        <v>639</v>
      </c>
      <c r="E1437" s="6" t="s">
        <v>429</v>
      </c>
      <c r="F1437" s="6" t="s">
        <v>984</v>
      </c>
      <c r="G1437" s="6" t="s">
        <v>592</v>
      </c>
    </row>
    <row r="1438" ht="15.75" customHeight="1">
      <c r="A1438" s="6" t="s">
        <v>935</v>
      </c>
      <c r="B1438" s="6" t="s">
        <v>1809</v>
      </c>
      <c r="C1438" s="6" t="s">
        <v>1810</v>
      </c>
      <c r="D1438" s="6" t="s">
        <v>428</v>
      </c>
      <c r="E1438" s="6" t="s">
        <v>429</v>
      </c>
      <c r="F1438" s="6" t="s">
        <v>984</v>
      </c>
      <c r="G1438" s="6" t="s">
        <v>714</v>
      </c>
    </row>
    <row r="1439" ht="15.75" customHeight="1">
      <c r="A1439" s="6" t="s">
        <v>935</v>
      </c>
      <c r="B1439" s="6" t="s">
        <v>1809</v>
      </c>
      <c r="C1439" s="6" t="s">
        <v>1810</v>
      </c>
      <c r="D1439" s="6" t="s">
        <v>469</v>
      </c>
      <c r="E1439" s="6" t="s">
        <v>429</v>
      </c>
      <c r="F1439" s="6" t="s">
        <v>984</v>
      </c>
      <c r="G1439" s="6" t="s">
        <v>438</v>
      </c>
    </row>
    <row r="1440" ht="15.75" customHeight="1">
      <c r="A1440" s="6" t="s">
        <v>935</v>
      </c>
      <c r="B1440" s="6" t="s">
        <v>1809</v>
      </c>
      <c r="C1440" s="6" t="s">
        <v>1810</v>
      </c>
      <c r="D1440" s="6" t="s">
        <v>457</v>
      </c>
      <c r="E1440" s="6" t="s">
        <v>429</v>
      </c>
      <c r="F1440" s="6" t="s">
        <v>984</v>
      </c>
      <c r="G1440" s="6" t="s">
        <v>714</v>
      </c>
    </row>
    <row r="1441" ht="15.75" customHeight="1">
      <c r="A1441" s="6" t="s">
        <v>935</v>
      </c>
      <c r="B1441" s="6" t="s">
        <v>1809</v>
      </c>
      <c r="C1441" s="6" t="s">
        <v>1810</v>
      </c>
      <c r="D1441" s="6" t="s">
        <v>445</v>
      </c>
      <c r="E1441" s="6" t="s">
        <v>429</v>
      </c>
      <c r="F1441" s="6" t="s">
        <v>984</v>
      </c>
      <c r="G1441" s="6" t="s">
        <v>282</v>
      </c>
    </row>
    <row r="1442" ht="15.75" customHeight="1">
      <c r="A1442" s="6" t="s">
        <v>935</v>
      </c>
      <c r="B1442" s="6" t="s">
        <v>1809</v>
      </c>
      <c r="C1442" s="6" t="s">
        <v>1810</v>
      </c>
      <c r="D1442" s="6" t="s">
        <v>639</v>
      </c>
      <c r="E1442" s="6" t="s">
        <v>429</v>
      </c>
      <c r="F1442" s="6" t="s">
        <v>984</v>
      </c>
      <c r="G1442" s="6" t="s">
        <v>459</v>
      </c>
    </row>
    <row r="1443" ht="15.75" customHeight="1">
      <c r="A1443" s="6" t="s">
        <v>935</v>
      </c>
      <c r="B1443" s="6" t="s">
        <v>1809</v>
      </c>
      <c r="C1443" s="6" t="s">
        <v>1810</v>
      </c>
      <c r="D1443" s="6" t="s">
        <v>457</v>
      </c>
      <c r="E1443" s="6" t="s">
        <v>429</v>
      </c>
      <c r="F1443" s="6" t="s">
        <v>984</v>
      </c>
      <c r="G1443" s="6" t="s">
        <v>343</v>
      </c>
    </row>
    <row r="1444" ht="15.75" customHeight="1">
      <c r="A1444" s="6" t="s">
        <v>935</v>
      </c>
      <c r="B1444" s="6" t="s">
        <v>1809</v>
      </c>
      <c r="C1444" s="6" t="s">
        <v>1810</v>
      </c>
      <c r="D1444" s="6" t="s">
        <v>482</v>
      </c>
      <c r="E1444" s="6" t="s">
        <v>429</v>
      </c>
      <c r="F1444" s="6" t="s">
        <v>984</v>
      </c>
      <c r="G1444" s="6" t="s">
        <v>343</v>
      </c>
    </row>
    <row r="1445" ht="15.75" customHeight="1">
      <c r="A1445" s="6" t="s">
        <v>935</v>
      </c>
      <c r="B1445" s="6" t="s">
        <v>1809</v>
      </c>
      <c r="C1445" s="6" t="s">
        <v>1810</v>
      </c>
      <c r="D1445" s="6" t="s">
        <v>445</v>
      </c>
      <c r="E1445" s="6" t="s">
        <v>429</v>
      </c>
      <c r="F1445" s="6" t="s">
        <v>984</v>
      </c>
      <c r="G1445" s="6" t="s">
        <v>714</v>
      </c>
    </row>
    <row r="1446" ht="15.75" customHeight="1">
      <c r="A1446" s="6" t="s">
        <v>935</v>
      </c>
      <c r="B1446" s="6" t="s">
        <v>1809</v>
      </c>
      <c r="C1446" s="6" t="s">
        <v>1810</v>
      </c>
      <c r="D1446" s="6" t="s">
        <v>445</v>
      </c>
      <c r="E1446" s="6" t="s">
        <v>553</v>
      </c>
      <c r="G1446" s="6" t="s">
        <v>430</v>
      </c>
    </row>
    <row r="1447" ht="15.75" customHeight="1">
      <c r="A1447" s="6" t="s">
        <v>935</v>
      </c>
      <c r="B1447" s="6" t="s">
        <v>1809</v>
      </c>
      <c r="C1447" s="6" t="s">
        <v>1810</v>
      </c>
      <c r="D1447" s="6" t="s">
        <v>596</v>
      </c>
      <c r="E1447" s="6" t="s">
        <v>429</v>
      </c>
      <c r="F1447" s="6" t="s">
        <v>984</v>
      </c>
      <c r="G1447" s="6" t="s">
        <v>459</v>
      </c>
    </row>
    <row r="1448" ht="15.75" customHeight="1">
      <c r="A1448" s="6" t="s">
        <v>935</v>
      </c>
      <c r="B1448" s="6" t="s">
        <v>1809</v>
      </c>
      <c r="C1448" s="6" t="s">
        <v>1810</v>
      </c>
      <c r="D1448" s="6" t="s">
        <v>482</v>
      </c>
      <c r="E1448" s="6" t="s">
        <v>429</v>
      </c>
      <c r="F1448" s="6" t="s">
        <v>984</v>
      </c>
      <c r="G1448" s="6" t="s">
        <v>438</v>
      </c>
    </row>
    <row r="1449" ht="15.75" customHeight="1">
      <c r="A1449" s="6" t="s">
        <v>935</v>
      </c>
      <c r="B1449" s="6" t="s">
        <v>1809</v>
      </c>
      <c r="C1449" s="6" t="s">
        <v>1810</v>
      </c>
      <c r="D1449" s="6" t="s">
        <v>576</v>
      </c>
      <c r="E1449" s="6" t="s">
        <v>429</v>
      </c>
      <c r="F1449" s="6" t="s">
        <v>984</v>
      </c>
      <c r="G1449" s="6" t="s">
        <v>343</v>
      </c>
    </row>
    <row r="1450" ht="15.75" customHeight="1">
      <c r="A1450" s="6" t="s">
        <v>935</v>
      </c>
      <c r="B1450" s="6" t="s">
        <v>1809</v>
      </c>
      <c r="C1450" s="6" t="s">
        <v>1810</v>
      </c>
      <c r="D1450" s="6" t="s">
        <v>428</v>
      </c>
      <c r="E1450" s="6" t="s">
        <v>429</v>
      </c>
      <c r="F1450" s="6" t="s">
        <v>984</v>
      </c>
      <c r="G1450" s="6" t="s">
        <v>714</v>
      </c>
    </row>
    <row r="1451" ht="15.75" customHeight="1">
      <c r="A1451" s="6" t="s">
        <v>935</v>
      </c>
      <c r="B1451" s="6" t="s">
        <v>1822</v>
      </c>
      <c r="C1451" s="6" t="s">
        <v>1854</v>
      </c>
      <c r="D1451" s="6" t="s">
        <v>482</v>
      </c>
      <c r="E1451" s="6" t="s">
        <v>429</v>
      </c>
      <c r="F1451" s="6" t="s">
        <v>984</v>
      </c>
      <c r="G1451" s="6" t="s">
        <v>812</v>
      </c>
    </row>
    <row r="1452" ht="15.75" customHeight="1">
      <c r="A1452" s="6" t="s">
        <v>935</v>
      </c>
      <c r="B1452" s="6" t="s">
        <v>1822</v>
      </c>
      <c r="C1452" s="6" t="s">
        <v>1854</v>
      </c>
      <c r="D1452" s="6" t="s">
        <v>973</v>
      </c>
      <c r="E1452" s="6" t="s">
        <v>429</v>
      </c>
      <c r="F1452" s="6" t="s">
        <v>984</v>
      </c>
      <c r="G1452" s="6" t="s">
        <v>812</v>
      </c>
    </row>
    <row r="1453" ht="15.75" customHeight="1">
      <c r="A1453" s="6" t="s">
        <v>935</v>
      </c>
      <c r="B1453" s="6" t="s">
        <v>1822</v>
      </c>
      <c r="C1453" s="6" t="s">
        <v>1854</v>
      </c>
      <c r="D1453" s="6" t="s">
        <v>1814</v>
      </c>
      <c r="E1453" s="6" t="s">
        <v>429</v>
      </c>
      <c r="F1453" s="6" t="s">
        <v>984</v>
      </c>
      <c r="G1453" s="6" t="s">
        <v>930</v>
      </c>
    </row>
    <row r="1454" ht="15.75" customHeight="1">
      <c r="A1454" s="6" t="s">
        <v>935</v>
      </c>
      <c r="B1454" s="6" t="s">
        <v>1822</v>
      </c>
      <c r="C1454" s="6" t="s">
        <v>1854</v>
      </c>
      <c r="D1454" s="6" t="s">
        <v>979</v>
      </c>
      <c r="E1454" s="6" t="s">
        <v>429</v>
      </c>
      <c r="F1454" s="6" t="s">
        <v>984</v>
      </c>
      <c r="G1454" s="6" t="s">
        <v>930</v>
      </c>
    </row>
    <row r="1455" ht="15.75" customHeight="1">
      <c r="A1455" s="6" t="s">
        <v>935</v>
      </c>
      <c r="B1455" s="6" t="s">
        <v>1822</v>
      </c>
      <c r="C1455" s="6" t="s">
        <v>1854</v>
      </c>
      <c r="D1455" s="6" t="s">
        <v>539</v>
      </c>
      <c r="E1455" s="6" t="s">
        <v>429</v>
      </c>
      <c r="F1455" s="6" t="s">
        <v>984</v>
      </c>
      <c r="G1455" s="6" t="s">
        <v>1113</v>
      </c>
    </row>
    <row r="1456" ht="15.75" customHeight="1">
      <c r="A1456" s="6" t="s">
        <v>935</v>
      </c>
      <c r="B1456" s="6" t="s">
        <v>1822</v>
      </c>
      <c r="C1456" s="6" t="s">
        <v>1854</v>
      </c>
      <c r="D1456" s="6" t="s">
        <v>565</v>
      </c>
      <c r="E1456" s="6" t="s">
        <v>429</v>
      </c>
      <c r="F1456" s="6" t="s">
        <v>984</v>
      </c>
      <c r="G1456" s="6" t="s">
        <v>800</v>
      </c>
    </row>
    <row r="1457" ht="15.75" customHeight="1">
      <c r="A1457" s="6" t="s">
        <v>935</v>
      </c>
      <c r="B1457" s="6" t="s">
        <v>1822</v>
      </c>
      <c r="C1457" s="6" t="s">
        <v>1854</v>
      </c>
      <c r="D1457" s="6" t="s">
        <v>428</v>
      </c>
      <c r="E1457" s="6" t="s">
        <v>429</v>
      </c>
      <c r="F1457" s="6" t="s">
        <v>984</v>
      </c>
      <c r="G1457" s="6" t="s">
        <v>1113</v>
      </c>
    </row>
    <row r="1458" ht="15.75" customHeight="1">
      <c r="A1458" s="6" t="s">
        <v>935</v>
      </c>
      <c r="B1458" s="6" t="s">
        <v>1822</v>
      </c>
      <c r="C1458" s="6" t="s">
        <v>1854</v>
      </c>
      <c r="D1458" s="6" t="s">
        <v>539</v>
      </c>
      <c r="E1458" s="6" t="s">
        <v>429</v>
      </c>
      <c r="F1458" s="6" t="s">
        <v>984</v>
      </c>
      <c r="G1458" s="6" t="s">
        <v>1113</v>
      </c>
    </row>
    <row r="1459" ht="15.75" customHeight="1">
      <c r="A1459" s="6" t="s">
        <v>935</v>
      </c>
      <c r="B1459" s="6" t="s">
        <v>1822</v>
      </c>
      <c r="C1459" s="6" t="s">
        <v>1854</v>
      </c>
      <c r="D1459" s="6" t="s">
        <v>565</v>
      </c>
      <c r="E1459" s="6" t="s">
        <v>553</v>
      </c>
      <c r="G1459" s="6" t="s">
        <v>1113</v>
      </c>
    </row>
    <row r="1460" ht="15.75" customHeight="1">
      <c r="A1460" s="6" t="s">
        <v>935</v>
      </c>
      <c r="B1460" s="6" t="s">
        <v>1822</v>
      </c>
      <c r="C1460" s="6" t="s">
        <v>1854</v>
      </c>
      <c r="D1460" s="6" t="s">
        <v>996</v>
      </c>
      <c r="E1460" s="6" t="s">
        <v>429</v>
      </c>
      <c r="F1460" s="6" t="s">
        <v>984</v>
      </c>
      <c r="G1460" s="6" t="s">
        <v>930</v>
      </c>
    </row>
    <row r="1461" ht="15.75" customHeight="1">
      <c r="A1461" s="6" t="s">
        <v>935</v>
      </c>
      <c r="B1461" s="6" t="s">
        <v>1822</v>
      </c>
      <c r="C1461" s="6" t="s">
        <v>1854</v>
      </c>
      <c r="D1461" s="6" t="s">
        <v>501</v>
      </c>
      <c r="E1461" s="6" t="s">
        <v>429</v>
      </c>
      <c r="F1461" s="6" t="s">
        <v>984</v>
      </c>
      <c r="G1461" s="6" t="s">
        <v>800</v>
      </c>
    </row>
    <row r="1462" ht="15.75" customHeight="1">
      <c r="A1462" s="6" t="s">
        <v>935</v>
      </c>
      <c r="B1462" s="6" t="s">
        <v>1822</v>
      </c>
      <c r="C1462" s="6" t="s">
        <v>1854</v>
      </c>
      <c r="D1462" s="6" t="s">
        <v>482</v>
      </c>
      <c r="E1462" s="6" t="s">
        <v>553</v>
      </c>
      <c r="G1462" s="6" t="s">
        <v>812</v>
      </c>
    </row>
    <row r="1463" ht="15.75" customHeight="1">
      <c r="A1463" s="6" t="s">
        <v>935</v>
      </c>
      <c r="B1463" s="6" t="s">
        <v>1822</v>
      </c>
      <c r="C1463" s="6" t="s">
        <v>1854</v>
      </c>
      <c r="D1463" s="6" t="s">
        <v>428</v>
      </c>
      <c r="E1463" s="6" t="s">
        <v>429</v>
      </c>
      <c r="F1463" s="6" t="s">
        <v>984</v>
      </c>
      <c r="G1463" s="6" t="s">
        <v>1113</v>
      </c>
    </row>
    <row r="1464" ht="15.75" customHeight="1">
      <c r="A1464" s="6" t="s">
        <v>935</v>
      </c>
      <c r="B1464" s="6" t="s">
        <v>1822</v>
      </c>
      <c r="C1464" s="6" t="s">
        <v>1854</v>
      </c>
      <c r="D1464" s="6" t="s">
        <v>469</v>
      </c>
      <c r="E1464" s="6" t="s">
        <v>429</v>
      </c>
      <c r="F1464" s="6" t="s">
        <v>984</v>
      </c>
      <c r="G1464" s="6" t="s">
        <v>812</v>
      </c>
    </row>
    <row r="1465" ht="15.75" customHeight="1">
      <c r="A1465" s="6" t="s">
        <v>935</v>
      </c>
      <c r="B1465" s="6" t="s">
        <v>1822</v>
      </c>
      <c r="C1465" s="6" t="s">
        <v>1854</v>
      </c>
      <c r="D1465" s="6" t="s">
        <v>445</v>
      </c>
      <c r="E1465" s="6" t="s">
        <v>429</v>
      </c>
      <c r="F1465" s="6" t="s">
        <v>984</v>
      </c>
      <c r="G1465" s="6" t="s">
        <v>1113</v>
      </c>
    </row>
    <row r="1466" ht="15.75" customHeight="1">
      <c r="A1466" s="6" t="s">
        <v>935</v>
      </c>
      <c r="B1466" s="6" t="s">
        <v>1822</v>
      </c>
      <c r="C1466" s="6" t="s">
        <v>1854</v>
      </c>
      <c r="D1466" s="6" t="s">
        <v>616</v>
      </c>
      <c r="E1466" s="6" t="s">
        <v>429</v>
      </c>
      <c r="F1466" s="6" t="s">
        <v>984</v>
      </c>
      <c r="G1466" s="6" t="s">
        <v>1113</v>
      </c>
    </row>
    <row r="1467" ht="15.75" customHeight="1">
      <c r="A1467" s="6" t="s">
        <v>935</v>
      </c>
      <c r="B1467" s="6" t="s">
        <v>1822</v>
      </c>
      <c r="C1467" s="6" t="s">
        <v>1854</v>
      </c>
      <c r="D1467" s="6" t="s">
        <v>428</v>
      </c>
      <c r="E1467" s="6" t="s">
        <v>429</v>
      </c>
      <c r="F1467" s="6" t="s">
        <v>984</v>
      </c>
      <c r="G1467" s="6" t="s">
        <v>1113</v>
      </c>
    </row>
    <row r="1468" ht="15.75" customHeight="1">
      <c r="A1468" s="6" t="s">
        <v>935</v>
      </c>
      <c r="B1468" s="6" t="s">
        <v>1822</v>
      </c>
      <c r="C1468" s="6" t="s">
        <v>1854</v>
      </c>
      <c r="D1468" s="6" t="s">
        <v>576</v>
      </c>
      <c r="E1468" s="6" t="s">
        <v>429</v>
      </c>
      <c r="F1468" s="6" t="s">
        <v>984</v>
      </c>
      <c r="G1468" s="6" t="s">
        <v>812</v>
      </c>
    </row>
    <row r="1469" ht="15.75" customHeight="1">
      <c r="A1469" s="6" t="s">
        <v>935</v>
      </c>
      <c r="B1469" s="6" t="s">
        <v>1822</v>
      </c>
      <c r="C1469" s="6" t="s">
        <v>1854</v>
      </c>
      <c r="D1469" s="6" t="s">
        <v>435</v>
      </c>
      <c r="E1469" s="6" t="s">
        <v>429</v>
      </c>
      <c r="F1469" s="6" t="s">
        <v>984</v>
      </c>
      <c r="G1469" s="6" t="s">
        <v>812</v>
      </c>
    </row>
    <row r="1470" ht="15.75" customHeight="1">
      <c r="A1470" s="6" t="s">
        <v>935</v>
      </c>
      <c r="B1470" s="6" t="s">
        <v>1822</v>
      </c>
      <c r="C1470" s="6" t="s">
        <v>1854</v>
      </c>
      <c r="D1470" s="6" t="s">
        <v>591</v>
      </c>
      <c r="E1470" s="6" t="s">
        <v>429</v>
      </c>
      <c r="F1470" s="6" t="s">
        <v>984</v>
      </c>
      <c r="G1470" s="6" t="s">
        <v>812</v>
      </c>
    </row>
    <row r="1471" ht="15.75" customHeight="1">
      <c r="A1471" s="6" t="s">
        <v>935</v>
      </c>
      <c r="B1471" s="6" t="s">
        <v>1822</v>
      </c>
      <c r="C1471" s="6" t="s">
        <v>1854</v>
      </c>
      <c r="D1471" s="6" t="s">
        <v>457</v>
      </c>
      <c r="E1471" s="6" t="s">
        <v>429</v>
      </c>
      <c r="F1471" s="6" t="s">
        <v>984</v>
      </c>
      <c r="G1471" s="6" t="s">
        <v>1113</v>
      </c>
    </row>
    <row r="1472" ht="15.75" customHeight="1">
      <c r="A1472" s="6" t="s">
        <v>935</v>
      </c>
      <c r="B1472" s="6" t="s">
        <v>1822</v>
      </c>
      <c r="C1472" s="6" t="s">
        <v>1810</v>
      </c>
      <c r="D1472" s="6" t="s">
        <v>565</v>
      </c>
      <c r="E1472" s="6" t="s">
        <v>429</v>
      </c>
      <c r="F1472" s="6" t="s">
        <v>984</v>
      </c>
      <c r="G1472" s="6" t="s">
        <v>1113</v>
      </c>
    </row>
    <row r="1473" ht="15.75" customHeight="1">
      <c r="A1473" s="6" t="s">
        <v>935</v>
      </c>
      <c r="B1473" s="6" t="s">
        <v>1809</v>
      </c>
      <c r="C1473" s="6" t="s">
        <v>1851</v>
      </c>
      <c r="D1473" s="6" t="s">
        <v>591</v>
      </c>
      <c r="E1473" s="6" t="s">
        <v>429</v>
      </c>
      <c r="F1473" s="6" t="s">
        <v>984</v>
      </c>
      <c r="G1473" s="6" t="s">
        <v>556</v>
      </c>
    </row>
    <row r="1474" ht="15.75" customHeight="1">
      <c r="A1474" s="6" t="s">
        <v>935</v>
      </c>
      <c r="B1474" s="6" t="s">
        <v>1809</v>
      </c>
      <c r="C1474" s="6" t="s">
        <v>1851</v>
      </c>
      <c r="D1474" s="6" t="s">
        <v>469</v>
      </c>
      <c r="E1474" s="6" t="s">
        <v>429</v>
      </c>
      <c r="F1474" s="6" t="s">
        <v>984</v>
      </c>
      <c r="G1474" s="6" t="s">
        <v>556</v>
      </c>
    </row>
    <row r="1475" ht="15.75" customHeight="1">
      <c r="A1475" s="6" t="s">
        <v>935</v>
      </c>
      <c r="B1475" s="6" t="s">
        <v>1809</v>
      </c>
      <c r="C1475" s="6" t="s">
        <v>1851</v>
      </c>
      <c r="D1475" s="6" t="s">
        <v>428</v>
      </c>
      <c r="E1475" s="6" t="s">
        <v>429</v>
      </c>
      <c r="F1475" s="6" t="s">
        <v>984</v>
      </c>
      <c r="G1475" s="6" t="s">
        <v>541</v>
      </c>
    </row>
    <row r="1476" ht="15.75" customHeight="1">
      <c r="A1476" s="6" t="s">
        <v>935</v>
      </c>
      <c r="B1476" s="6" t="s">
        <v>1809</v>
      </c>
      <c r="C1476" s="6" t="s">
        <v>1851</v>
      </c>
      <c r="D1476" s="6" t="s">
        <v>539</v>
      </c>
      <c r="E1476" s="6" t="s">
        <v>429</v>
      </c>
      <c r="F1476" s="6" t="s">
        <v>984</v>
      </c>
      <c r="G1476" s="6" t="s">
        <v>592</v>
      </c>
    </row>
    <row r="1477" ht="15.75" customHeight="1">
      <c r="A1477" s="6" t="s">
        <v>935</v>
      </c>
      <c r="B1477" s="6" t="s">
        <v>1809</v>
      </c>
      <c r="C1477" s="6" t="s">
        <v>1851</v>
      </c>
      <c r="D1477" s="6" t="s">
        <v>576</v>
      </c>
      <c r="E1477" s="6" t="s">
        <v>429</v>
      </c>
      <c r="F1477" s="6" t="s">
        <v>984</v>
      </c>
      <c r="G1477" s="6" t="s">
        <v>592</v>
      </c>
    </row>
    <row r="1478" ht="15.75" customHeight="1">
      <c r="A1478" s="6" t="s">
        <v>935</v>
      </c>
      <c r="B1478" s="6" t="s">
        <v>1809</v>
      </c>
      <c r="C1478" s="6" t="s">
        <v>1851</v>
      </c>
      <c r="D1478" s="6" t="s">
        <v>576</v>
      </c>
      <c r="E1478" s="6" t="s">
        <v>429</v>
      </c>
      <c r="F1478" s="6" t="s">
        <v>984</v>
      </c>
      <c r="G1478" s="6" t="s">
        <v>592</v>
      </c>
    </row>
    <row r="1479" ht="15.75" customHeight="1">
      <c r="A1479" s="6" t="s">
        <v>935</v>
      </c>
      <c r="B1479" s="6" t="s">
        <v>1809</v>
      </c>
      <c r="C1479" s="6" t="s">
        <v>1851</v>
      </c>
      <c r="D1479" s="6" t="s">
        <v>469</v>
      </c>
      <c r="E1479" s="6" t="s">
        <v>429</v>
      </c>
      <c r="F1479" s="6" t="s">
        <v>984</v>
      </c>
      <c r="G1479" s="6" t="s">
        <v>524</v>
      </c>
    </row>
    <row r="1480" ht="15.75" customHeight="1">
      <c r="A1480" s="6" t="s">
        <v>935</v>
      </c>
      <c r="B1480" s="6" t="s">
        <v>1809</v>
      </c>
      <c r="C1480" s="6" t="s">
        <v>1851</v>
      </c>
      <c r="D1480" s="6" t="s">
        <v>469</v>
      </c>
      <c r="E1480" s="6" t="s">
        <v>429</v>
      </c>
      <c r="F1480" s="6" t="s">
        <v>984</v>
      </c>
      <c r="G1480" s="6" t="s">
        <v>459</v>
      </c>
    </row>
    <row r="1481" ht="15.75" customHeight="1">
      <c r="A1481" s="6" t="s">
        <v>935</v>
      </c>
      <c r="B1481" s="6" t="s">
        <v>1809</v>
      </c>
      <c r="C1481" s="6" t="s">
        <v>1851</v>
      </c>
      <c r="D1481" s="6" t="s">
        <v>469</v>
      </c>
      <c r="E1481" s="6" t="s">
        <v>429</v>
      </c>
      <c r="F1481" s="6" t="s">
        <v>984</v>
      </c>
      <c r="G1481" s="6" t="s">
        <v>508</v>
      </c>
    </row>
    <row r="1482" ht="15.75" customHeight="1">
      <c r="A1482" s="6" t="s">
        <v>935</v>
      </c>
      <c r="B1482" s="6" t="s">
        <v>1809</v>
      </c>
      <c r="C1482" s="6" t="s">
        <v>1851</v>
      </c>
      <c r="D1482" s="6" t="s">
        <v>435</v>
      </c>
      <c r="E1482" s="6" t="s">
        <v>429</v>
      </c>
      <c r="F1482" s="6" t="s">
        <v>984</v>
      </c>
      <c r="G1482" s="6" t="s">
        <v>524</v>
      </c>
    </row>
    <row r="1483" ht="15.75" customHeight="1">
      <c r="A1483" s="6" t="s">
        <v>935</v>
      </c>
      <c r="B1483" s="6" t="s">
        <v>1809</v>
      </c>
      <c r="C1483" s="6" t="s">
        <v>1851</v>
      </c>
      <c r="D1483" s="6" t="s">
        <v>435</v>
      </c>
      <c r="E1483" s="6" t="s">
        <v>429</v>
      </c>
      <c r="F1483" s="6" t="s">
        <v>984</v>
      </c>
      <c r="G1483" s="6" t="s">
        <v>524</v>
      </c>
    </row>
    <row r="1484" ht="15.75" customHeight="1">
      <c r="A1484" s="6" t="s">
        <v>935</v>
      </c>
      <c r="B1484" s="6" t="s">
        <v>1809</v>
      </c>
      <c r="C1484" s="6" t="s">
        <v>1851</v>
      </c>
      <c r="D1484" s="6" t="s">
        <v>591</v>
      </c>
      <c r="E1484" s="6" t="s">
        <v>429</v>
      </c>
      <c r="F1484" s="6" t="s">
        <v>984</v>
      </c>
      <c r="G1484" s="6" t="s">
        <v>524</v>
      </c>
    </row>
    <row r="1485" ht="15.75" customHeight="1">
      <c r="A1485" s="6" t="s">
        <v>935</v>
      </c>
      <c r="B1485" s="6" t="s">
        <v>1809</v>
      </c>
      <c r="C1485" s="6" t="s">
        <v>1838</v>
      </c>
      <c r="D1485" s="6" t="s">
        <v>588</v>
      </c>
      <c r="E1485" s="6" t="s">
        <v>429</v>
      </c>
      <c r="F1485" s="6" t="s">
        <v>984</v>
      </c>
      <c r="G1485" s="6" t="s">
        <v>592</v>
      </c>
    </row>
    <row r="1486" ht="15.75" customHeight="1">
      <c r="A1486" s="6" t="s">
        <v>935</v>
      </c>
      <c r="B1486" s="6" t="s">
        <v>1809</v>
      </c>
      <c r="C1486" s="6" t="s">
        <v>1838</v>
      </c>
      <c r="D1486" s="6" t="s">
        <v>539</v>
      </c>
      <c r="E1486" s="6" t="s">
        <v>429</v>
      </c>
      <c r="F1486" s="6" t="s">
        <v>984</v>
      </c>
      <c r="G1486" s="6" t="s">
        <v>541</v>
      </c>
    </row>
    <row r="1487" ht="15.75" customHeight="1">
      <c r="A1487" s="6" t="s">
        <v>935</v>
      </c>
      <c r="B1487" s="6" t="s">
        <v>1809</v>
      </c>
      <c r="C1487" s="6" t="s">
        <v>1838</v>
      </c>
      <c r="D1487" s="6" t="s">
        <v>565</v>
      </c>
      <c r="E1487" s="6" t="s">
        <v>553</v>
      </c>
      <c r="G1487" s="6" t="s">
        <v>592</v>
      </c>
    </row>
    <row r="1488" ht="15.75" customHeight="1">
      <c r="A1488" s="6" t="s">
        <v>935</v>
      </c>
      <c r="B1488" s="6" t="s">
        <v>1809</v>
      </c>
      <c r="C1488" s="6" t="s">
        <v>1838</v>
      </c>
      <c r="D1488" s="6" t="s">
        <v>428</v>
      </c>
      <c r="E1488" s="6" t="s">
        <v>429</v>
      </c>
      <c r="F1488" s="6" t="s">
        <v>984</v>
      </c>
      <c r="G1488" s="6" t="s">
        <v>459</v>
      </c>
    </row>
    <row r="1489" ht="15.75" customHeight="1">
      <c r="A1489" s="6" t="s">
        <v>935</v>
      </c>
      <c r="B1489" s="6" t="s">
        <v>1809</v>
      </c>
      <c r="C1489" s="6" t="s">
        <v>1838</v>
      </c>
      <c r="D1489" s="6" t="s">
        <v>639</v>
      </c>
      <c r="E1489" s="6" t="s">
        <v>429</v>
      </c>
      <c r="F1489" s="6" t="s">
        <v>984</v>
      </c>
      <c r="G1489" s="6" t="s">
        <v>524</v>
      </c>
    </row>
    <row r="1490" ht="15.75" customHeight="1">
      <c r="A1490" s="6" t="s">
        <v>935</v>
      </c>
      <c r="B1490" s="6" t="s">
        <v>1809</v>
      </c>
      <c r="C1490" s="6" t="s">
        <v>1838</v>
      </c>
      <c r="D1490" s="6" t="s">
        <v>973</v>
      </c>
      <c r="E1490" s="6" t="s">
        <v>429</v>
      </c>
      <c r="F1490" s="6" t="s">
        <v>984</v>
      </c>
      <c r="G1490" s="6" t="s">
        <v>592</v>
      </c>
    </row>
    <row r="1491" ht="15.75" customHeight="1">
      <c r="A1491" s="6" t="s">
        <v>935</v>
      </c>
      <c r="B1491" s="6" t="s">
        <v>1809</v>
      </c>
      <c r="C1491" s="6" t="s">
        <v>1838</v>
      </c>
      <c r="D1491" s="6" t="s">
        <v>596</v>
      </c>
      <c r="E1491" s="6" t="s">
        <v>429</v>
      </c>
      <c r="F1491" s="6" t="s">
        <v>984</v>
      </c>
      <c r="G1491" s="6" t="s">
        <v>508</v>
      </c>
    </row>
    <row r="1492" ht="15.75" customHeight="1">
      <c r="A1492" s="6" t="s">
        <v>935</v>
      </c>
      <c r="B1492" s="6" t="s">
        <v>1809</v>
      </c>
      <c r="C1492" s="6" t="s">
        <v>1838</v>
      </c>
      <c r="D1492" s="6" t="s">
        <v>616</v>
      </c>
      <c r="E1492" s="6" t="s">
        <v>429</v>
      </c>
      <c r="F1492" s="6" t="s">
        <v>984</v>
      </c>
      <c r="G1492" s="6" t="s">
        <v>714</v>
      </c>
    </row>
    <row r="1493" ht="15.75" customHeight="1">
      <c r="A1493" s="6" t="s">
        <v>935</v>
      </c>
      <c r="B1493" s="6" t="s">
        <v>1809</v>
      </c>
      <c r="C1493" s="6" t="s">
        <v>1838</v>
      </c>
      <c r="D1493" s="6" t="s">
        <v>576</v>
      </c>
      <c r="E1493" s="6" t="s">
        <v>429</v>
      </c>
      <c r="F1493" s="6" t="s">
        <v>984</v>
      </c>
      <c r="G1493" s="6" t="s">
        <v>438</v>
      </c>
    </row>
    <row r="1494" ht="15.75" customHeight="1">
      <c r="A1494" s="6" t="s">
        <v>935</v>
      </c>
      <c r="B1494" s="6" t="s">
        <v>1809</v>
      </c>
      <c r="C1494" s="6" t="s">
        <v>1838</v>
      </c>
      <c r="D1494" s="6" t="s">
        <v>445</v>
      </c>
      <c r="E1494" s="6" t="s">
        <v>429</v>
      </c>
      <c r="F1494" s="6" t="s">
        <v>984</v>
      </c>
      <c r="G1494" s="6" t="s">
        <v>541</v>
      </c>
    </row>
    <row r="1495" ht="15.75" customHeight="1">
      <c r="A1495" s="6" t="s">
        <v>935</v>
      </c>
      <c r="B1495" s="6" t="s">
        <v>1809</v>
      </c>
      <c r="C1495" s="6" t="s">
        <v>1838</v>
      </c>
      <c r="D1495" s="6" t="s">
        <v>565</v>
      </c>
      <c r="E1495" s="6" t="s">
        <v>429</v>
      </c>
      <c r="F1495" s="6" t="s">
        <v>984</v>
      </c>
      <c r="G1495" s="6" t="s">
        <v>714</v>
      </c>
    </row>
    <row r="1496" ht="15.75" customHeight="1">
      <c r="A1496" s="6" t="s">
        <v>935</v>
      </c>
      <c r="B1496" s="6" t="s">
        <v>1809</v>
      </c>
      <c r="C1496" s="6" t="s">
        <v>1838</v>
      </c>
      <c r="D1496" s="6" t="s">
        <v>428</v>
      </c>
      <c r="E1496" s="6" t="s">
        <v>429</v>
      </c>
      <c r="F1496" s="6" t="s">
        <v>984</v>
      </c>
      <c r="G1496" s="6" t="s">
        <v>592</v>
      </c>
    </row>
    <row r="1497" ht="15.75" customHeight="1">
      <c r="A1497" s="6" t="s">
        <v>935</v>
      </c>
      <c r="B1497" s="6" t="s">
        <v>1809</v>
      </c>
      <c r="C1497" s="6" t="s">
        <v>1838</v>
      </c>
      <c r="D1497" s="6" t="s">
        <v>616</v>
      </c>
      <c r="E1497" s="6" t="s">
        <v>429</v>
      </c>
      <c r="F1497" s="6" t="s">
        <v>984</v>
      </c>
      <c r="G1497" s="6" t="s">
        <v>541</v>
      </c>
    </row>
    <row r="1498" ht="15.75" customHeight="1">
      <c r="A1498" s="6" t="s">
        <v>935</v>
      </c>
      <c r="B1498" s="6" t="s">
        <v>1809</v>
      </c>
      <c r="C1498" s="6" t="s">
        <v>1838</v>
      </c>
      <c r="D1498" s="6" t="s">
        <v>596</v>
      </c>
      <c r="E1498" s="6" t="s">
        <v>429</v>
      </c>
      <c r="F1498" s="6" t="s">
        <v>984</v>
      </c>
      <c r="G1498" s="6" t="s">
        <v>524</v>
      </c>
    </row>
    <row r="1499" ht="15.75" customHeight="1">
      <c r="A1499" s="6" t="s">
        <v>935</v>
      </c>
      <c r="B1499" s="6" t="s">
        <v>1809</v>
      </c>
      <c r="C1499" s="6" t="s">
        <v>1838</v>
      </c>
      <c r="D1499" s="6" t="s">
        <v>639</v>
      </c>
      <c r="E1499" s="6" t="s">
        <v>553</v>
      </c>
      <c r="G1499" s="6" t="s">
        <v>714</v>
      </c>
    </row>
    <row r="1500" ht="15.75" customHeight="1">
      <c r="A1500" s="6" t="s">
        <v>935</v>
      </c>
      <c r="B1500" s="6" t="s">
        <v>1809</v>
      </c>
      <c r="C1500" s="6" t="s">
        <v>1838</v>
      </c>
      <c r="D1500" s="6" t="s">
        <v>457</v>
      </c>
      <c r="E1500" s="6" t="s">
        <v>429</v>
      </c>
      <c r="F1500" s="6" t="s">
        <v>984</v>
      </c>
      <c r="G1500" s="6" t="s">
        <v>541</v>
      </c>
    </row>
    <row r="1501" ht="15.75" customHeight="1">
      <c r="A1501" s="6" t="s">
        <v>935</v>
      </c>
      <c r="B1501" s="6" t="s">
        <v>1809</v>
      </c>
      <c r="C1501" s="6" t="s">
        <v>1838</v>
      </c>
      <c r="D1501" s="6" t="s">
        <v>588</v>
      </c>
      <c r="E1501" s="6" t="s">
        <v>429</v>
      </c>
      <c r="F1501" s="6" t="s">
        <v>984</v>
      </c>
      <c r="G1501" s="6" t="s">
        <v>556</v>
      </c>
    </row>
    <row r="1502" ht="15.75" customHeight="1">
      <c r="A1502" s="6" t="s">
        <v>935</v>
      </c>
      <c r="B1502" s="6" t="s">
        <v>1809</v>
      </c>
      <c r="C1502" s="6" t="s">
        <v>1838</v>
      </c>
      <c r="D1502" s="6" t="s">
        <v>501</v>
      </c>
      <c r="E1502" s="6" t="s">
        <v>429</v>
      </c>
      <c r="F1502" s="6" t="s">
        <v>984</v>
      </c>
      <c r="G1502" s="6" t="s">
        <v>714</v>
      </c>
    </row>
    <row r="1503" ht="15.75" customHeight="1">
      <c r="A1503" s="6" t="s">
        <v>935</v>
      </c>
      <c r="B1503" s="6" t="s">
        <v>1809</v>
      </c>
      <c r="C1503" s="6" t="s">
        <v>1838</v>
      </c>
      <c r="D1503" s="6" t="s">
        <v>639</v>
      </c>
      <c r="E1503" s="6" t="s">
        <v>429</v>
      </c>
      <c r="F1503" s="6" t="s">
        <v>984</v>
      </c>
      <c r="G1503" s="6" t="s">
        <v>556</v>
      </c>
    </row>
    <row r="1504" ht="15.75" customHeight="1">
      <c r="A1504" s="6" t="s">
        <v>935</v>
      </c>
      <c r="B1504" s="6" t="s">
        <v>1809</v>
      </c>
      <c r="C1504" s="6" t="s">
        <v>1838</v>
      </c>
      <c r="D1504" s="6" t="s">
        <v>596</v>
      </c>
      <c r="E1504" s="6" t="s">
        <v>429</v>
      </c>
      <c r="F1504" s="6" t="s">
        <v>984</v>
      </c>
      <c r="G1504" s="6" t="s">
        <v>592</v>
      </c>
    </row>
    <row r="1505" ht="15.75" customHeight="1">
      <c r="A1505" s="6" t="s">
        <v>935</v>
      </c>
      <c r="B1505" s="6" t="s">
        <v>1809</v>
      </c>
      <c r="C1505" s="6" t="s">
        <v>1838</v>
      </c>
      <c r="D1505" s="6" t="s">
        <v>639</v>
      </c>
      <c r="E1505" s="6" t="s">
        <v>429</v>
      </c>
      <c r="F1505" s="6" t="s">
        <v>984</v>
      </c>
      <c r="G1505" s="6" t="s">
        <v>592</v>
      </c>
    </row>
    <row r="1506" ht="15.75" customHeight="1">
      <c r="A1506" s="6" t="s">
        <v>935</v>
      </c>
      <c r="B1506" s="6" t="s">
        <v>1809</v>
      </c>
      <c r="C1506" s="6" t="s">
        <v>1838</v>
      </c>
      <c r="D1506" s="6" t="s">
        <v>588</v>
      </c>
      <c r="E1506" s="6" t="s">
        <v>429</v>
      </c>
      <c r="F1506" s="6" t="s">
        <v>984</v>
      </c>
      <c r="G1506" s="6" t="s">
        <v>508</v>
      </c>
    </row>
    <row r="1507" ht="15.75" customHeight="1">
      <c r="A1507" s="6" t="s">
        <v>935</v>
      </c>
      <c r="B1507" s="6" t="s">
        <v>1809</v>
      </c>
      <c r="C1507" s="6" t="s">
        <v>1854</v>
      </c>
      <c r="D1507" s="6" t="s">
        <v>588</v>
      </c>
      <c r="E1507" s="6" t="s">
        <v>429</v>
      </c>
      <c r="F1507" s="6" t="s">
        <v>984</v>
      </c>
      <c r="G1507" s="6" t="s">
        <v>714</v>
      </c>
    </row>
    <row r="1508" ht="15.75" customHeight="1">
      <c r="A1508" s="6" t="s">
        <v>935</v>
      </c>
      <c r="B1508" s="6" t="s">
        <v>1809</v>
      </c>
      <c r="C1508" s="6" t="s">
        <v>1854</v>
      </c>
      <c r="D1508" s="6" t="s">
        <v>445</v>
      </c>
      <c r="E1508" s="6" t="s">
        <v>429</v>
      </c>
      <c r="F1508" s="6" t="s">
        <v>984</v>
      </c>
      <c r="G1508" s="6" t="s">
        <v>714</v>
      </c>
    </row>
    <row r="1509" ht="15.75" customHeight="1">
      <c r="A1509" s="6" t="s">
        <v>935</v>
      </c>
      <c r="B1509" s="6" t="s">
        <v>1809</v>
      </c>
      <c r="C1509" s="6" t="s">
        <v>1854</v>
      </c>
      <c r="D1509" s="6" t="s">
        <v>539</v>
      </c>
      <c r="E1509" s="6" t="s">
        <v>429</v>
      </c>
      <c r="F1509" s="6" t="s">
        <v>984</v>
      </c>
      <c r="G1509" s="6" t="s">
        <v>714</v>
      </c>
    </row>
    <row r="1510" ht="15.75" customHeight="1">
      <c r="A1510" s="6" t="s">
        <v>935</v>
      </c>
      <c r="B1510" s="6" t="s">
        <v>1809</v>
      </c>
      <c r="C1510" s="6" t="s">
        <v>1854</v>
      </c>
      <c r="D1510" s="6" t="s">
        <v>591</v>
      </c>
      <c r="E1510" s="6" t="s">
        <v>429</v>
      </c>
      <c r="F1510" s="6" t="s">
        <v>984</v>
      </c>
      <c r="G1510" s="6" t="s">
        <v>438</v>
      </c>
    </row>
    <row r="1511" ht="15.75" customHeight="1">
      <c r="A1511" s="6" t="s">
        <v>935</v>
      </c>
      <c r="B1511" s="6" t="s">
        <v>1809</v>
      </c>
      <c r="C1511" s="6" t="s">
        <v>1854</v>
      </c>
      <c r="D1511" s="6" t="s">
        <v>588</v>
      </c>
      <c r="E1511" s="6" t="s">
        <v>429</v>
      </c>
      <c r="F1511" s="6" t="s">
        <v>984</v>
      </c>
      <c r="G1511" s="6" t="s">
        <v>714</v>
      </c>
    </row>
    <row r="1512" ht="15.75" customHeight="1">
      <c r="A1512" s="6" t="s">
        <v>935</v>
      </c>
      <c r="B1512" s="6" t="s">
        <v>1809</v>
      </c>
      <c r="C1512" s="6" t="s">
        <v>1854</v>
      </c>
      <c r="D1512" s="6" t="s">
        <v>445</v>
      </c>
      <c r="E1512" s="6" t="s">
        <v>429</v>
      </c>
      <c r="F1512" s="6" t="s">
        <v>984</v>
      </c>
      <c r="G1512" s="6" t="s">
        <v>714</v>
      </c>
    </row>
    <row r="1513" ht="15.75" customHeight="1">
      <c r="A1513" s="6" t="s">
        <v>935</v>
      </c>
      <c r="B1513" s="6" t="s">
        <v>1809</v>
      </c>
      <c r="C1513" s="6" t="s">
        <v>1854</v>
      </c>
      <c r="D1513" s="6" t="s">
        <v>565</v>
      </c>
      <c r="E1513" s="6" t="s">
        <v>429</v>
      </c>
      <c r="F1513" s="6" t="s">
        <v>984</v>
      </c>
      <c r="G1513" s="6" t="s">
        <v>592</v>
      </c>
    </row>
    <row r="1514" ht="15.75" customHeight="1">
      <c r="A1514" s="6" t="s">
        <v>935</v>
      </c>
      <c r="B1514" s="6" t="s">
        <v>1822</v>
      </c>
      <c r="C1514" s="6" t="s">
        <v>1853</v>
      </c>
      <c r="D1514" s="6" t="s">
        <v>539</v>
      </c>
      <c r="E1514" s="6" t="s">
        <v>429</v>
      </c>
      <c r="F1514" s="6" t="s">
        <v>984</v>
      </c>
      <c r="G1514" s="6" t="s">
        <v>800</v>
      </c>
    </row>
    <row r="1515" ht="15.75" customHeight="1">
      <c r="A1515" s="6" t="s">
        <v>935</v>
      </c>
      <c r="B1515" s="6" t="s">
        <v>1809</v>
      </c>
      <c r="C1515" s="6" t="s">
        <v>1850</v>
      </c>
      <c r="D1515" s="6" t="s">
        <v>428</v>
      </c>
      <c r="E1515" s="6" t="s">
        <v>429</v>
      </c>
      <c r="F1515" s="6" t="s">
        <v>984</v>
      </c>
      <c r="G1515" s="6" t="s">
        <v>325</v>
      </c>
    </row>
    <row r="1516" ht="15.75" customHeight="1">
      <c r="A1516" s="6" t="s">
        <v>978</v>
      </c>
      <c r="B1516" s="6" t="s">
        <v>1809</v>
      </c>
      <c r="C1516" s="6" t="s">
        <v>1810</v>
      </c>
      <c r="D1516" s="6" t="s">
        <v>565</v>
      </c>
      <c r="E1516" s="6" t="s">
        <v>429</v>
      </c>
      <c r="F1516" s="6" t="s">
        <v>984</v>
      </c>
      <c r="G1516" s="6" t="s">
        <v>946</v>
      </c>
    </row>
    <row r="1517" ht="15.75" customHeight="1">
      <c r="A1517" s="6" t="s">
        <v>978</v>
      </c>
      <c r="B1517" s="6" t="s">
        <v>1809</v>
      </c>
      <c r="C1517" s="6" t="s">
        <v>1810</v>
      </c>
      <c r="D1517" s="6" t="s">
        <v>616</v>
      </c>
      <c r="E1517" s="6" t="s">
        <v>429</v>
      </c>
      <c r="F1517" s="6" t="s">
        <v>984</v>
      </c>
      <c r="G1517" s="6" t="s">
        <v>946</v>
      </c>
    </row>
    <row r="1518" ht="15.75" customHeight="1">
      <c r="A1518" s="6" t="s">
        <v>978</v>
      </c>
      <c r="B1518" s="6" t="s">
        <v>1809</v>
      </c>
      <c r="C1518" s="6" t="s">
        <v>1810</v>
      </c>
      <c r="D1518" s="6" t="s">
        <v>596</v>
      </c>
      <c r="E1518" s="6" t="s">
        <v>429</v>
      </c>
      <c r="F1518" s="6" t="s">
        <v>984</v>
      </c>
      <c r="G1518" s="6" t="s">
        <v>438</v>
      </c>
    </row>
    <row r="1519" ht="15.75" customHeight="1">
      <c r="A1519" s="6" t="s">
        <v>978</v>
      </c>
      <c r="B1519" s="6" t="s">
        <v>1809</v>
      </c>
      <c r="C1519" s="6" t="s">
        <v>1810</v>
      </c>
      <c r="D1519" s="6" t="s">
        <v>588</v>
      </c>
      <c r="E1519" s="6" t="s">
        <v>429</v>
      </c>
      <c r="F1519" s="6" t="s">
        <v>984</v>
      </c>
      <c r="G1519" s="6" t="s">
        <v>430</v>
      </c>
    </row>
    <row r="1520" ht="15.75" customHeight="1">
      <c r="A1520" s="6" t="s">
        <v>978</v>
      </c>
      <c r="B1520" s="6" t="s">
        <v>1809</v>
      </c>
      <c r="C1520" s="6" t="s">
        <v>1810</v>
      </c>
      <c r="D1520" s="6" t="s">
        <v>482</v>
      </c>
      <c r="E1520" s="6" t="s">
        <v>429</v>
      </c>
      <c r="F1520" s="6" t="s">
        <v>984</v>
      </c>
      <c r="G1520" s="6" t="s">
        <v>136</v>
      </c>
    </row>
    <row r="1521" ht="15.75" customHeight="1">
      <c r="A1521" s="6" t="s">
        <v>978</v>
      </c>
      <c r="B1521" s="6" t="s">
        <v>1809</v>
      </c>
      <c r="C1521" s="6" t="s">
        <v>1810</v>
      </c>
      <c r="D1521" s="6" t="s">
        <v>501</v>
      </c>
      <c r="E1521" s="6" t="s">
        <v>429</v>
      </c>
      <c r="F1521" s="6" t="s">
        <v>984</v>
      </c>
      <c r="G1521" s="6" t="s">
        <v>438</v>
      </c>
    </row>
    <row r="1522" ht="15.75" customHeight="1">
      <c r="A1522" s="6" t="s">
        <v>978</v>
      </c>
      <c r="B1522" s="6" t="s">
        <v>1809</v>
      </c>
      <c r="C1522" s="6" t="s">
        <v>1810</v>
      </c>
      <c r="D1522" s="6" t="s">
        <v>596</v>
      </c>
      <c r="E1522" s="6" t="s">
        <v>429</v>
      </c>
      <c r="F1522" s="6" t="s">
        <v>984</v>
      </c>
      <c r="G1522" s="6" t="s">
        <v>438</v>
      </c>
    </row>
    <row r="1523" ht="15.75" customHeight="1">
      <c r="A1523" s="6" t="s">
        <v>978</v>
      </c>
      <c r="B1523" s="6" t="s">
        <v>1809</v>
      </c>
      <c r="C1523" s="6" t="s">
        <v>1810</v>
      </c>
      <c r="D1523" s="6" t="s">
        <v>1013</v>
      </c>
      <c r="E1523" s="6" t="s">
        <v>429</v>
      </c>
      <c r="F1523" s="6" t="s">
        <v>984</v>
      </c>
      <c r="G1523" s="6" t="s">
        <v>240</v>
      </c>
    </row>
    <row r="1524" ht="15.75" customHeight="1">
      <c r="A1524" s="6" t="s">
        <v>978</v>
      </c>
      <c r="B1524" s="6" t="s">
        <v>1809</v>
      </c>
      <c r="C1524" s="6" t="s">
        <v>1810</v>
      </c>
      <c r="D1524" s="6" t="s">
        <v>1013</v>
      </c>
      <c r="E1524" s="6" t="s">
        <v>429</v>
      </c>
      <c r="F1524" s="6" t="s">
        <v>984</v>
      </c>
      <c r="G1524" s="6" t="s">
        <v>240</v>
      </c>
    </row>
    <row r="1525" ht="15.75" customHeight="1">
      <c r="A1525" s="6" t="s">
        <v>978</v>
      </c>
      <c r="B1525" s="6" t="s">
        <v>1809</v>
      </c>
      <c r="C1525" s="6" t="s">
        <v>1810</v>
      </c>
      <c r="D1525" s="6" t="s">
        <v>973</v>
      </c>
      <c r="E1525" s="6" t="s">
        <v>429</v>
      </c>
      <c r="F1525" s="6" t="s">
        <v>984</v>
      </c>
      <c r="G1525" s="6" t="s">
        <v>430</v>
      </c>
    </row>
    <row r="1526" ht="15.75" customHeight="1">
      <c r="A1526" s="6" t="s">
        <v>978</v>
      </c>
      <c r="B1526" s="6" t="s">
        <v>1809</v>
      </c>
      <c r="C1526" s="6" t="s">
        <v>1810</v>
      </c>
      <c r="D1526" s="6" t="s">
        <v>639</v>
      </c>
      <c r="E1526" s="6" t="s">
        <v>429</v>
      </c>
      <c r="F1526" s="6" t="s">
        <v>984</v>
      </c>
      <c r="G1526" s="6" t="s">
        <v>430</v>
      </c>
    </row>
    <row r="1527" ht="15.75" customHeight="1">
      <c r="A1527" s="6" t="s">
        <v>978</v>
      </c>
      <c r="B1527" s="6" t="s">
        <v>1809</v>
      </c>
      <c r="C1527" s="6" t="s">
        <v>1810</v>
      </c>
      <c r="D1527" s="6" t="s">
        <v>482</v>
      </c>
      <c r="E1527" s="6" t="s">
        <v>429</v>
      </c>
      <c r="F1527" s="6" t="s">
        <v>984</v>
      </c>
      <c r="G1527" s="6" t="s">
        <v>240</v>
      </c>
    </row>
    <row r="1528" ht="15.75" customHeight="1">
      <c r="A1528" s="6" t="s">
        <v>978</v>
      </c>
      <c r="B1528" s="6" t="s">
        <v>1809</v>
      </c>
      <c r="C1528" s="6" t="s">
        <v>1810</v>
      </c>
      <c r="D1528" s="6" t="s">
        <v>482</v>
      </c>
      <c r="E1528" s="6" t="s">
        <v>429</v>
      </c>
      <c r="F1528" s="6" t="s">
        <v>984</v>
      </c>
      <c r="G1528" s="6" t="s">
        <v>240</v>
      </c>
    </row>
    <row r="1529" ht="15.75" customHeight="1">
      <c r="A1529" s="6" t="s">
        <v>978</v>
      </c>
      <c r="B1529" s="6" t="s">
        <v>1809</v>
      </c>
      <c r="C1529" s="6" t="s">
        <v>1810</v>
      </c>
      <c r="D1529" s="6" t="s">
        <v>588</v>
      </c>
      <c r="E1529" s="6" t="s">
        <v>553</v>
      </c>
      <c r="G1529" s="6" t="s">
        <v>459</v>
      </c>
    </row>
    <row r="1530" ht="15.75" customHeight="1">
      <c r="A1530" s="6" t="s">
        <v>978</v>
      </c>
      <c r="B1530" s="6" t="s">
        <v>1809</v>
      </c>
      <c r="C1530" s="6" t="s">
        <v>1810</v>
      </c>
      <c r="D1530" s="6" t="s">
        <v>596</v>
      </c>
      <c r="E1530" s="6" t="s">
        <v>429</v>
      </c>
      <c r="F1530" s="6" t="s">
        <v>984</v>
      </c>
      <c r="G1530" s="6" t="s">
        <v>438</v>
      </c>
    </row>
    <row r="1531" ht="15.75" customHeight="1">
      <c r="A1531" s="6" t="s">
        <v>978</v>
      </c>
      <c r="B1531" s="6" t="s">
        <v>1809</v>
      </c>
      <c r="C1531" s="6" t="s">
        <v>1810</v>
      </c>
      <c r="D1531" s="6" t="s">
        <v>457</v>
      </c>
      <c r="E1531" s="6" t="s">
        <v>429</v>
      </c>
      <c r="F1531" s="6" t="s">
        <v>984</v>
      </c>
      <c r="G1531" s="6" t="s">
        <v>946</v>
      </c>
    </row>
    <row r="1532" ht="15.75" customHeight="1">
      <c r="A1532" s="6" t="s">
        <v>978</v>
      </c>
      <c r="B1532" s="6" t="s">
        <v>1809</v>
      </c>
      <c r="C1532" s="6" t="s">
        <v>1810</v>
      </c>
      <c r="D1532" s="6" t="s">
        <v>996</v>
      </c>
      <c r="E1532" s="6" t="s">
        <v>429</v>
      </c>
      <c r="F1532" s="6" t="s">
        <v>984</v>
      </c>
      <c r="G1532" s="6" t="s">
        <v>240</v>
      </c>
    </row>
    <row r="1533" ht="15.75" customHeight="1">
      <c r="A1533" s="6" t="s">
        <v>978</v>
      </c>
      <c r="B1533" s="6" t="s">
        <v>1809</v>
      </c>
      <c r="C1533" s="6" t="s">
        <v>1810</v>
      </c>
      <c r="D1533" s="6" t="s">
        <v>996</v>
      </c>
      <c r="E1533" s="6" t="s">
        <v>429</v>
      </c>
      <c r="F1533" s="6" t="s">
        <v>984</v>
      </c>
      <c r="G1533" s="6" t="s">
        <v>240</v>
      </c>
    </row>
    <row r="1534" ht="15.75" customHeight="1">
      <c r="A1534" s="6" t="s">
        <v>978</v>
      </c>
      <c r="B1534" s="6" t="s">
        <v>1809</v>
      </c>
      <c r="C1534" s="6" t="s">
        <v>1810</v>
      </c>
      <c r="D1534" s="6" t="s">
        <v>596</v>
      </c>
      <c r="E1534" s="6" t="s">
        <v>429</v>
      </c>
      <c r="F1534" s="6" t="s">
        <v>984</v>
      </c>
      <c r="G1534" s="6" t="s">
        <v>508</v>
      </c>
    </row>
    <row r="1535" ht="15.75" customHeight="1">
      <c r="A1535" s="6" t="s">
        <v>978</v>
      </c>
      <c r="B1535" s="6" t="s">
        <v>1809</v>
      </c>
      <c r="C1535" s="6" t="s">
        <v>1810</v>
      </c>
      <c r="D1535" s="6" t="s">
        <v>501</v>
      </c>
      <c r="E1535" s="6" t="s">
        <v>429</v>
      </c>
      <c r="F1535" s="6" t="s">
        <v>984</v>
      </c>
      <c r="G1535" s="6" t="s">
        <v>459</v>
      </c>
    </row>
    <row r="1536" ht="15.75" customHeight="1">
      <c r="A1536" s="6" t="s">
        <v>978</v>
      </c>
      <c r="B1536" s="6" t="s">
        <v>1809</v>
      </c>
      <c r="C1536" s="6" t="s">
        <v>1810</v>
      </c>
      <c r="D1536" s="6" t="s">
        <v>596</v>
      </c>
      <c r="E1536" s="6" t="s">
        <v>429</v>
      </c>
      <c r="F1536" s="6" t="s">
        <v>984</v>
      </c>
      <c r="G1536" s="6" t="s">
        <v>438</v>
      </c>
    </row>
    <row r="1537" ht="15.75" customHeight="1">
      <c r="A1537" s="6" t="s">
        <v>978</v>
      </c>
      <c r="B1537" s="6" t="s">
        <v>1809</v>
      </c>
      <c r="C1537" s="6" t="s">
        <v>1810</v>
      </c>
      <c r="D1537" s="6" t="s">
        <v>639</v>
      </c>
      <c r="E1537" s="6" t="s">
        <v>429</v>
      </c>
      <c r="F1537" s="6" t="s">
        <v>984</v>
      </c>
      <c r="G1537" s="6" t="s">
        <v>438</v>
      </c>
    </row>
    <row r="1538" ht="15.75" customHeight="1">
      <c r="A1538" s="6" t="s">
        <v>978</v>
      </c>
      <c r="B1538" s="6" t="s">
        <v>1809</v>
      </c>
      <c r="C1538" s="6" t="s">
        <v>1810</v>
      </c>
      <c r="D1538" s="6" t="s">
        <v>539</v>
      </c>
      <c r="E1538" s="6" t="s">
        <v>429</v>
      </c>
      <c r="F1538" s="6" t="s">
        <v>984</v>
      </c>
      <c r="G1538" s="6" t="s">
        <v>541</v>
      </c>
    </row>
    <row r="1539" ht="15.75" customHeight="1">
      <c r="A1539" s="6" t="s">
        <v>978</v>
      </c>
      <c r="B1539" s="6" t="s">
        <v>1809</v>
      </c>
      <c r="C1539" s="6" t="s">
        <v>1810</v>
      </c>
      <c r="D1539" s="6" t="s">
        <v>596</v>
      </c>
      <c r="E1539" s="6" t="s">
        <v>429</v>
      </c>
      <c r="F1539" s="6" t="s">
        <v>984</v>
      </c>
      <c r="G1539" s="6" t="s">
        <v>224</v>
      </c>
    </row>
    <row r="1540" ht="15.75" customHeight="1">
      <c r="A1540" s="6" t="s">
        <v>978</v>
      </c>
      <c r="B1540" s="6" t="s">
        <v>1809</v>
      </c>
      <c r="C1540" s="6" t="s">
        <v>1810</v>
      </c>
      <c r="D1540" s="6" t="s">
        <v>482</v>
      </c>
      <c r="E1540" s="6" t="s">
        <v>553</v>
      </c>
      <c r="G1540" s="6" t="s">
        <v>508</v>
      </c>
    </row>
    <row r="1541" ht="15.75" customHeight="1">
      <c r="A1541" s="6" t="s">
        <v>978</v>
      </c>
      <c r="B1541" s="6" t="s">
        <v>1809</v>
      </c>
      <c r="C1541" s="6" t="s">
        <v>1810</v>
      </c>
      <c r="D1541" s="6" t="s">
        <v>588</v>
      </c>
      <c r="E1541" s="6" t="s">
        <v>429</v>
      </c>
      <c r="F1541" s="6" t="s">
        <v>984</v>
      </c>
      <c r="G1541" s="6" t="s">
        <v>438</v>
      </c>
    </row>
    <row r="1542" ht="15.75" customHeight="1">
      <c r="A1542" s="6" t="s">
        <v>978</v>
      </c>
      <c r="B1542" s="6" t="s">
        <v>1809</v>
      </c>
      <c r="C1542" s="6" t="s">
        <v>1810</v>
      </c>
      <c r="D1542" s="6" t="s">
        <v>616</v>
      </c>
      <c r="E1542" s="6" t="s">
        <v>553</v>
      </c>
      <c r="G1542" s="6" t="s">
        <v>438</v>
      </c>
    </row>
    <row r="1543" ht="15.75" customHeight="1">
      <c r="A1543" s="6" t="s">
        <v>978</v>
      </c>
      <c r="B1543" s="6" t="s">
        <v>1809</v>
      </c>
      <c r="C1543" s="6" t="s">
        <v>1810</v>
      </c>
      <c r="D1543" s="6" t="s">
        <v>501</v>
      </c>
      <c r="E1543" s="6" t="s">
        <v>429</v>
      </c>
      <c r="F1543" s="6" t="s">
        <v>984</v>
      </c>
      <c r="G1543" s="6" t="s">
        <v>438</v>
      </c>
    </row>
    <row r="1544" ht="15.75" customHeight="1">
      <c r="A1544" s="6" t="s">
        <v>978</v>
      </c>
      <c r="B1544" s="6" t="s">
        <v>1809</v>
      </c>
      <c r="C1544" s="6" t="s">
        <v>1810</v>
      </c>
      <c r="D1544" s="6" t="s">
        <v>482</v>
      </c>
      <c r="E1544" s="6" t="s">
        <v>429</v>
      </c>
      <c r="F1544" s="6" t="s">
        <v>984</v>
      </c>
      <c r="G1544" s="6" t="s">
        <v>438</v>
      </c>
    </row>
    <row r="1545" ht="15.75" customHeight="1">
      <c r="A1545" s="6" t="s">
        <v>978</v>
      </c>
      <c r="B1545" s="6" t="s">
        <v>1809</v>
      </c>
      <c r="C1545" s="6" t="s">
        <v>1810</v>
      </c>
      <c r="D1545" s="6" t="s">
        <v>457</v>
      </c>
      <c r="E1545" s="6" t="s">
        <v>429</v>
      </c>
      <c r="F1545" s="6" t="s">
        <v>984</v>
      </c>
      <c r="G1545" s="6" t="s">
        <v>541</v>
      </c>
    </row>
    <row r="1546" ht="15.75" customHeight="1">
      <c r="A1546" s="6" t="s">
        <v>978</v>
      </c>
      <c r="B1546" s="6" t="s">
        <v>1809</v>
      </c>
      <c r="C1546" s="6" t="s">
        <v>1810</v>
      </c>
      <c r="D1546" s="6" t="s">
        <v>445</v>
      </c>
      <c r="E1546" s="6" t="s">
        <v>429</v>
      </c>
      <c r="F1546" s="6" t="s">
        <v>984</v>
      </c>
      <c r="G1546" s="6" t="s">
        <v>541</v>
      </c>
    </row>
    <row r="1547" ht="15.75" customHeight="1">
      <c r="A1547" s="6" t="s">
        <v>978</v>
      </c>
      <c r="B1547" s="6" t="s">
        <v>1809</v>
      </c>
      <c r="C1547" s="6" t="s">
        <v>1810</v>
      </c>
      <c r="D1547" s="6" t="s">
        <v>428</v>
      </c>
      <c r="E1547" s="6" t="s">
        <v>429</v>
      </c>
      <c r="F1547" s="6" t="s">
        <v>984</v>
      </c>
      <c r="G1547" s="6" t="s">
        <v>438</v>
      </c>
    </row>
    <row r="1548" ht="15.75" customHeight="1">
      <c r="A1548" s="6" t="s">
        <v>978</v>
      </c>
      <c r="B1548" s="6" t="s">
        <v>1809</v>
      </c>
      <c r="C1548" s="6" t="s">
        <v>1810</v>
      </c>
      <c r="D1548" s="6" t="s">
        <v>596</v>
      </c>
      <c r="E1548" s="6" t="s">
        <v>429</v>
      </c>
      <c r="F1548" s="6" t="s">
        <v>984</v>
      </c>
      <c r="G1548" s="6" t="s">
        <v>430</v>
      </c>
    </row>
    <row r="1549" ht="15.75" customHeight="1">
      <c r="A1549" s="6" t="s">
        <v>978</v>
      </c>
      <c r="B1549" s="6" t="s">
        <v>1809</v>
      </c>
      <c r="C1549" s="6" t="s">
        <v>1810</v>
      </c>
      <c r="D1549" s="6" t="s">
        <v>445</v>
      </c>
      <c r="E1549" s="6" t="s">
        <v>553</v>
      </c>
      <c r="G1549" s="6" t="s">
        <v>438</v>
      </c>
    </row>
    <row r="1550" ht="15.75" customHeight="1">
      <c r="A1550" s="6" t="s">
        <v>978</v>
      </c>
      <c r="B1550" s="6" t="s">
        <v>1809</v>
      </c>
      <c r="C1550" s="6" t="s">
        <v>1810</v>
      </c>
      <c r="D1550" s="6" t="s">
        <v>428</v>
      </c>
      <c r="E1550" s="6" t="s">
        <v>553</v>
      </c>
      <c r="G1550" s="6" t="s">
        <v>430</v>
      </c>
    </row>
    <row r="1551" ht="15.75" customHeight="1">
      <c r="A1551" s="6" t="s">
        <v>978</v>
      </c>
      <c r="B1551" s="6" t="s">
        <v>1809</v>
      </c>
      <c r="C1551" s="6" t="s">
        <v>1810</v>
      </c>
      <c r="D1551" s="6" t="s">
        <v>428</v>
      </c>
      <c r="E1551" s="6" t="s">
        <v>429</v>
      </c>
      <c r="F1551" s="6" t="s">
        <v>984</v>
      </c>
      <c r="G1551" s="6" t="s">
        <v>459</v>
      </c>
    </row>
    <row r="1552" ht="15.75" customHeight="1">
      <c r="A1552" s="6" t="s">
        <v>978</v>
      </c>
      <c r="B1552" s="6" t="s">
        <v>1809</v>
      </c>
      <c r="C1552" s="6" t="s">
        <v>1810</v>
      </c>
      <c r="D1552" s="6" t="s">
        <v>428</v>
      </c>
      <c r="E1552" s="6" t="s">
        <v>429</v>
      </c>
      <c r="F1552" s="6" t="s">
        <v>984</v>
      </c>
      <c r="G1552" s="6" t="s">
        <v>459</v>
      </c>
    </row>
    <row r="1553" ht="15.75" customHeight="1">
      <c r="A1553" s="6" t="s">
        <v>978</v>
      </c>
      <c r="B1553" s="6" t="s">
        <v>1809</v>
      </c>
      <c r="C1553" s="6" t="s">
        <v>1810</v>
      </c>
      <c r="D1553" s="6" t="s">
        <v>445</v>
      </c>
      <c r="E1553" s="6" t="s">
        <v>429</v>
      </c>
      <c r="F1553" s="6" t="s">
        <v>984</v>
      </c>
      <c r="G1553" s="6" t="s">
        <v>459</v>
      </c>
    </row>
    <row r="1554" ht="15.75" customHeight="1">
      <c r="A1554" s="6" t="s">
        <v>978</v>
      </c>
      <c r="B1554" s="6" t="s">
        <v>1809</v>
      </c>
      <c r="C1554" s="6" t="s">
        <v>1810</v>
      </c>
      <c r="D1554" s="6" t="s">
        <v>616</v>
      </c>
      <c r="E1554" s="6" t="s">
        <v>429</v>
      </c>
      <c r="F1554" s="6" t="s">
        <v>984</v>
      </c>
      <c r="G1554" s="6" t="s">
        <v>438</v>
      </c>
    </row>
    <row r="1555" ht="15.75" customHeight="1">
      <c r="A1555" s="6" t="s">
        <v>978</v>
      </c>
      <c r="B1555" s="6" t="s">
        <v>1809</v>
      </c>
      <c r="C1555" s="6" t="s">
        <v>1810</v>
      </c>
      <c r="D1555" s="6" t="s">
        <v>576</v>
      </c>
      <c r="E1555" s="6" t="s">
        <v>429</v>
      </c>
      <c r="F1555" s="6" t="s">
        <v>984</v>
      </c>
      <c r="G1555" s="6" t="s">
        <v>343</v>
      </c>
    </row>
    <row r="1556" ht="15.75" customHeight="1">
      <c r="A1556" s="6" t="s">
        <v>978</v>
      </c>
      <c r="B1556" s="6" t="s">
        <v>1809</v>
      </c>
      <c r="C1556" s="6" t="s">
        <v>1810</v>
      </c>
      <c r="D1556" s="6" t="s">
        <v>539</v>
      </c>
      <c r="E1556" s="6" t="s">
        <v>30</v>
      </c>
      <c r="F1556" s="6" t="s">
        <v>984</v>
      </c>
      <c r="G1556" s="6" t="s">
        <v>459</v>
      </c>
    </row>
    <row r="1557" ht="15.75" customHeight="1">
      <c r="A1557" s="6" t="s">
        <v>978</v>
      </c>
      <c r="B1557" s="6" t="s">
        <v>1809</v>
      </c>
      <c r="C1557" s="6" t="s">
        <v>1810</v>
      </c>
      <c r="D1557" s="6" t="s">
        <v>501</v>
      </c>
      <c r="E1557" s="6" t="s">
        <v>429</v>
      </c>
      <c r="F1557" s="6" t="s">
        <v>984</v>
      </c>
      <c r="G1557" s="6" t="s">
        <v>946</v>
      </c>
    </row>
    <row r="1558" ht="15.75" customHeight="1">
      <c r="A1558" s="6" t="s">
        <v>978</v>
      </c>
      <c r="B1558" s="6" t="s">
        <v>1809</v>
      </c>
      <c r="C1558" s="6" t="s">
        <v>1810</v>
      </c>
      <c r="D1558" s="6" t="s">
        <v>445</v>
      </c>
      <c r="E1558" s="6" t="s">
        <v>429</v>
      </c>
      <c r="F1558" s="6" t="s">
        <v>984</v>
      </c>
      <c r="G1558" s="6" t="s">
        <v>946</v>
      </c>
    </row>
    <row r="1559" ht="15.75" customHeight="1">
      <c r="A1559" s="6" t="s">
        <v>978</v>
      </c>
      <c r="B1559" s="6" t="s">
        <v>1809</v>
      </c>
      <c r="C1559" s="6" t="s">
        <v>1810</v>
      </c>
      <c r="D1559" s="6" t="s">
        <v>435</v>
      </c>
      <c r="E1559" s="6" t="s">
        <v>429</v>
      </c>
      <c r="F1559" s="6" t="s">
        <v>984</v>
      </c>
      <c r="G1559" s="6" t="s">
        <v>438</v>
      </c>
    </row>
    <row r="1560" ht="15.75" customHeight="1">
      <c r="A1560" s="6" t="s">
        <v>978</v>
      </c>
      <c r="B1560" s="6" t="s">
        <v>1809</v>
      </c>
      <c r="C1560" s="6" t="s">
        <v>1810</v>
      </c>
      <c r="D1560" s="6" t="s">
        <v>565</v>
      </c>
      <c r="E1560" s="6" t="s">
        <v>429</v>
      </c>
      <c r="F1560" s="6" t="s">
        <v>984</v>
      </c>
      <c r="G1560" s="6" t="s">
        <v>556</v>
      </c>
    </row>
    <row r="1561" ht="15.75" customHeight="1">
      <c r="A1561" s="6" t="s">
        <v>978</v>
      </c>
      <c r="B1561" s="6" t="s">
        <v>1809</v>
      </c>
      <c r="C1561" s="6" t="s">
        <v>1810</v>
      </c>
      <c r="D1561" s="6" t="s">
        <v>616</v>
      </c>
      <c r="E1561" s="6" t="s">
        <v>429</v>
      </c>
      <c r="F1561" s="6" t="s">
        <v>984</v>
      </c>
      <c r="G1561" s="6" t="s">
        <v>541</v>
      </c>
    </row>
    <row r="1562" ht="15.75" customHeight="1">
      <c r="A1562" s="6" t="s">
        <v>978</v>
      </c>
      <c r="B1562" s="6" t="s">
        <v>1809</v>
      </c>
      <c r="C1562" s="6" t="s">
        <v>1810</v>
      </c>
      <c r="D1562" s="6" t="s">
        <v>616</v>
      </c>
      <c r="E1562" s="6" t="s">
        <v>429</v>
      </c>
      <c r="F1562" s="6" t="s">
        <v>984</v>
      </c>
      <c r="G1562" s="6" t="s">
        <v>438</v>
      </c>
    </row>
    <row r="1563" ht="15.75" customHeight="1">
      <c r="A1563" s="6" t="s">
        <v>978</v>
      </c>
      <c r="B1563" s="6" t="s">
        <v>1809</v>
      </c>
      <c r="C1563" s="6" t="s">
        <v>1837</v>
      </c>
      <c r="D1563" s="6" t="s">
        <v>428</v>
      </c>
      <c r="E1563" s="6" t="s">
        <v>429</v>
      </c>
      <c r="F1563" s="6" t="s">
        <v>984</v>
      </c>
      <c r="G1563" s="6" t="s">
        <v>430</v>
      </c>
    </row>
    <row r="1564" ht="15.75" customHeight="1">
      <c r="A1564" s="6" t="s">
        <v>978</v>
      </c>
      <c r="B1564" s="6" t="s">
        <v>1809</v>
      </c>
      <c r="C1564" s="6" t="s">
        <v>1837</v>
      </c>
      <c r="D1564" s="6" t="s">
        <v>435</v>
      </c>
      <c r="E1564" s="6" t="s">
        <v>429</v>
      </c>
      <c r="F1564" s="6" t="s">
        <v>984</v>
      </c>
      <c r="G1564" s="6" t="s">
        <v>438</v>
      </c>
    </row>
    <row r="1565" ht="15.75" customHeight="1">
      <c r="A1565" s="6" t="s">
        <v>978</v>
      </c>
      <c r="B1565" s="6" t="s">
        <v>1809</v>
      </c>
      <c r="C1565" s="6" t="s">
        <v>1837</v>
      </c>
      <c r="D1565" s="6" t="s">
        <v>445</v>
      </c>
      <c r="E1565" s="6" t="s">
        <v>429</v>
      </c>
      <c r="F1565" s="6" t="s">
        <v>984</v>
      </c>
      <c r="G1565" s="6" t="s">
        <v>325</v>
      </c>
    </row>
    <row r="1566" ht="15.75" customHeight="1">
      <c r="A1566" s="6" t="s">
        <v>978</v>
      </c>
      <c r="B1566" s="6" t="s">
        <v>1809</v>
      </c>
      <c r="C1566" s="6" t="s">
        <v>1837</v>
      </c>
      <c r="D1566" s="6" t="s">
        <v>457</v>
      </c>
      <c r="E1566" s="6" t="s">
        <v>429</v>
      </c>
      <c r="F1566" s="6" t="s">
        <v>984</v>
      </c>
      <c r="G1566" s="6" t="s">
        <v>459</v>
      </c>
    </row>
    <row r="1567" ht="15.75" customHeight="1">
      <c r="A1567" s="6" t="s">
        <v>978</v>
      </c>
      <c r="B1567" s="6" t="s">
        <v>1809</v>
      </c>
      <c r="C1567" s="6" t="s">
        <v>1837</v>
      </c>
      <c r="D1567" s="6" t="s">
        <v>435</v>
      </c>
      <c r="E1567" s="6" t="s">
        <v>429</v>
      </c>
      <c r="F1567" s="6" t="s">
        <v>984</v>
      </c>
      <c r="G1567" s="6" t="s">
        <v>459</v>
      </c>
    </row>
    <row r="1568" ht="15.75" customHeight="1">
      <c r="A1568" s="6" t="s">
        <v>978</v>
      </c>
      <c r="B1568" s="6" t="s">
        <v>1809</v>
      </c>
      <c r="C1568" s="6" t="s">
        <v>1837</v>
      </c>
      <c r="D1568" s="6" t="s">
        <v>469</v>
      </c>
      <c r="E1568" s="6" t="s">
        <v>429</v>
      </c>
      <c r="F1568" s="6" t="s">
        <v>984</v>
      </c>
      <c r="G1568" s="6" t="s">
        <v>224</v>
      </c>
    </row>
    <row r="1569" ht="15.75" customHeight="1">
      <c r="A1569" s="6" t="s">
        <v>978</v>
      </c>
      <c r="B1569" s="6" t="s">
        <v>1809</v>
      </c>
      <c r="C1569" s="6" t="s">
        <v>1837</v>
      </c>
      <c r="D1569" s="6" t="s">
        <v>482</v>
      </c>
      <c r="E1569" s="6" t="s">
        <v>429</v>
      </c>
      <c r="F1569" s="6" t="s">
        <v>984</v>
      </c>
      <c r="G1569" s="6" t="s">
        <v>224</v>
      </c>
    </row>
    <row r="1570" ht="15.75" customHeight="1">
      <c r="A1570" s="6" t="s">
        <v>978</v>
      </c>
      <c r="B1570" s="6" t="s">
        <v>1809</v>
      </c>
      <c r="C1570" s="6" t="s">
        <v>1837</v>
      </c>
      <c r="D1570" s="6" t="s">
        <v>435</v>
      </c>
      <c r="E1570" s="6" t="s">
        <v>429</v>
      </c>
      <c r="F1570" s="6" t="s">
        <v>984</v>
      </c>
      <c r="G1570" s="6" t="s">
        <v>508</v>
      </c>
    </row>
    <row r="1571" ht="15.75" customHeight="1">
      <c r="A1571" s="6" t="s">
        <v>978</v>
      </c>
      <c r="B1571" s="6" t="s">
        <v>1809</v>
      </c>
      <c r="C1571" s="6" t="s">
        <v>1837</v>
      </c>
      <c r="D1571" s="6" t="s">
        <v>979</v>
      </c>
      <c r="E1571" s="6" t="s">
        <v>429</v>
      </c>
      <c r="F1571" s="6" t="s">
        <v>984</v>
      </c>
      <c r="G1571" s="6" t="s">
        <v>240</v>
      </c>
    </row>
    <row r="1572" ht="15.75" customHeight="1">
      <c r="A1572" s="6" t="s">
        <v>978</v>
      </c>
      <c r="B1572" s="6" t="s">
        <v>1809</v>
      </c>
      <c r="C1572" s="6" t="s">
        <v>1837</v>
      </c>
      <c r="D1572" s="6" t="s">
        <v>476</v>
      </c>
      <c r="E1572" s="6" t="s">
        <v>429</v>
      </c>
      <c r="F1572" s="6" t="s">
        <v>984</v>
      </c>
      <c r="G1572" s="6" t="s">
        <v>240</v>
      </c>
    </row>
    <row r="1573" ht="15.75" customHeight="1">
      <c r="A1573" s="6" t="s">
        <v>978</v>
      </c>
      <c r="B1573" s="6" t="s">
        <v>1809</v>
      </c>
      <c r="C1573" s="6" t="s">
        <v>1837</v>
      </c>
      <c r="D1573" s="6" t="s">
        <v>501</v>
      </c>
      <c r="E1573" s="6" t="s">
        <v>553</v>
      </c>
      <c r="G1573" s="6" t="s">
        <v>325</v>
      </c>
    </row>
    <row r="1574" ht="15.75" customHeight="1">
      <c r="A1574" s="6" t="s">
        <v>978</v>
      </c>
      <c r="B1574" s="6" t="s">
        <v>1809</v>
      </c>
      <c r="C1574" s="6" t="s">
        <v>1837</v>
      </c>
      <c r="D1574" s="6" t="s">
        <v>973</v>
      </c>
      <c r="E1574" s="6" t="s">
        <v>429</v>
      </c>
      <c r="F1574" s="6" t="s">
        <v>984</v>
      </c>
      <c r="G1574" s="6" t="s">
        <v>240</v>
      </c>
    </row>
    <row r="1575" ht="15.75" customHeight="1">
      <c r="A1575" s="6" t="s">
        <v>978</v>
      </c>
      <c r="B1575" s="6" t="s">
        <v>1809</v>
      </c>
      <c r="C1575" s="6" t="s">
        <v>1837</v>
      </c>
      <c r="D1575" s="6" t="s">
        <v>469</v>
      </c>
      <c r="E1575" s="6" t="s">
        <v>429</v>
      </c>
      <c r="F1575" s="6" t="s">
        <v>984</v>
      </c>
      <c r="G1575" s="6" t="s">
        <v>508</v>
      </c>
    </row>
    <row r="1576" ht="15.75" customHeight="1">
      <c r="A1576" s="6" t="s">
        <v>978</v>
      </c>
      <c r="B1576" s="6" t="s">
        <v>1822</v>
      </c>
      <c r="C1576" s="6" t="s">
        <v>1854</v>
      </c>
      <c r="D1576" s="6" t="s">
        <v>565</v>
      </c>
      <c r="E1576" s="6" t="s">
        <v>429</v>
      </c>
      <c r="F1576" s="6" t="s">
        <v>984</v>
      </c>
      <c r="G1576" s="6" t="s">
        <v>712</v>
      </c>
    </row>
    <row r="1577" ht="15.75" customHeight="1">
      <c r="A1577" s="6" t="s">
        <v>978</v>
      </c>
      <c r="B1577" s="6" t="s">
        <v>1822</v>
      </c>
      <c r="C1577" s="6" t="s">
        <v>1854</v>
      </c>
      <c r="D1577" s="6" t="s">
        <v>428</v>
      </c>
      <c r="E1577" s="6" t="s">
        <v>429</v>
      </c>
      <c r="F1577" s="6" t="s">
        <v>984</v>
      </c>
      <c r="G1577" s="6" t="s">
        <v>712</v>
      </c>
    </row>
    <row r="1578" ht="15.75" customHeight="1">
      <c r="A1578" s="6" t="s">
        <v>978</v>
      </c>
      <c r="B1578" s="6" t="s">
        <v>1822</v>
      </c>
      <c r="C1578" s="6" t="s">
        <v>1854</v>
      </c>
      <c r="D1578" s="6" t="s">
        <v>539</v>
      </c>
      <c r="E1578" s="6" t="s">
        <v>429</v>
      </c>
      <c r="F1578" s="6" t="s">
        <v>984</v>
      </c>
      <c r="G1578" s="6" t="s">
        <v>812</v>
      </c>
    </row>
    <row r="1579" ht="15.75" customHeight="1">
      <c r="A1579" s="6" t="s">
        <v>978</v>
      </c>
      <c r="B1579" s="6" t="s">
        <v>1822</v>
      </c>
      <c r="C1579" s="6" t="s">
        <v>1854</v>
      </c>
      <c r="D1579" s="6" t="s">
        <v>457</v>
      </c>
      <c r="E1579" s="6" t="s">
        <v>429</v>
      </c>
      <c r="F1579" s="6" t="s">
        <v>984</v>
      </c>
      <c r="G1579" s="6" t="s">
        <v>712</v>
      </c>
    </row>
    <row r="1580" ht="15.75" customHeight="1">
      <c r="A1580" s="6" t="s">
        <v>978</v>
      </c>
      <c r="B1580" s="6" t="s">
        <v>1822</v>
      </c>
      <c r="C1580" s="6" t="s">
        <v>1854</v>
      </c>
      <c r="D1580" s="6" t="s">
        <v>482</v>
      </c>
      <c r="E1580" s="6" t="s">
        <v>429</v>
      </c>
      <c r="F1580" s="6" t="s">
        <v>984</v>
      </c>
      <c r="G1580" s="6" t="s">
        <v>800</v>
      </c>
    </row>
    <row r="1581" ht="15.75" customHeight="1">
      <c r="A1581" s="6" t="s">
        <v>978</v>
      </c>
      <c r="B1581" s="6" t="s">
        <v>1822</v>
      </c>
      <c r="C1581" s="6" t="s">
        <v>1854</v>
      </c>
      <c r="D1581" s="6" t="s">
        <v>445</v>
      </c>
      <c r="E1581" s="6" t="s">
        <v>429</v>
      </c>
      <c r="F1581" s="6" t="s">
        <v>984</v>
      </c>
      <c r="G1581" s="6" t="s">
        <v>812</v>
      </c>
    </row>
    <row r="1582" ht="15.75" customHeight="1">
      <c r="A1582" s="6" t="s">
        <v>978</v>
      </c>
      <c r="B1582" s="6" t="s">
        <v>1822</v>
      </c>
      <c r="C1582" s="6" t="s">
        <v>1854</v>
      </c>
      <c r="D1582" s="6" t="s">
        <v>469</v>
      </c>
      <c r="E1582" s="6" t="s">
        <v>429</v>
      </c>
      <c r="F1582" s="6" t="s">
        <v>984</v>
      </c>
      <c r="G1582" s="6" t="s">
        <v>1113</v>
      </c>
    </row>
    <row r="1583" ht="15.75" customHeight="1">
      <c r="A1583" s="6" t="s">
        <v>978</v>
      </c>
      <c r="B1583" s="6" t="s">
        <v>1822</v>
      </c>
      <c r="C1583" s="6" t="s">
        <v>1854</v>
      </c>
      <c r="D1583" s="6" t="s">
        <v>501</v>
      </c>
      <c r="E1583" s="6" t="s">
        <v>429</v>
      </c>
      <c r="F1583" s="6" t="s">
        <v>984</v>
      </c>
      <c r="G1583" s="6" t="s">
        <v>1113</v>
      </c>
    </row>
    <row r="1584" ht="15.75" customHeight="1">
      <c r="A1584" s="6" t="s">
        <v>978</v>
      </c>
      <c r="B1584" s="6" t="s">
        <v>1822</v>
      </c>
      <c r="C1584" s="6" t="s">
        <v>1854</v>
      </c>
      <c r="D1584" s="6" t="s">
        <v>639</v>
      </c>
      <c r="E1584" s="6" t="s">
        <v>429</v>
      </c>
      <c r="F1584" s="6" t="s">
        <v>984</v>
      </c>
      <c r="G1584" s="6" t="s">
        <v>812</v>
      </c>
    </row>
    <row r="1585" ht="15.75" customHeight="1">
      <c r="A1585" s="6" t="s">
        <v>978</v>
      </c>
      <c r="B1585" s="6" t="s">
        <v>1822</v>
      </c>
      <c r="C1585" s="6" t="s">
        <v>1854</v>
      </c>
      <c r="D1585" s="6" t="s">
        <v>576</v>
      </c>
      <c r="E1585" s="6" t="s">
        <v>429</v>
      </c>
      <c r="F1585" s="6" t="s">
        <v>984</v>
      </c>
      <c r="G1585" s="6" t="s">
        <v>1113</v>
      </c>
    </row>
    <row r="1586" ht="15.75" customHeight="1">
      <c r="A1586" s="6" t="s">
        <v>978</v>
      </c>
      <c r="B1586" s="6" t="s">
        <v>1822</v>
      </c>
      <c r="C1586" s="6" t="s">
        <v>1854</v>
      </c>
      <c r="D1586" s="6" t="s">
        <v>596</v>
      </c>
      <c r="E1586" s="6" t="s">
        <v>429</v>
      </c>
      <c r="F1586" s="6" t="s">
        <v>984</v>
      </c>
      <c r="G1586" s="6" t="s">
        <v>1113</v>
      </c>
    </row>
    <row r="1587" ht="15.75" customHeight="1">
      <c r="A1587" s="6" t="s">
        <v>978</v>
      </c>
      <c r="B1587" s="6" t="s">
        <v>1822</v>
      </c>
      <c r="C1587" s="6" t="s">
        <v>1854</v>
      </c>
      <c r="D1587" s="6" t="s">
        <v>469</v>
      </c>
      <c r="E1587" s="6" t="s">
        <v>429</v>
      </c>
      <c r="F1587" s="6" t="s">
        <v>984</v>
      </c>
      <c r="G1587" s="6" t="s">
        <v>1113</v>
      </c>
    </row>
    <row r="1588" ht="15.75" customHeight="1">
      <c r="A1588" s="6" t="s">
        <v>978</v>
      </c>
      <c r="B1588" s="6" t="s">
        <v>1822</v>
      </c>
      <c r="C1588" s="6" t="s">
        <v>1854</v>
      </c>
      <c r="D1588" s="6" t="s">
        <v>539</v>
      </c>
      <c r="E1588" s="6" t="s">
        <v>429</v>
      </c>
      <c r="F1588" s="6" t="s">
        <v>984</v>
      </c>
      <c r="G1588" s="6" t="s">
        <v>812</v>
      </c>
    </row>
    <row r="1589" ht="15.75" customHeight="1">
      <c r="A1589" s="6" t="s">
        <v>978</v>
      </c>
      <c r="B1589" s="6" t="s">
        <v>1822</v>
      </c>
      <c r="C1589" s="6" t="s">
        <v>1854</v>
      </c>
      <c r="D1589" s="6" t="s">
        <v>457</v>
      </c>
      <c r="E1589" s="6" t="s">
        <v>429</v>
      </c>
      <c r="F1589" s="6" t="s">
        <v>984</v>
      </c>
      <c r="G1589" s="6" t="s">
        <v>812</v>
      </c>
    </row>
    <row r="1590" ht="15.75" customHeight="1">
      <c r="A1590" s="6" t="s">
        <v>978</v>
      </c>
      <c r="B1590" s="6" t="s">
        <v>1822</v>
      </c>
      <c r="C1590" s="6" t="s">
        <v>1854</v>
      </c>
      <c r="D1590" s="6" t="s">
        <v>591</v>
      </c>
      <c r="E1590" s="6" t="s">
        <v>429</v>
      </c>
      <c r="F1590" s="6" t="s">
        <v>984</v>
      </c>
      <c r="G1590" s="6" t="s">
        <v>800</v>
      </c>
    </row>
    <row r="1591" ht="15.75" customHeight="1">
      <c r="A1591" s="6" t="s">
        <v>978</v>
      </c>
      <c r="B1591" s="6" t="s">
        <v>1822</v>
      </c>
      <c r="C1591" s="6" t="s">
        <v>1854</v>
      </c>
      <c r="D1591" s="6" t="s">
        <v>482</v>
      </c>
      <c r="E1591" s="6" t="s">
        <v>429</v>
      </c>
      <c r="F1591" s="6" t="s">
        <v>984</v>
      </c>
      <c r="G1591" s="6" t="s">
        <v>1113</v>
      </c>
    </row>
    <row r="1592" ht="15.75" customHeight="1">
      <c r="A1592" s="6" t="s">
        <v>978</v>
      </c>
      <c r="B1592" s="6" t="s">
        <v>1822</v>
      </c>
      <c r="C1592" s="6" t="s">
        <v>1854</v>
      </c>
      <c r="D1592" s="6" t="s">
        <v>616</v>
      </c>
      <c r="E1592" s="6" t="s">
        <v>429</v>
      </c>
      <c r="F1592" s="6" t="s">
        <v>984</v>
      </c>
      <c r="G1592" s="6" t="s">
        <v>812</v>
      </c>
    </row>
    <row r="1593" ht="15.75" customHeight="1">
      <c r="A1593" s="6" t="s">
        <v>978</v>
      </c>
      <c r="B1593" s="6" t="s">
        <v>1822</v>
      </c>
      <c r="C1593" s="6" t="s">
        <v>1854</v>
      </c>
      <c r="D1593" s="6" t="s">
        <v>596</v>
      </c>
      <c r="E1593" s="6" t="s">
        <v>429</v>
      </c>
      <c r="F1593" s="6" t="s">
        <v>984</v>
      </c>
      <c r="G1593" s="6" t="s">
        <v>812</v>
      </c>
    </row>
    <row r="1594" ht="15.75" customHeight="1">
      <c r="A1594" s="6" t="s">
        <v>978</v>
      </c>
      <c r="B1594" s="6" t="s">
        <v>1822</v>
      </c>
      <c r="C1594" s="6" t="s">
        <v>1854</v>
      </c>
      <c r="D1594" s="6" t="s">
        <v>469</v>
      </c>
      <c r="E1594" s="6" t="s">
        <v>429</v>
      </c>
      <c r="F1594" s="6" t="s">
        <v>984</v>
      </c>
      <c r="G1594" s="6" t="s">
        <v>800</v>
      </c>
    </row>
    <row r="1595" ht="15.75" customHeight="1">
      <c r="A1595" s="6" t="s">
        <v>978</v>
      </c>
      <c r="B1595" s="6" t="s">
        <v>1822</v>
      </c>
      <c r="C1595" s="6" t="s">
        <v>1854</v>
      </c>
      <c r="D1595" s="6" t="s">
        <v>469</v>
      </c>
      <c r="E1595" s="6" t="s">
        <v>429</v>
      </c>
      <c r="F1595" s="6" t="s">
        <v>984</v>
      </c>
      <c r="G1595" s="6" t="s">
        <v>1113</v>
      </c>
    </row>
    <row r="1596" ht="15.75" customHeight="1">
      <c r="A1596" s="6" t="s">
        <v>978</v>
      </c>
      <c r="B1596" s="6" t="s">
        <v>1822</v>
      </c>
      <c r="C1596" s="6" t="s">
        <v>1854</v>
      </c>
      <c r="D1596" s="6" t="s">
        <v>588</v>
      </c>
      <c r="E1596" s="6" t="s">
        <v>429</v>
      </c>
      <c r="F1596" s="6" t="s">
        <v>984</v>
      </c>
      <c r="G1596" s="6" t="s">
        <v>812</v>
      </c>
    </row>
    <row r="1597" ht="15.75" customHeight="1">
      <c r="A1597" s="6" t="s">
        <v>978</v>
      </c>
      <c r="B1597" s="6" t="s">
        <v>1822</v>
      </c>
      <c r="C1597" s="6" t="s">
        <v>1854</v>
      </c>
      <c r="D1597" s="6" t="s">
        <v>482</v>
      </c>
      <c r="E1597" s="6" t="s">
        <v>429</v>
      </c>
      <c r="F1597" s="6" t="s">
        <v>984</v>
      </c>
      <c r="G1597" s="6" t="s">
        <v>1113</v>
      </c>
    </row>
    <row r="1598" ht="15.75" customHeight="1">
      <c r="A1598" s="6" t="s">
        <v>978</v>
      </c>
      <c r="B1598" s="6" t="s">
        <v>1822</v>
      </c>
      <c r="C1598" s="6" t="s">
        <v>1854</v>
      </c>
      <c r="D1598" s="6" t="s">
        <v>428</v>
      </c>
      <c r="E1598" s="6" t="s">
        <v>429</v>
      </c>
      <c r="F1598" s="6" t="s">
        <v>984</v>
      </c>
      <c r="G1598" s="6" t="s">
        <v>1113</v>
      </c>
    </row>
    <row r="1599" ht="15.75" customHeight="1">
      <c r="A1599" s="6" t="s">
        <v>978</v>
      </c>
      <c r="B1599" s="6" t="s">
        <v>1822</v>
      </c>
      <c r="C1599" s="6" t="s">
        <v>1854</v>
      </c>
      <c r="D1599" s="6" t="s">
        <v>591</v>
      </c>
      <c r="E1599" s="6" t="s">
        <v>429</v>
      </c>
      <c r="F1599" s="6" t="s">
        <v>984</v>
      </c>
      <c r="G1599" s="6" t="s">
        <v>1113</v>
      </c>
    </row>
    <row r="1600" ht="15.75" customHeight="1">
      <c r="A1600" s="6" t="s">
        <v>978</v>
      </c>
      <c r="B1600" s="6" t="s">
        <v>1822</v>
      </c>
      <c r="C1600" s="6" t="s">
        <v>1854</v>
      </c>
      <c r="D1600" s="6" t="s">
        <v>565</v>
      </c>
      <c r="E1600" s="6" t="s">
        <v>429</v>
      </c>
      <c r="F1600" s="6" t="s">
        <v>984</v>
      </c>
      <c r="G1600" s="6" t="s">
        <v>1113</v>
      </c>
    </row>
    <row r="1601" ht="15.75" customHeight="1">
      <c r="A1601" s="6" t="s">
        <v>978</v>
      </c>
      <c r="B1601" s="6" t="s">
        <v>1822</v>
      </c>
      <c r="C1601" s="6" t="s">
        <v>1854</v>
      </c>
      <c r="D1601" s="6" t="s">
        <v>591</v>
      </c>
      <c r="E1601" s="6" t="s">
        <v>429</v>
      </c>
      <c r="F1601" s="6" t="s">
        <v>984</v>
      </c>
      <c r="G1601" s="6" t="s">
        <v>1113</v>
      </c>
    </row>
    <row r="1602" ht="15.75" customHeight="1">
      <c r="A1602" s="6" t="s">
        <v>978</v>
      </c>
      <c r="B1602" s="6" t="s">
        <v>1822</v>
      </c>
      <c r="C1602" s="6" t="s">
        <v>1854</v>
      </c>
      <c r="D1602" s="6" t="s">
        <v>428</v>
      </c>
      <c r="E1602" s="6" t="s">
        <v>429</v>
      </c>
      <c r="F1602" s="6" t="s">
        <v>984</v>
      </c>
      <c r="G1602" s="6" t="s">
        <v>1113</v>
      </c>
    </row>
    <row r="1603" ht="15.75" customHeight="1">
      <c r="A1603" s="6" t="s">
        <v>978</v>
      </c>
      <c r="B1603" s="6" t="s">
        <v>1822</v>
      </c>
      <c r="C1603" s="6" t="s">
        <v>1854</v>
      </c>
      <c r="D1603" s="6" t="s">
        <v>428</v>
      </c>
      <c r="E1603" s="6" t="s">
        <v>429</v>
      </c>
      <c r="F1603" s="6" t="s">
        <v>984</v>
      </c>
      <c r="G1603" s="6" t="s">
        <v>812</v>
      </c>
    </row>
    <row r="1604" ht="15.75" customHeight="1">
      <c r="A1604" s="6" t="s">
        <v>978</v>
      </c>
      <c r="B1604" s="6" t="s">
        <v>1822</v>
      </c>
      <c r="C1604" s="6" t="s">
        <v>1854</v>
      </c>
      <c r="D1604" s="6" t="s">
        <v>616</v>
      </c>
      <c r="E1604" s="6" t="s">
        <v>429</v>
      </c>
      <c r="F1604" s="6" t="s">
        <v>984</v>
      </c>
      <c r="G1604" s="6" t="s">
        <v>712</v>
      </c>
    </row>
    <row r="1605" ht="15.75" customHeight="1">
      <c r="A1605" s="6" t="s">
        <v>978</v>
      </c>
      <c r="B1605" s="6" t="s">
        <v>1822</v>
      </c>
      <c r="C1605" s="6" t="s">
        <v>1866</v>
      </c>
      <c r="D1605" s="6" t="s">
        <v>501</v>
      </c>
      <c r="E1605" s="6" t="s">
        <v>429</v>
      </c>
      <c r="F1605" s="6" t="s">
        <v>984</v>
      </c>
      <c r="G1605" s="6" t="s">
        <v>712</v>
      </c>
    </row>
    <row r="1606" ht="15.75" customHeight="1">
      <c r="A1606" s="6" t="s">
        <v>978</v>
      </c>
      <c r="B1606" s="6" t="s">
        <v>1822</v>
      </c>
      <c r="C1606" s="6" t="s">
        <v>1836</v>
      </c>
      <c r="D1606" s="6" t="s">
        <v>445</v>
      </c>
      <c r="E1606" s="6" t="s">
        <v>429</v>
      </c>
      <c r="F1606" s="6" t="s">
        <v>984</v>
      </c>
      <c r="G1606" s="6" t="s">
        <v>712</v>
      </c>
    </row>
    <row r="1607" ht="15.75" customHeight="1">
      <c r="A1607" s="6" t="s">
        <v>978</v>
      </c>
      <c r="B1607" s="6" t="s">
        <v>1809</v>
      </c>
      <c r="C1607" s="6" t="s">
        <v>1851</v>
      </c>
      <c r="D1607" s="6" t="s">
        <v>457</v>
      </c>
      <c r="E1607" s="6" t="s">
        <v>429</v>
      </c>
      <c r="F1607" s="6" t="s">
        <v>984</v>
      </c>
      <c r="G1607" s="6" t="s">
        <v>459</v>
      </c>
    </row>
    <row r="1608" ht="15.75" customHeight="1">
      <c r="A1608" s="6" t="s">
        <v>978</v>
      </c>
      <c r="B1608" s="6" t="s">
        <v>1809</v>
      </c>
      <c r="C1608" s="6" t="s">
        <v>1851</v>
      </c>
      <c r="D1608" s="6" t="s">
        <v>616</v>
      </c>
      <c r="E1608" s="6" t="s">
        <v>429</v>
      </c>
      <c r="F1608" s="6" t="s">
        <v>984</v>
      </c>
      <c r="G1608" s="6" t="s">
        <v>541</v>
      </c>
    </row>
    <row r="1609" ht="15.75" customHeight="1">
      <c r="A1609" s="6" t="s">
        <v>978</v>
      </c>
      <c r="B1609" s="6" t="s">
        <v>1809</v>
      </c>
      <c r="C1609" s="6" t="s">
        <v>1851</v>
      </c>
      <c r="D1609" s="6" t="s">
        <v>469</v>
      </c>
      <c r="E1609" s="6" t="s">
        <v>429</v>
      </c>
      <c r="F1609" s="6" t="s">
        <v>984</v>
      </c>
      <c r="G1609" s="6" t="s">
        <v>459</v>
      </c>
    </row>
    <row r="1610" ht="15.75" customHeight="1">
      <c r="A1610" s="6" t="s">
        <v>978</v>
      </c>
      <c r="B1610" s="6" t="s">
        <v>1809</v>
      </c>
      <c r="C1610" s="6" t="s">
        <v>1851</v>
      </c>
      <c r="D1610" s="6" t="s">
        <v>435</v>
      </c>
      <c r="E1610" s="6" t="s">
        <v>553</v>
      </c>
      <c r="G1610" s="6" t="s">
        <v>459</v>
      </c>
    </row>
    <row r="1611" ht="15.75" customHeight="1">
      <c r="A1611" s="6" t="s">
        <v>978</v>
      </c>
      <c r="B1611" s="6" t="s">
        <v>1809</v>
      </c>
      <c r="C1611" s="6" t="s">
        <v>1851</v>
      </c>
      <c r="D1611" s="6" t="s">
        <v>469</v>
      </c>
      <c r="E1611" s="6" t="s">
        <v>553</v>
      </c>
      <c r="G1611" s="6" t="s">
        <v>508</v>
      </c>
    </row>
    <row r="1612" ht="15.75" customHeight="1">
      <c r="A1612" s="6" t="s">
        <v>978</v>
      </c>
      <c r="B1612" s="6" t="s">
        <v>1809</v>
      </c>
      <c r="C1612" s="6" t="s">
        <v>1851</v>
      </c>
      <c r="D1612" s="6" t="s">
        <v>608</v>
      </c>
      <c r="E1612" s="6" t="s">
        <v>429</v>
      </c>
      <c r="F1612" s="6" t="s">
        <v>984</v>
      </c>
      <c r="G1612" s="6" t="s">
        <v>946</v>
      </c>
    </row>
    <row r="1613" ht="15.75" customHeight="1">
      <c r="A1613" s="6" t="s">
        <v>978</v>
      </c>
      <c r="B1613" s="6" t="s">
        <v>1809</v>
      </c>
      <c r="C1613" s="6" t="s">
        <v>1838</v>
      </c>
      <c r="D1613" s="6" t="s">
        <v>428</v>
      </c>
      <c r="E1613" s="6" t="s">
        <v>429</v>
      </c>
      <c r="F1613" s="6" t="s">
        <v>984</v>
      </c>
      <c r="G1613" s="6" t="s">
        <v>541</v>
      </c>
    </row>
    <row r="1614" ht="15.75" customHeight="1">
      <c r="A1614" s="6" t="s">
        <v>978</v>
      </c>
      <c r="B1614" s="6" t="s">
        <v>1809</v>
      </c>
      <c r="C1614" s="6" t="s">
        <v>1838</v>
      </c>
      <c r="D1614" s="6" t="s">
        <v>588</v>
      </c>
      <c r="E1614" s="6" t="s">
        <v>429</v>
      </c>
      <c r="F1614" s="6" t="s">
        <v>984</v>
      </c>
      <c r="G1614" s="6" t="s">
        <v>541</v>
      </c>
    </row>
    <row r="1615" ht="15.75" customHeight="1">
      <c r="A1615" s="6" t="s">
        <v>978</v>
      </c>
      <c r="B1615" s="6" t="s">
        <v>1809</v>
      </c>
      <c r="C1615" s="6" t="s">
        <v>1838</v>
      </c>
      <c r="D1615" s="6" t="s">
        <v>596</v>
      </c>
      <c r="E1615" s="6" t="s">
        <v>429</v>
      </c>
      <c r="F1615" s="6" t="s">
        <v>984</v>
      </c>
      <c r="G1615" s="6" t="s">
        <v>459</v>
      </c>
    </row>
    <row r="1616" ht="15.75" customHeight="1">
      <c r="A1616" s="6" t="s">
        <v>978</v>
      </c>
      <c r="B1616" s="6" t="s">
        <v>1809</v>
      </c>
      <c r="C1616" s="6" t="s">
        <v>1838</v>
      </c>
      <c r="D1616" s="6" t="s">
        <v>608</v>
      </c>
      <c r="E1616" s="6" t="s">
        <v>30</v>
      </c>
      <c r="F1616" s="6" t="s">
        <v>984</v>
      </c>
      <c r="G1616" s="6" t="s">
        <v>556</v>
      </c>
    </row>
    <row r="1617" ht="15.75" customHeight="1">
      <c r="A1617" s="6" t="s">
        <v>978</v>
      </c>
      <c r="B1617" s="6" t="s">
        <v>1809</v>
      </c>
      <c r="C1617" s="6" t="s">
        <v>1838</v>
      </c>
      <c r="D1617" s="6" t="s">
        <v>616</v>
      </c>
      <c r="E1617" s="6" t="s">
        <v>429</v>
      </c>
      <c r="F1617" s="6" t="s">
        <v>984</v>
      </c>
      <c r="G1617" s="6" t="s">
        <v>459</v>
      </c>
    </row>
    <row r="1618" ht="15.75" customHeight="1">
      <c r="A1618" s="6" t="s">
        <v>978</v>
      </c>
      <c r="B1618" s="6" t="s">
        <v>1809</v>
      </c>
      <c r="C1618" s="6" t="s">
        <v>1838</v>
      </c>
      <c r="D1618" s="6" t="s">
        <v>445</v>
      </c>
      <c r="E1618" s="6" t="s">
        <v>429</v>
      </c>
      <c r="F1618" s="6" t="s">
        <v>984</v>
      </c>
      <c r="G1618" s="6" t="s">
        <v>459</v>
      </c>
    </row>
    <row r="1619" ht="15.75" customHeight="1">
      <c r="A1619" s="6" t="s">
        <v>978</v>
      </c>
      <c r="B1619" s="6" t="s">
        <v>1809</v>
      </c>
      <c r="C1619" s="6" t="s">
        <v>1838</v>
      </c>
      <c r="D1619" s="6" t="s">
        <v>445</v>
      </c>
      <c r="E1619" s="6" t="s">
        <v>429</v>
      </c>
      <c r="F1619" s="6" t="s">
        <v>984</v>
      </c>
      <c r="G1619" s="6" t="s">
        <v>541</v>
      </c>
    </row>
    <row r="1620" ht="15.75" customHeight="1">
      <c r="A1620" s="6" t="s">
        <v>978</v>
      </c>
      <c r="B1620" s="6" t="s">
        <v>1809</v>
      </c>
      <c r="C1620" s="6" t="s">
        <v>1838</v>
      </c>
      <c r="D1620" s="6" t="s">
        <v>565</v>
      </c>
      <c r="E1620" s="6" t="s">
        <v>429</v>
      </c>
      <c r="F1620" s="6" t="s">
        <v>984</v>
      </c>
      <c r="G1620" s="6" t="s">
        <v>459</v>
      </c>
    </row>
    <row r="1621" ht="15.75" customHeight="1">
      <c r="A1621" s="6" t="s">
        <v>978</v>
      </c>
      <c r="B1621" s="6" t="s">
        <v>1809</v>
      </c>
      <c r="C1621" s="6" t="s">
        <v>1838</v>
      </c>
      <c r="D1621" s="6" t="s">
        <v>639</v>
      </c>
      <c r="E1621" s="6" t="s">
        <v>429</v>
      </c>
      <c r="F1621" s="6" t="s">
        <v>984</v>
      </c>
      <c r="G1621" s="6" t="s">
        <v>541</v>
      </c>
    </row>
    <row r="1622" ht="15.75" customHeight="1">
      <c r="A1622" s="6" t="s">
        <v>978</v>
      </c>
      <c r="B1622" s="6" t="s">
        <v>1809</v>
      </c>
      <c r="C1622" s="6" t="s">
        <v>1838</v>
      </c>
      <c r="D1622" s="6" t="s">
        <v>428</v>
      </c>
      <c r="E1622" s="6" t="s">
        <v>429</v>
      </c>
      <c r="F1622" s="6" t="s">
        <v>984</v>
      </c>
      <c r="G1622" s="6" t="s">
        <v>438</v>
      </c>
    </row>
    <row r="1623" ht="15.75" customHeight="1">
      <c r="A1623" s="6" t="s">
        <v>978</v>
      </c>
      <c r="B1623" s="6" t="s">
        <v>1809</v>
      </c>
      <c r="C1623" s="6" t="s">
        <v>1838</v>
      </c>
      <c r="D1623" s="6" t="s">
        <v>501</v>
      </c>
      <c r="E1623" s="6" t="s">
        <v>553</v>
      </c>
      <c r="G1623" s="6" t="s">
        <v>556</v>
      </c>
    </row>
    <row r="1624" ht="15.75" customHeight="1">
      <c r="A1624" s="6" t="s">
        <v>978</v>
      </c>
      <c r="B1624" s="6" t="s">
        <v>1809</v>
      </c>
      <c r="C1624" s="6" t="s">
        <v>1838</v>
      </c>
      <c r="D1624" s="6" t="s">
        <v>445</v>
      </c>
      <c r="E1624" s="6" t="s">
        <v>429</v>
      </c>
      <c r="F1624" s="6" t="s">
        <v>984</v>
      </c>
      <c r="G1624" s="6" t="s">
        <v>556</v>
      </c>
    </row>
    <row r="1625" ht="15.75" customHeight="1">
      <c r="A1625" s="6" t="s">
        <v>978</v>
      </c>
      <c r="B1625" s="6" t="s">
        <v>1809</v>
      </c>
      <c r="C1625" s="6" t="s">
        <v>1838</v>
      </c>
      <c r="D1625" s="6" t="s">
        <v>501</v>
      </c>
      <c r="E1625" s="6" t="s">
        <v>429</v>
      </c>
      <c r="F1625" s="6" t="s">
        <v>984</v>
      </c>
      <c r="G1625" s="6" t="s">
        <v>438</v>
      </c>
    </row>
    <row r="1626" ht="15.75" customHeight="1">
      <c r="A1626" s="6" t="s">
        <v>978</v>
      </c>
      <c r="B1626" s="6" t="s">
        <v>1809</v>
      </c>
      <c r="C1626" s="6" t="s">
        <v>1838</v>
      </c>
      <c r="D1626" s="6" t="s">
        <v>428</v>
      </c>
      <c r="E1626" s="6" t="s">
        <v>429</v>
      </c>
      <c r="F1626" s="6" t="s">
        <v>984</v>
      </c>
      <c r="G1626" s="6" t="s">
        <v>556</v>
      </c>
    </row>
    <row r="1627" ht="15.75" customHeight="1">
      <c r="A1627" s="6" t="s">
        <v>978</v>
      </c>
      <c r="B1627" s="6" t="s">
        <v>1809</v>
      </c>
      <c r="C1627" s="6" t="s">
        <v>1838</v>
      </c>
      <c r="D1627" s="6" t="s">
        <v>501</v>
      </c>
      <c r="E1627" s="6" t="s">
        <v>429</v>
      </c>
      <c r="F1627" s="6" t="s">
        <v>984</v>
      </c>
      <c r="G1627" s="6" t="s">
        <v>541</v>
      </c>
    </row>
    <row r="1628" ht="15.75" customHeight="1">
      <c r="A1628" s="6" t="s">
        <v>978</v>
      </c>
      <c r="B1628" s="6" t="s">
        <v>1809</v>
      </c>
      <c r="C1628" s="6" t="s">
        <v>1836</v>
      </c>
      <c r="D1628" s="6" t="s">
        <v>482</v>
      </c>
      <c r="E1628" s="6" t="s">
        <v>429</v>
      </c>
      <c r="F1628" s="6" t="s">
        <v>984</v>
      </c>
      <c r="G1628" s="6" t="s">
        <v>508</v>
      </c>
    </row>
    <row r="1629" ht="15.75" customHeight="1">
      <c r="A1629" s="6" t="s">
        <v>978</v>
      </c>
      <c r="B1629" s="6" t="s">
        <v>1809</v>
      </c>
      <c r="C1629" s="6" t="s">
        <v>1836</v>
      </c>
      <c r="D1629" s="6" t="s">
        <v>576</v>
      </c>
      <c r="E1629" s="6" t="s">
        <v>429</v>
      </c>
      <c r="F1629" s="6" t="s">
        <v>984</v>
      </c>
      <c r="G1629" s="6" t="s">
        <v>430</v>
      </c>
    </row>
    <row r="1630" ht="15.75" customHeight="1">
      <c r="A1630" s="6" t="s">
        <v>978</v>
      </c>
      <c r="B1630" s="6" t="s">
        <v>1809</v>
      </c>
      <c r="C1630" s="6" t="s">
        <v>1836</v>
      </c>
      <c r="D1630" s="6" t="s">
        <v>616</v>
      </c>
      <c r="E1630" s="6" t="s">
        <v>429</v>
      </c>
      <c r="F1630" s="6" t="s">
        <v>984</v>
      </c>
      <c r="G1630" s="6" t="s">
        <v>556</v>
      </c>
    </row>
    <row r="1631" ht="15.75" customHeight="1">
      <c r="A1631" s="6" t="s">
        <v>978</v>
      </c>
      <c r="B1631" s="6" t="s">
        <v>1809</v>
      </c>
      <c r="C1631" s="6" t="s">
        <v>1836</v>
      </c>
      <c r="D1631" s="6" t="s">
        <v>576</v>
      </c>
      <c r="E1631" s="6" t="s">
        <v>429</v>
      </c>
      <c r="F1631" s="6" t="s">
        <v>984</v>
      </c>
      <c r="G1631" s="6" t="s">
        <v>430</v>
      </c>
    </row>
    <row r="1632" ht="15.75" customHeight="1">
      <c r="A1632" s="6" t="s">
        <v>978</v>
      </c>
      <c r="B1632" s="6" t="s">
        <v>1809</v>
      </c>
      <c r="C1632" s="6" t="s">
        <v>1836</v>
      </c>
      <c r="D1632" s="6" t="s">
        <v>591</v>
      </c>
      <c r="E1632" s="6" t="s">
        <v>429</v>
      </c>
      <c r="F1632" s="6" t="s">
        <v>984</v>
      </c>
      <c r="G1632" s="6" t="s">
        <v>438</v>
      </c>
    </row>
    <row r="1633" ht="15.75" customHeight="1">
      <c r="A1633" s="6" t="s">
        <v>978</v>
      </c>
      <c r="B1633" s="6" t="s">
        <v>1809</v>
      </c>
      <c r="C1633" s="6" t="s">
        <v>1836</v>
      </c>
      <c r="D1633" s="6" t="s">
        <v>565</v>
      </c>
      <c r="E1633" s="6" t="s">
        <v>429</v>
      </c>
      <c r="F1633" s="6" t="s">
        <v>984</v>
      </c>
      <c r="G1633" s="6" t="s">
        <v>459</v>
      </c>
    </row>
    <row r="1634" ht="15.75" customHeight="1">
      <c r="A1634" s="6" t="s">
        <v>978</v>
      </c>
      <c r="B1634" s="6" t="s">
        <v>1809</v>
      </c>
      <c r="C1634" s="6" t="s">
        <v>1836</v>
      </c>
      <c r="D1634" s="6" t="s">
        <v>616</v>
      </c>
      <c r="E1634" s="6" t="s">
        <v>429</v>
      </c>
      <c r="F1634" s="6" t="s">
        <v>984</v>
      </c>
      <c r="G1634" s="6" t="s">
        <v>438</v>
      </c>
    </row>
    <row r="1635" ht="15.75" customHeight="1">
      <c r="A1635" s="6" t="s">
        <v>978</v>
      </c>
      <c r="B1635" s="6" t="s">
        <v>1809</v>
      </c>
      <c r="C1635" s="6" t="s">
        <v>1836</v>
      </c>
      <c r="D1635" s="6" t="s">
        <v>596</v>
      </c>
      <c r="E1635" s="6" t="s">
        <v>553</v>
      </c>
      <c r="G1635" s="6" t="s">
        <v>541</v>
      </c>
    </row>
    <row r="1636" ht="15.75" customHeight="1">
      <c r="A1636" s="6" t="s">
        <v>978</v>
      </c>
      <c r="B1636" s="6" t="s">
        <v>1809</v>
      </c>
      <c r="C1636" s="6" t="s">
        <v>1836</v>
      </c>
      <c r="D1636" s="6" t="s">
        <v>428</v>
      </c>
      <c r="E1636" s="6" t="s">
        <v>553</v>
      </c>
      <c r="G1636" s="6" t="s">
        <v>556</v>
      </c>
    </row>
    <row r="1637" ht="15.75" customHeight="1">
      <c r="A1637" s="6" t="s">
        <v>978</v>
      </c>
      <c r="B1637" s="6" t="s">
        <v>1809</v>
      </c>
      <c r="C1637" s="6" t="s">
        <v>1836</v>
      </c>
      <c r="D1637" s="6" t="s">
        <v>482</v>
      </c>
      <c r="E1637" s="6" t="s">
        <v>429</v>
      </c>
      <c r="F1637" s="6" t="s">
        <v>984</v>
      </c>
      <c r="G1637" s="6" t="s">
        <v>459</v>
      </c>
    </row>
    <row r="1638" ht="15.75" customHeight="1">
      <c r="A1638" s="6" t="s">
        <v>978</v>
      </c>
      <c r="B1638" s="6" t="s">
        <v>1809</v>
      </c>
      <c r="C1638" s="6" t="s">
        <v>1836</v>
      </c>
      <c r="D1638" s="6" t="s">
        <v>588</v>
      </c>
      <c r="E1638" s="6" t="s">
        <v>429</v>
      </c>
      <c r="F1638" s="6" t="s">
        <v>984</v>
      </c>
      <c r="G1638" s="6" t="s">
        <v>508</v>
      </c>
    </row>
    <row r="1639" ht="15.75" customHeight="1">
      <c r="A1639" s="6" t="s">
        <v>978</v>
      </c>
      <c r="B1639" s="6" t="s">
        <v>1809</v>
      </c>
      <c r="C1639" s="6" t="s">
        <v>1836</v>
      </c>
      <c r="D1639" s="6" t="s">
        <v>576</v>
      </c>
      <c r="E1639" s="6" t="s">
        <v>429</v>
      </c>
      <c r="F1639" s="6" t="s">
        <v>984</v>
      </c>
      <c r="G1639" s="6" t="s">
        <v>508</v>
      </c>
    </row>
    <row r="1640" ht="15.75" customHeight="1">
      <c r="A1640" s="6" t="s">
        <v>978</v>
      </c>
      <c r="B1640" s="6" t="s">
        <v>1809</v>
      </c>
      <c r="C1640" s="6" t="s">
        <v>1836</v>
      </c>
      <c r="D1640" s="6" t="s">
        <v>591</v>
      </c>
      <c r="E1640" s="6" t="s">
        <v>429</v>
      </c>
      <c r="F1640" s="6" t="s">
        <v>984</v>
      </c>
      <c r="G1640" s="6" t="s">
        <v>430</v>
      </c>
    </row>
    <row r="1641" ht="15.75" customHeight="1">
      <c r="A1641" s="6" t="s">
        <v>978</v>
      </c>
      <c r="B1641" s="6" t="s">
        <v>1809</v>
      </c>
      <c r="C1641" s="6" t="s">
        <v>1836</v>
      </c>
      <c r="D1641" s="6" t="s">
        <v>616</v>
      </c>
      <c r="E1641" s="6" t="s">
        <v>429</v>
      </c>
      <c r="F1641" s="6" t="s">
        <v>984</v>
      </c>
      <c r="G1641" s="6" t="s">
        <v>325</v>
      </c>
    </row>
    <row r="1642" ht="15.75" customHeight="1">
      <c r="A1642" s="6" t="s">
        <v>978</v>
      </c>
      <c r="B1642" s="6" t="s">
        <v>1809</v>
      </c>
      <c r="C1642" s="6" t="s">
        <v>1836</v>
      </c>
      <c r="D1642" s="6" t="s">
        <v>428</v>
      </c>
      <c r="E1642" s="6" t="s">
        <v>429</v>
      </c>
      <c r="F1642" s="6" t="s">
        <v>984</v>
      </c>
      <c r="G1642" s="6" t="s">
        <v>325</v>
      </c>
    </row>
    <row r="1643" ht="15.75" customHeight="1">
      <c r="A1643" s="6" t="s">
        <v>978</v>
      </c>
      <c r="B1643" s="6" t="s">
        <v>1809</v>
      </c>
      <c r="C1643" s="6" t="s">
        <v>1836</v>
      </c>
      <c r="D1643" s="6" t="s">
        <v>639</v>
      </c>
      <c r="E1643" s="6" t="s">
        <v>429</v>
      </c>
      <c r="F1643" s="6" t="s">
        <v>984</v>
      </c>
      <c r="G1643" s="6" t="s">
        <v>430</v>
      </c>
    </row>
    <row r="1644" ht="15.75" customHeight="1">
      <c r="A1644" s="6" t="s">
        <v>978</v>
      </c>
      <c r="B1644" s="6" t="s">
        <v>1809</v>
      </c>
      <c r="C1644" s="6" t="s">
        <v>1836</v>
      </c>
      <c r="D1644" s="6" t="s">
        <v>588</v>
      </c>
      <c r="E1644" s="6" t="s">
        <v>429</v>
      </c>
      <c r="F1644" s="6" t="s">
        <v>984</v>
      </c>
      <c r="G1644" s="6" t="s">
        <v>438</v>
      </c>
    </row>
    <row r="1645" ht="15.75" customHeight="1">
      <c r="A1645" s="6" t="s">
        <v>978</v>
      </c>
      <c r="B1645" s="6" t="s">
        <v>1822</v>
      </c>
      <c r="C1645" s="6" t="s">
        <v>1853</v>
      </c>
      <c r="D1645" s="6" t="s">
        <v>576</v>
      </c>
      <c r="E1645" s="6" t="s">
        <v>429</v>
      </c>
      <c r="F1645" s="6" t="s">
        <v>984</v>
      </c>
      <c r="G1645" s="6" t="s">
        <v>800</v>
      </c>
    </row>
    <row r="1646" ht="15.75" customHeight="1">
      <c r="A1646" s="6" t="s">
        <v>978</v>
      </c>
      <c r="B1646" s="6" t="s">
        <v>1822</v>
      </c>
      <c r="C1646" s="6" t="s">
        <v>1853</v>
      </c>
      <c r="D1646" s="6" t="s">
        <v>501</v>
      </c>
      <c r="E1646" s="6" t="s">
        <v>429</v>
      </c>
      <c r="F1646" s="6" t="s">
        <v>984</v>
      </c>
      <c r="G1646" s="6" t="s">
        <v>812</v>
      </c>
    </row>
    <row r="1647" ht="15.75" customHeight="1">
      <c r="A1647" s="6" t="s">
        <v>978</v>
      </c>
      <c r="B1647" s="6" t="s">
        <v>1809</v>
      </c>
      <c r="C1647" s="6" t="s">
        <v>1854</v>
      </c>
      <c r="D1647" s="6" t="s">
        <v>435</v>
      </c>
      <c r="E1647" s="6" t="s">
        <v>429</v>
      </c>
      <c r="F1647" s="6" t="s">
        <v>984</v>
      </c>
      <c r="G1647" s="6" t="s">
        <v>430</v>
      </c>
    </row>
    <row r="1648" ht="15.75" customHeight="1">
      <c r="A1648" s="6" t="s">
        <v>978</v>
      </c>
      <c r="B1648" s="6" t="s">
        <v>1809</v>
      </c>
      <c r="C1648" s="6" t="s">
        <v>1854</v>
      </c>
      <c r="D1648" s="6" t="s">
        <v>639</v>
      </c>
      <c r="E1648" s="6" t="s">
        <v>429</v>
      </c>
      <c r="F1648" s="6" t="s">
        <v>984</v>
      </c>
      <c r="G1648" s="6" t="s">
        <v>438</v>
      </c>
    </row>
    <row r="1649" ht="15.75" customHeight="1">
      <c r="A1649" s="6" t="s">
        <v>978</v>
      </c>
      <c r="B1649" s="6" t="s">
        <v>1809</v>
      </c>
      <c r="C1649" s="6" t="s">
        <v>1854</v>
      </c>
      <c r="D1649" s="6" t="s">
        <v>539</v>
      </c>
      <c r="E1649" s="6" t="s">
        <v>429</v>
      </c>
      <c r="F1649" s="6" t="s">
        <v>984</v>
      </c>
      <c r="G1649" s="6" t="s">
        <v>946</v>
      </c>
    </row>
    <row r="1650" ht="15.75" customHeight="1">
      <c r="A1650" s="6" t="s">
        <v>978</v>
      </c>
      <c r="B1650" s="6" t="s">
        <v>1809</v>
      </c>
      <c r="C1650" s="6" t="s">
        <v>1854</v>
      </c>
      <c r="D1650" s="6" t="s">
        <v>469</v>
      </c>
      <c r="E1650" s="6" t="s">
        <v>429</v>
      </c>
      <c r="F1650" s="6" t="s">
        <v>984</v>
      </c>
      <c r="G1650" s="6" t="s">
        <v>438</v>
      </c>
    </row>
    <row r="1651" ht="15.75" customHeight="1">
      <c r="A1651" s="6" t="s">
        <v>978</v>
      </c>
      <c r="B1651" s="6" t="s">
        <v>1809</v>
      </c>
      <c r="C1651" s="6" t="s">
        <v>1854</v>
      </c>
      <c r="D1651" s="6" t="s">
        <v>482</v>
      </c>
      <c r="E1651" s="6" t="s">
        <v>429</v>
      </c>
      <c r="F1651" s="6" t="s">
        <v>984</v>
      </c>
      <c r="G1651" s="6" t="s">
        <v>430</v>
      </c>
    </row>
    <row r="1652" ht="15.75" customHeight="1">
      <c r="A1652" s="6" t="s">
        <v>978</v>
      </c>
      <c r="B1652" s="6" t="s">
        <v>1809</v>
      </c>
      <c r="C1652" s="6" t="s">
        <v>1854</v>
      </c>
      <c r="D1652" s="6" t="s">
        <v>457</v>
      </c>
      <c r="E1652" s="6" t="s">
        <v>429</v>
      </c>
      <c r="F1652" s="6" t="s">
        <v>984</v>
      </c>
      <c r="G1652" s="6" t="s">
        <v>438</v>
      </c>
    </row>
    <row r="1653" ht="15.75" customHeight="1">
      <c r="A1653" s="6" t="s">
        <v>978</v>
      </c>
      <c r="B1653" s="6" t="s">
        <v>1809</v>
      </c>
      <c r="C1653" s="6" t="s">
        <v>1854</v>
      </c>
      <c r="D1653" s="6" t="s">
        <v>469</v>
      </c>
      <c r="E1653" s="6" t="s">
        <v>429</v>
      </c>
      <c r="F1653" s="6" t="s">
        <v>984</v>
      </c>
      <c r="G1653" s="6" t="s">
        <v>438</v>
      </c>
    </row>
    <row r="1654" ht="15.75" customHeight="1">
      <c r="A1654" s="6" t="s">
        <v>978</v>
      </c>
      <c r="B1654" s="6" t="s">
        <v>1809</v>
      </c>
      <c r="C1654" s="6" t="s">
        <v>1854</v>
      </c>
      <c r="D1654" s="6" t="s">
        <v>469</v>
      </c>
      <c r="E1654" s="6" t="s">
        <v>429</v>
      </c>
      <c r="F1654" s="6" t="s">
        <v>984</v>
      </c>
      <c r="G1654" s="6" t="s">
        <v>430</v>
      </c>
    </row>
    <row r="1655" ht="15.75" customHeight="1">
      <c r="A1655" s="6" t="s">
        <v>978</v>
      </c>
      <c r="B1655" s="6" t="s">
        <v>1809</v>
      </c>
      <c r="C1655" s="6" t="s">
        <v>1854</v>
      </c>
      <c r="D1655" s="6" t="s">
        <v>469</v>
      </c>
      <c r="E1655" s="6" t="s">
        <v>429</v>
      </c>
      <c r="F1655" s="6" t="s">
        <v>984</v>
      </c>
      <c r="G1655" s="6" t="s">
        <v>438</v>
      </c>
    </row>
    <row r="1656" ht="15.75" customHeight="1">
      <c r="A1656" s="6" t="s">
        <v>978</v>
      </c>
      <c r="B1656" s="6" t="s">
        <v>1809</v>
      </c>
      <c r="C1656" s="6" t="s">
        <v>1850</v>
      </c>
      <c r="D1656" s="6" t="s">
        <v>469</v>
      </c>
      <c r="E1656" s="6" t="s">
        <v>429</v>
      </c>
      <c r="F1656" s="6" t="s">
        <v>984</v>
      </c>
      <c r="G1656" s="6" t="s">
        <v>459</v>
      </c>
    </row>
    <row r="1657" ht="15.75" customHeight="1">
      <c r="A1657" s="6" t="s">
        <v>978</v>
      </c>
      <c r="B1657" s="6" t="s">
        <v>1809</v>
      </c>
      <c r="C1657" s="6" t="s">
        <v>1850</v>
      </c>
      <c r="D1657" s="6" t="s">
        <v>501</v>
      </c>
      <c r="E1657" s="6" t="s">
        <v>429</v>
      </c>
      <c r="F1657" s="6" t="s">
        <v>984</v>
      </c>
      <c r="G1657" s="6" t="s">
        <v>459</v>
      </c>
    </row>
    <row r="1658" ht="15.75" customHeight="1">
      <c r="A1658" s="6" t="s">
        <v>978</v>
      </c>
      <c r="B1658" s="6" t="s">
        <v>1809</v>
      </c>
      <c r="C1658" s="6" t="s">
        <v>1853</v>
      </c>
      <c r="D1658" s="6" t="s">
        <v>588</v>
      </c>
      <c r="E1658" s="6" t="s">
        <v>429</v>
      </c>
      <c r="F1658" s="6" t="s">
        <v>984</v>
      </c>
      <c r="G1658" s="6" t="s">
        <v>430</v>
      </c>
    </row>
    <row r="1659" ht="15.75" customHeight="1">
      <c r="A1659" s="6" t="s">
        <v>978</v>
      </c>
      <c r="B1659" s="6" t="s">
        <v>1809</v>
      </c>
      <c r="C1659" s="6" t="s">
        <v>1853</v>
      </c>
      <c r="D1659" s="6" t="s">
        <v>428</v>
      </c>
      <c r="E1659" s="6" t="s">
        <v>429</v>
      </c>
      <c r="F1659" s="6" t="s">
        <v>984</v>
      </c>
      <c r="G1659" s="6" t="s">
        <v>459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4" width="19.0"/>
    <col customWidth="1" min="5" max="5" width="8.63"/>
    <col customWidth="1" min="6" max="6" width="27.0"/>
    <col customWidth="1" min="7" max="7" width="18.0"/>
    <col customWidth="1" min="8" max="8" width="8.63"/>
  </cols>
  <sheetData>
    <row r="1">
      <c r="A1" s="16" t="s">
        <v>1839</v>
      </c>
      <c r="B1" s="16"/>
      <c r="C1" s="16"/>
      <c r="D1" s="16"/>
      <c r="E1" s="16"/>
      <c r="F1" s="16"/>
      <c r="G1" s="16"/>
      <c r="H1" s="16"/>
    </row>
    <row r="3">
      <c r="A3" s="17" t="s">
        <v>1840</v>
      </c>
      <c r="B3" s="17" t="s">
        <v>1776</v>
      </c>
      <c r="F3" s="17" t="s">
        <v>1841</v>
      </c>
      <c r="G3" s="17" t="s">
        <v>1842</v>
      </c>
    </row>
    <row r="4">
      <c r="A4" s="6" t="s">
        <v>1843</v>
      </c>
      <c r="B4" s="6">
        <f>'RESUMO CONFERÊNCIA'!B17</f>
        <v>1658</v>
      </c>
      <c r="F4" s="6" t="s">
        <v>1844</v>
      </c>
      <c r="G4" s="6">
        <f t="shared" ref="G4:G7" si="1">B5</f>
        <v>1534</v>
      </c>
    </row>
    <row r="5">
      <c r="A5" s="6" t="s">
        <v>1845</v>
      </c>
      <c r="B5" s="6">
        <f>'TOTAL OUTUBRO'!C17</f>
        <v>1534</v>
      </c>
      <c r="F5" s="6" t="s">
        <v>1738</v>
      </c>
      <c r="G5" s="6">
        <f t="shared" si="1"/>
        <v>192</v>
      </c>
    </row>
    <row r="6">
      <c r="A6" s="6" t="s">
        <v>1738</v>
      </c>
      <c r="B6" s="6">
        <f>'TOTAL OUTUBRO'!D17</f>
        <v>192</v>
      </c>
      <c r="F6" s="6" t="s">
        <v>678</v>
      </c>
      <c r="G6" s="6">
        <f t="shared" si="1"/>
        <v>141</v>
      </c>
    </row>
    <row r="7">
      <c r="A7" s="6" t="s">
        <v>678</v>
      </c>
      <c r="B7" s="6">
        <f>'TOTAL OUTUBRO'!E17</f>
        <v>141</v>
      </c>
      <c r="F7" s="6" t="s">
        <v>1722</v>
      </c>
      <c r="G7" s="6">
        <f t="shared" si="1"/>
        <v>185</v>
      </c>
    </row>
    <row r="8">
      <c r="A8" s="6" t="s">
        <v>1846</v>
      </c>
      <c r="B8" s="6">
        <f>'TOTAL OUTUBRO'!F17</f>
        <v>185</v>
      </c>
    </row>
    <row r="9">
      <c r="A9" s="6" t="s">
        <v>1847</v>
      </c>
      <c r="B9" s="6">
        <f>COUNTIF('BASE AUDITORIA'!E2:E1659,"*Desmarcado*")+COUNTIF('BASE AUDITORIA'!E2:E1659,"*Cancelado*")</f>
        <v>3</v>
      </c>
    </row>
    <row r="10">
      <c r="A10" s="6" t="s">
        <v>1848</v>
      </c>
      <c r="B10" s="32">
        <f>IFERROR(B5/B4,0)</f>
        <v>0.9252110977</v>
      </c>
    </row>
    <row r="12">
      <c r="A12" s="17" t="s">
        <v>1849</v>
      </c>
      <c r="B12" s="17" t="s">
        <v>1809</v>
      </c>
      <c r="C12" s="17" t="s">
        <v>1822</v>
      </c>
      <c r="D12" s="17" t="s">
        <v>1776</v>
      </c>
    </row>
    <row r="13">
      <c r="A13" s="6" t="s">
        <v>19</v>
      </c>
      <c r="B13" s="6">
        <f>COUNTIFS('BASE AUDITORIA'!A:A,A13,'BASE AUDITORIA'!B:B,"PAULISTA")</f>
        <v>97</v>
      </c>
      <c r="C13" s="6">
        <f>COUNTIFS('BASE AUDITORIA'!A:A,A13,'BASE AUDITORIA'!B:B,"GRANJA VIANA")</f>
        <v>25</v>
      </c>
      <c r="D13" s="6">
        <f t="shared" ref="D13:D25" si="2">SUM(B13:C13)</f>
        <v>122</v>
      </c>
    </row>
    <row r="14">
      <c r="A14" s="6" t="s">
        <v>183</v>
      </c>
      <c r="B14" s="6">
        <f>COUNTIFS('BASE AUDITORIA'!A:A,A14,'BASE AUDITORIA'!B:B,"PAULISTA")</f>
        <v>75</v>
      </c>
      <c r="C14" s="6">
        <f>COUNTIFS('BASE AUDITORIA'!A:A,A14,'BASE AUDITORIA'!B:B,"GRANJA VIANA")</f>
        <v>23</v>
      </c>
      <c r="D14" s="6">
        <f t="shared" si="2"/>
        <v>98</v>
      </c>
    </row>
    <row r="15">
      <c r="A15" s="6" t="s">
        <v>297</v>
      </c>
      <c r="B15" s="6">
        <f>COUNTIFS('BASE AUDITORIA'!A:A,A15,'BASE AUDITORIA'!B:B,"PAULISTA")</f>
        <v>114</v>
      </c>
      <c r="C15" s="6">
        <f>COUNTIFS('BASE AUDITORIA'!A:A,A15,'BASE AUDITORIA'!B:B,"GRANJA VIANA")</f>
        <v>23</v>
      </c>
      <c r="D15" s="6">
        <f t="shared" si="2"/>
        <v>137</v>
      </c>
    </row>
    <row r="16">
      <c r="A16" s="6" t="s">
        <v>424</v>
      </c>
      <c r="B16" s="6">
        <f>COUNTIFS('BASE AUDITORIA'!A:A,A16,'BASE AUDITORIA'!B:B,"PAULISTA")</f>
        <v>109</v>
      </c>
      <c r="C16" s="6">
        <f>COUNTIFS('BASE AUDITORIA'!A:A,A16,'BASE AUDITORIA'!B:B,"GRANJA VIANA")</f>
        <v>33</v>
      </c>
      <c r="D16" s="6">
        <f t="shared" si="2"/>
        <v>142</v>
      </c>
    </row>
    <row r="17">
      <c r="A17" s="6" t="s">
        <v>521</v>
      </c>
      <c r="B17" s="6">
        <f>COUNTIFS('BASE AUDITORIA'!A:A,A17,'BASE AUDITORIA'!B:B,"PAULISTA")</f>
        <v>99</v>
      </c>
      <c r="C17" s="6">
        <f>COUNTIFS('BASE AUDITORIA'!A:A,A17,'BASE AUDITORIA'!B:B,"GRANJA VIANA")</f>
        <v>24</v>
      </c>
      <c r="D17" s="6">
        <f t="shared" si="2"/>
        <v>123</v>
      </c>
    </row>
    <row r="18">
      <c r="A18" s="6" t="s">
        <v>613</v>
      </c>
      <c r="B18" s="6">
        <f>COUNTIFS('BASE AUDITORIA'!A:A,A18,'BASE AUDITORIA'!B:B,"PAULISTA")</f>
        <v>96</v>
      </c>
      <c r="C18" s="6">
        <f>COUNTIFS('BASE AUDITORIA'!A:A,A18,'BASE AUDITORIA'!B:B,"GRANJA VIANA")</f>
        <v>31</v>
      </c>
      <c r="D18" s="6">
        <f t="shared" si="2"/>
        <v>127</v>
      </c>
    </row>
    <row r="19">
      <c r="A19" s="6" t="s">
        <v>669</v>
      </c>
      <c r="B19" s="6">
        <f>COUNTIFS('BASE AUDITORIA'!A:A,A19,'BASE AUDITORIA'!B:B,"PAULISTA")</f>
        <v>85</v>
      </c>
      <c r="C19" s="6">
        <f>COUNTIFS('BASE AUDITORIA'!A:A,A19,'BASE AUDITORIA'!B:B,"GRANJA VIANA")</f>
        <v>29</v>
      </c>
      <c r="D19" s="6">
        <f t="shared" si="2"/>
        <v>114</v>
      </c>
    </row>
    <row r="20">
      <c r="A20" s="6" t="s">
        <v>745</v>
      </c>
      <c r="B20" s="6">
        <f>COUNTIFS('BASE AUDITORIA'!A:A,A20,'BASE AUDITORIA'!B:B,"PAULISTA")</f>
        <v>119</v>
      </c>
      <c r="C20" s="6">
        <f>COUNTIFS('BASE AUDITORIA'!A:A,A20,'BASE AUDITORIA'!B:B,"GRANJA VIANA")</f>
        <v>26</v>
      </c>
      <c r="D20" s="6">
        <f t="shared" si="2"/>
        <v>145</v>
      </c>
    </row>
    <row r="21" ht="15.75" customHeight="1">
      <c r="A21" s="6" t="s">
        <v>818</v>
      </c>
      <c r="B21" s="6">
        <f>COUNTIFS('BASE AUDITORIA'!A:A,A21,'BASE AUDITORIA'!B:B,"PAULISTA")</f>
        <v>104</v>
      </c>
      <c r="C21" s="6">
        <f>COUNTIFS('BASE AUDITORIA'!A:A,A21,'BASE AUDITORIA'!B:B,"GRANJA VIANA")</f>
        <v>23</v>
      </c>
      <c r="D21" s="6">
        <f t="shared" si="2"/>
        <v>127</v>
      </c>
    </row>
    <row r="22" ht="15.75" customHeight="1">
      <c r="A22" s="6" t="s">
        <v>863</v>
      </c>
      <c r="B22" s="6">
        <f>COUNTIFS('BASE AUDITORIA'!A:A,A22,'BASE AUDITORIA'!B:B,"PAULISTA")</f>
        <v>109</v>
      </c>
      <c r="C22" s="6">
        <f>COUNTIFS('BASE AUDITORIA'!A:A,A22,'BASE AUDITORIA'!B:B,"GRANJA VIANA")</f>
        <v>29</v>
      </c>
      <c r="D22" s="6">
        <f t="shared" si="2"/>
        <v>138</v>
      </c>
    </row>
    <row r="23" ht="15.75" customHeight="1">
      <c r="A23" s="6" t="s">
        <v>903</v>
      </c>
      <c r="B23" s="6">
        <f>COUNTIFS('BASE AUDITORIA'!A:A,A23,'BASE AUDITORIA'!B:B,"PAULISTA")</f>
        <v>74</v>
      </c>
      <c r="C23" s="6">
        <f>COUNTIFS('BASE AUDITORIA'!A:A,A23,'BASE AUDITORIA'!B:B,"GRANJA VIANA")</f>
        <v>30</v>
      </c>
      <c r="D23" s="6">
        <f t="shared" si="2"/>
        <v>104</v>
      </c>
    </row>
    <row r="24" ht="15.75" customHeight="1">
      <c r="A24" s="6" t="s">
        <v>935</v>
      </c>
      <c r="B24" s="6">
        <f>COUNTIFS('BASE AUDITORIA'!A:A,A24,'BASE AUDITORIA'!B:B,"PAULISTA")</f>
        <v>114</v>
      </c>
      <c r="C24" s="6">
        <f>COUNTIFS('BASE AUDITORIA'!A:A,A24,'BASE AUDITORIA'!B:B,"GRANJA VIANA")</f>
        <v>23</v>
      </c>
      <c r="D24" s="6">
        <f t="shared" si="2"/>
        <v>137</v>
      </c>
    </row>
    <row r="25" ht="15.75" customHeight="1">
      <c r="A25" s="6" t="s">
        <v>978</v>
      </c>
      <c r="B25" s="6">
        <f>COUNTIFS('BASE AUDITORIA'!A:A,A25,'BASE AUDITORIA'!B:B,"PAULISTA")</f>
        <v>111</v>
      </c>
      <c r="C25" s="6">
        <f>COUNTIFS('BASE AUDITORIA'!A:A,A25,'BASE AUDITORIA'!B:B,"GRANJA VIANA")</f>
        <v>33</v>
      </c>
      <c r="D25" s="6">
        <f t="shared" si="2"/>
        <v>144</v>
      </c>
    </row>
    <row r="26" ht="15.75" customHeight="1"/>
    <row r="27" ht="15.75" customHeight="1">
      <c r="A27" s="6" t="s">
        <v>1852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4.0"/>
    <col customWidth="1" min="3" max="3" width="19.0"/>
    <col customWidth="1" min="4" max="4" width="20.0"/>
    <col customWidth="1" min="5" max="5" width="82.0"/>
    <col customWidth="1" min="6" max="6" width="8.63"/>
  </cols>
  <sheetData>
    <row r="1">
      <c r="A1" s="16" t="s">
        <v>1855</v>
      </c>
      <c r="B1" s="16" t="s">
        <v>1856</v>
      </c>
      <c r="C1" s="16" t="s">
        <v>1809</v>
      </c>
      <c r="D1" s="16" t="s">
        <v>1822</v>
      </c>
      <c r="E1" s="16" t="s">
        <v>1857</v>
      </c>
    </row>
    <row r="2">
      <c r="A2" s="6" t="s">
        <v>1858</v>
      </c>
      <c r="B2" s="6" t="s">
        <v>678</v>
      </c>
      <c r="C2" s="6">
        <f>COUNTIFS('BASE AUDITORIA'!B:B,"PAULISTA",'BASE AUDITORIA'!E:E,"Não compareceu*")</f>
        <v>15</v>
      </c>
      <c r="D2" s="6">
        <f>COUNTIFS('BASE AUDITORIA'!B:B,"GRANJA VIANA",'BASE AUDITORIA'!E:E,"Não compareceu*")</f>
        <v>4</v>
      </c>
      <c r="E2" s="6" t="s">
        <v>1859</v>
      </c>
    </row>
    <row r="3">
      <c r="A3" s="6" t="s">
        <v>1858</v>
      </c>
      <c r="B3" s="6" t="s">
        <v>1860</v>
      </c>
      <c r="C3" s="6">
        <f>COUNTIFS('BASE AUDITORIA'!B:B,"PAULISTA",'BASE AUDITORIA'!F:F,"Pendente")</f>
        <v>210</v>
      </c>
      <c r="D3" s="6">
        <f>COUNTIFS('BASE AUDITORIA'!B:B,"GRANJA VIANA",'BASE AUDITORIA'!F:F,"Pendente")</f>
        <v>157</v>
      </c>
      <c r="E3" s="6" t="s">
        <v>1861</v>
      </c>
    </row>
    <row r="4">
      <c r="A4" s="6" t="s">
        <v>1862</v>
      </c>
      <c r="B4" s="6" t="s">
        <v>1722</v>
      </c>
      <c r="C4" s="6">
        <f>COUNTIFS('BASE AUDITORIA'!B:B,"PAULISTA",'BASE AUDITORIA'!E:E,"Falta Justificada*")</f>
        <v>63</v>
      </c>
      <c r="D4" s="6">
        <f>COUNTIFS('BASE AUDITORIA'!B:B,"GRANJA VIANA",'BASE AUDITORIA'!E:E,"Falta Justificada*")</f>
        <v>10</v>
      </c>
      <c r="E4" s="6" t="s">
        <v>1863</v>
      </c>
    </row>
    <row r="5">
      <c r="A5" s="6" t="s">
        <v>1862</v>
      </c>
      <c r="B5" s="6" t="s">
        <v>1847</v>
      </c>
      <c r="C5" s="6">
        <f>COUNTIFS('BASE AUDITORIA'!B:B,"PAULISTA",'BASE AUDITORIA'!E:E,"*Desmarcado*")</f>
        <v>3</v>
      </c>
      <c r="D5" s="6">
        <f>COUNTIFS('BASE AUDITORIA'!B:B,"GRANJA VIANA",'BASE AUDITORIA'!E:E,"*Desmarcado*")</f>
        <v>0</v>
      </c>
      <c r="E5" s="6" t="s">
        <v>1864</v>
      </c>
    </row>
    <row r="8">
      <c r="A8" s="6" t="s">
        <v>1865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